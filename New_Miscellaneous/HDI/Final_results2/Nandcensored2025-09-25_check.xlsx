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jones/Miscellaneous/HDI/Final_results2/"/>
    </mc:Choice>
  </mc:AlternateContent>
  <xr:revisionPtr revIDLastSave="0" documentId="13_ncr:1_{6F0C7223-8283-1F44-8CB7-CCADCC08C7D2}" xr6:coauthVersionLast="47" xr6:coauthVersionMax="47" xr10:uidLastSave="{00000000-0000-0000-0000-000000000000}"/>
  <bookViews>
    <workbookView xWindow="2760" yWindow="500" windowWidth="33020" windowHeight="19000" activeTab="1" xr2:uid="{00000000-000D-0000-FFFF-FFFF00000000}"/>
  </bookViews>
  <sheets>
    <sheet name="N_censored_phase" sheetId="1" r:id="rId1"/>
    <sheet name="N_censored_annual" sheetId="2" r:id="rId2"/>
    <sheet name="N_censored_check" sheetId="3" r:id="rId3"/>
    <sheet name="N_censored_check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" i="4" l="1"/>
  <c r="R48" i="4"/>
  <c r="N48" i="4"/>
  <c r="J48" i="4"/>
  <c r="F48" i="4"/>
  <c r="V47" i="4"/>
  <c r="R47" i="4"/>
  <c r="N47" i="4"/>
  <c r="J47" i="4"/>
  <c r="F47" i="4"/>
  <c r="V46" i="4"/>
  <c r="R46" i="4"/>
  <c r="N46" i="4"/>
  <c r="J46" i="4"/>
  <c r="F46" i="4"/>
  <c r="V45" i="4"/>
  <c r="R45" i="4"/>
  <c r="N45" i="4"/>
  <c r="J45" i="4"/>
  <c r="F45" i="4"/>
  <c r="V44" i="4"/>
  <c r="R44" i="4"/>
  <c r="N44" i="4"/>
  <c r="J44" i="4"/>
  <c r="F44" i="4"/>
  <c r="V43" i="4"/>
  <c r="R43" i="4"/>
  <c r="N43" i="4"/>
  <c r="J43" i="4"/>
  <c r="F43" i="4"/>
  <c r="V42" i="4"/>
  <c r="R42" i="4"/>
  <c r="N42" i="4"/>
  <c r="J42" i="4"/>
  <c r="F42" i="4"/>
  <c r="V41" i="4"/>
  <c r="R41" i="4"/>
  <c r="N41" i="4"/>
  <c r="J41" i="4"/>
  <c r="F41" i="4"/>
  <c r="V40" i="4"/>
  <c r="R40" i="4"/>
  <c r="N40" i="4"/>
  <c r="J40" i="4"/>
  <c r="F40" i="4"/>
  <c r="V39" i="4"/>
  <c r="R39" i="4"/>
  <c r="N39" i="4"/>
  <c r="J39" i="4"/>
  <c r="F39" i="4"/>
  <c r="V38" i="4"/>
  <c r="R38" i="4"/>
  <c r="N38" i="4"/>
  <c r="J38" i="4"/>
  <c r="F38" i="4"/>
  <c r="V37" i="4"/>
  <c r="R37" i="4"/>
  <c r="N37" i="4"/>
  <c r="J37" i="4"/>
  <c r="F37" i="4"/>
  <c r="V36" i="4"/>
  <c r="R36" i="4"/>
  <c r="N36" i="4"/>
  <c r="J36" i="4"/>
  <c r="F36" i="4"/>
  <c r="V35" i="4"/>
  <c r="R35" i="4"/>
  <c r="N35" i="4"/>
  <c r="J35" i="4"/>
  <c r="F35" i="4"/>
  <c r="V34" i="4"/>
  <c r="R34" i="4"/>
  <c r="N34" i="4"/>
  <c r="J34" i="4"/>
  <c r="F34" i="4"/>
  <c r="V33" i="4"/>
  <c r="R33" i="4"/>
  <c r="N33" i="4"/>
  <c r="J33" i="4"/>
  <c r="F33" i="4"/>
  <c r="V32" i="4"/>
  <c r="R32" i="4"/>
  <c r="N32" i="4"/>
  <c r="J32" i="4"/>
  <c r="F32" i="4"/>
  <c r="V31" i="4"/>
  <c r="R31" i="4"/>
  <c r="N31" i="4"/>
  <c r="J31" i="4"/>
  <c r="F31" i="4"/>
  <c r="V30" i="4"/>
  <c r="R30" i="4"/>
  <c r="N30" i="4"/>
  <c r="J30" i="4"/>
  <c r="F30" i="4"/>
  <c r="V29" i="4"/>
  <c r="R29" i="4"/>
  <c r="N29" i="4"/>
  <c r="J29" i="4"/>
  <c r="F29" i="4"/>
  <c r="V28" i="4"/>
  <c r="R28" i="4"/>
  <c r="N28" i="4"/>
  <c r="J28" i="4"/>
  <c r="F28" i="4"/>
  <c r="V27" i="4"/>
  <c r="R27" i="4"/>
  <c r="N27" i="4"/>
  <c r="J27" i="4"/>
  <c r="F27" i="4"/>
  <c r="V26" i="4"/>
  <c r="R26" i="4"/>
  <c r="N26" i="4"/>
  <c r="J26" i="4"/>
  <c r="F26" i="4"/>
  <c r="V25" i="4"/>
  <c r="R25" i="4"/>
  <c r="N25" i="4"/>
  <c r="J25" i="4"/>
  <c r="F25" i="4"/>
  <c r="V24" i="4"/>
  <c r="R24" i="4"/>
  <c r="N24" i="4"/>
  <c r="J24" i="4"/>
  <c r="F24" i="4"/>
  <c r="V23" i="4"/>
  <c r="R23" i="4"/>
  <c r="N23" i="4"/>
  <c r="J23" i="4"/>
  <c r="F23" i="4"/>
  <c r="V22" i="4"/>
  <c r="R22" i="4"/>
  <c r="N22" i="4"/>
  <c r="J22" i="4"/>
  <c r="F22" i="4"/>
  <c r="V21" i="4"/>
  <c r="R21" i="4"/>
  <c r="N21" i="4"/>
  <c r="J21" i="4"/>
  <c r="F21" i="4"/>
  <c r="V20" i="4"/>
  <c r="R20" i="4"/>
  <c r="N20" i="4"/>
  <c r="J20" i="4"/>
  <c r="F20" i="4"/>
  <c r="V19" i="4"/>
  <c r="R19" i="4"/>
  <c r="N19" i="4"/>
  <c r="J19" i="4"/>
  <c r="F19" i="4"/>
  <c r="V18" i="4"/>
  <c r="R18" i="4"/>
  <c r="N18" i="4"/>
  <c r="J18" i="4"/>
  <c r="F18" i="4"/>
  <c r="V17" i="4"/>
  <c r="R17" i="4"/>
  <c r="N17" i="4"/>
  <c r="J17" i="4"/>
  <c r="F17" i="4"/>
  <c r="V16" i="4"/>
  <c r="R16" i="4"/>
  <c r="N16" i="4"/>
  <c r="J16" i="4"/>
  <c r="F16" i="4"/>
  <c r="V15" i="4"/>
  <c r="R15" i="4"/>
  <c r="N15" i="4"/>
  <c r="J15" i="4"/>
  <c r="F15" i="4"/>
  <c r="V14" i="4"/>
  <c r="R14" i="4"/>
  <c r="N14" i="4"/>
  <c r="J14" i="4"/>
  <c r="F14" i="4"/>
  <c r="V13" i="4"/>
  <c r="R13" i="4"/>
  <c r="N13" i="4"/>
  <c r="J13" i="4"/>
  <c r="F13" i="4"/>
  <c r="V12" i="4"/>
  <c r="R12" i="4"/>
  <c r="N12" i="4"/>
  <c r="J12" i="4"/>
  <c r="F12" i="4"/>
  <c r="V11" i="4"/>
  <c r="R11" i="4"/>
  <c r="N11" i="4"/>
  <c r="J11" i="4"/>
  <c r="F11" i="4"/>
  <c r="V10" i="4"/>
  <c r="R10" i="4"/>
  <c r="N10" i="4"/>
  <c r="J10" i="4"/>
  <c r="F10" i="4"/>
  <c r="V9" i="4"/>
  <c r="R9" i="4"/>
  <c r="N9" i="4"/>
  <c r="J9" i="4"/>
  <c r="F9" i="4"/>
  <c r="V8" i="4"/>
  <c r="R8" i="4"/>
  <c r="N8" i="4"/>
  <c r="J8" i="4"/>
  <c r="F8" i="4"/>
  <c r="V7" i="4"/>
  <c r="R7" i="4"/>
  <c r="N7" i="4"/>
  <c r="J7" i="4"/>
  <c r="F7" i="4"/>
  <c r="V6" i="4"/>
  <c r="R6" i="4"/>
  <c r="N6" i="4"/>
  <c r="J6" i="4"/>
  <c r="F6" i="4"/>
  <c r="V5" i="4"/>
  <c r="R5" i="4"/>
  <c r="N5" i="4"/>
  <c r="J5" i="4"/>
  <c r="F5" i="4"/>
  <c r="V4" i="4"/>
  <c r="R4" i="4"/>
  <c r="N4" i="4"/>
  <c r="J4" i="4"/>
  <c r="F4" i="4"/>
  <c r="V3" i="4"/>
  <c r="R3" i="4"/>
  <c r="N3" i="4"/>
  <c r="J3" i="4"/>
  <c r="F3" i="4"/>
  <c r="V2" i="4"/>
  <c r="R2" i="4"/>
  <c r="N2" i="4"/>
  <c r="J2" i="4"/>
  <c r="F2" i="4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F2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2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</calcChain>
</file>

<file path=xl/sharedStrings.xml><?xml version="1.0" encoding="utf-8"?>
<sst xmlns="http://schemas.openxmlformats.org/spreadsheetml/2006/main" count="474" uniqueCount="64">
  <si>
    <t>site</t>
  </si>
  <si>
    <t>stage_best</t>
  </si>
  <si>
    <t>censored_eol_diag</t>
  </si>
  <si>
    <t>censored_end_diag</t>
  </si>
  <si>
    <t>censored_eol_treat_0_1</t>
  </si>
  <si>
    <t>censored_end_treat_0_1</t>
  </si>
  <si>
    <t>censored_eol_treat_1_2</t>
  </si>
  <si>
    <t>censored_end_treat_1_2</t>
  </si>
  <si>
    <t>censored_eol_treat_2_3</t>
  </si>
  <si>
    <t>censored_end_treat_2_3</t>
  </si>
  <si>
    <t>censored_eol_treat_3_4</t>
  </si>
  <si>
    <t>censored_end_treat_3_4</t>
  </si>
  <si>
    <t>censored_eol_treat_4_5</t>
  </si>
  <si>
    <t>censored_end_treat_4_5</t>
  </si>
  <si>
    <t>censored_eol_treat_5</t>
  </si>
  <si>
    <t>censored_end_treat_5</t>
  </si>
  <si>
    <t>censored_eol</t>
  </si>
  <si>
    <t>censored_end_eol</t>
  </si>
  <si>
    <t>censored_died_eol</t>
  </si>
  <si>
    <t>colorectal</t>
  </si>
  <si>
    <t>0</t>
  </si>
  <si>
    <t>1</t>
  </si>
  <si>
    <t>2</t>
  </si>
  <si>
    <t>3</t>
  </si>
  <si>
    <t>4</t>
  </si>
  <si>
    <t>Unknown/Missing</t>
  </si>
  <si>
    <t>head_neck</t>
  </si>
  <si>
    <t>liver</t>
  </si>
  <si>
    <t>lung</t>
  </si>
  <si>
    <t>lymphoma</t>
  </si>
  <si>
    <t>oesophagus</t>
  </si>
  <si>
    <t>ovary</t>
  </si>
  <si>
    <t>pancreas</t>
  </si>
  <si>
    <t>died_ac_treat_0_1</t>
  </si>
  <si>
    <t>censored_ac_treat_0_1</t>
  </si>
  <si>
    <t>died_ac_treat_1_2</t>
  </si>
  <si>
    <t>censored_ac_treat_1_2</t>
  </si>
  <si>
    <t>died_ac_treat_2_3</t>
  </si>
  <si>
    <t>censored_ac_treat_2_3</t>
  </si>
  <si>
    <t>died_ac_treat_3_4</t>
  </si>
  <si>
    <t>censored_ac_treat_3_4</t>
  </si>
  <si>
    <t>died_ac_treat_4_5</t>
  </si>
  <si>
    <t>censored_ac_treat_4_5</t>
  </si>
  <si>
    <t>died_treat_5</t>
  </si>
  <si>
    <t>censored_treat_5</t>
  </si>
  <si>
    <t>N_diag</t>
  </si>
  <si>
    <t>N_treat_0_1</t>
  </si>
  <si>
    <t>N_treat_1_2</t>
  </si>
  <si>
    <t>N_treat_2_3</t>
  </si>
  <si>
    <t>N_treat_3_4</t>
  </si>
  <si>
    <t>N_treat_4_5</t>
  </si>
  <si>
    <t>N_treat_5</t>
  </si>
  <si>
    <t>N_eol</t>
  </si>
  <si>
    <t>N_ac_treat_0_1</t>
  </si>
  <si>
    <t>N_ac_treat_1_2</t>
  </si>
  <si>
    <t>N_ac_treat_2_3</t>
  </si>
  <si>
    <t>N_ac_treat_3_4</t>
  </si>
  <si>
    <t>N_ac_treat_4_5</t>
  </si>
  <si>
    <t>N_ac_treat_5</t>
  </si>
  <si>
    <t>check</t>
  </si>
  <si>
    <t>Number died</t>
  </si>
  <si>
    <t>Number censored</t>
  </si>
  <si>
    <t>Number at start 0-1</t>
  </si>
  <si>
    <t>Number at start 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</si>
</sst>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opLeftCell="B1" workbookViewId="0">
      <pane ySplit="1" topLeftCell="A2" activePane="bottomLeft" state="frozen"/>
      <selection pane="bottomLeft" activeCell="H17" sqref="H17"/>
    </sheetView>
  </sheetViews>
  <sheetFormatPr baseColWidth="10" defaultColWidth="11.5" defaultRowHeight="15" x14ac:dyDescent="0.2"/>
  <cols>
    <col min="1" max="1" width="11.5" bestFit="1" customWidth="1"/>
    <col min="2" max="2" width="17.33203125" bestFit="1" customWidth="1"/>
    <col min="3" max="3" width="17.33203125" customWidth="1"/>
    <col min="4" max="4" width="18" bestFit="1" customWidth="1"/>
    <col min="5" max="5" width="18.5" bestFit="1" customWidth="1"/>
    <col min="6" max="6" width="18.5" customWidth="1"/>
    <col min="7" max="7" width="22.6640625" bestFit="1" customWidth="1"/>
    <col min="8" max="8" width="23.33203125" bestFit="1" customWidth="1"/>
    <col min="9" max="10" width="23.33203125" customWidth="1"/>
    <col min="11" max="11" width="22.6640625" bestFit="1" customWidth="1"/>
    <col min="12" max="12" width="23.33203125" bestFit="1" customWidth="1"/>
    <col min="13" max="13" width="23.33203125" customWidth="1"/>
    <col min="14" max="14" width="22.6640625" bestFit="1" customWidth="1"/>
    <col min="15" max="15" width="23.33203125" bestFit="1" customWidth="1"/>
    <col min="16" max="16" width="23.33203125" customWidth="1"/>
    <col min="17" max="17" width="22.6640625" bestFit="1" customWidth="1"/>
    <col min="18" max="18" width="23.33203125" bestFit="1" customWidth="1"/>
    <col min="19" max="19" width="23.33203125" customWidth="1"/>
    <col min="20" max="20" width="22.6640625" bestFit="1" customWidth="1"/>
    <col min="21" max="21" width="23.33203125" bestFit="1" customWidth="1"/>
    <col min="22" max="22" width="23.33203125" customWidth="1"/>
    <col min="23" max="23" width="20.5" bestFit="1" customWidth="1"/>
    <col min="24" max="24" width="21.1640625" bestFit="1" customWidth="1"/>
    <col min="25" max="25" width="21.1640625" customWidth="1"/>
    <col min="26" max="26" width="13.1640625" bestFit="1" customWidth="1"/>
    <col min="27" max="27" width="17.6640625" bestFit="1" customWidth="1"/>
    <col min="28" max="28" width="18.33203125" bestFit="1" customWidth="1"/>
  </cols>
  <sheetData>
    <row r="1" spans="1:28" x14ac:dyDescent="0.2">
      <c r="A1" t="s">
        <v>0</v>
      </c>
      <c r="B1" t="s">
        <v>1</v>
      </c>
      <c r="C1" t="s">
        <v>45</v>
      </c>
      <c r="D1" t="s">
        <v>2</v>
      </c>
      <c r="E1" t="s">
        <v>3</v>
      </c>
      <c r="F1" t="s">
        <v>46</v>
      </c>
      <c r="G1" t="s">
        <v>4</v>
      </c>
      <c r="H1" t="s">
        <v>5</v>
      </c>
      <c r="I1" t="s">
        <v>59</v>
      </c>
      <c r="J1" t="s">
        <v>47</v>
      </c>
      <c r="K1" t="s">
        <v>6</v>
      </c>
      <c r="L1" t="s">
        <v>7</v>
      </c>
      <c r="M1" t="s">
        <v>48</v>
      </c>
      <c r="N1" t="s">
        <v>8</v>
      </c>
      <c r="O1" t="s">
        <v>9</v>
      </c>
      <c r="P1" t="s">
        <v>49</v>
      </c>
      <c r="Q1" t="s">
        <v>10</v>
      </c>
      <c r="R1" t="s">
        <v>11</v>
      </c>
      <c r="S1" t="s">
        <v>50</v>
      </c>
      <c r="T1" t="s">
        <v>12</v>
      </c>
      <c r="U1" t="s">
        <v>13</v>
      </c>
      <c r="V1" t="s">
        <v>51</v>
      </c>
      <c r="W1" t="s">
        <v>14</v>
      </c>
      <c r="X1" t="s">
        <v>15</v>
      </c>
      <c r="Y1" t="s">
        <v>52</v>
      </c>
      <c r="Z1" t="s">
        <v>16</v>
      </c>
      <c r="AA1" t="s">
        <v>17</v>
      </c>
      <c r="AB1" t="s">
        <v>18</v>
      </c>
    </row>
    <row r="2" spans="1:28" x14ac:dyDescent="0.2">
      <c r="A2" t="s">
        <v>19</v>
      </c>
      <c r="B2" t="s">
        <v>20</v>
      </c>
      <c r="C2">
        <v>8546</v>
      </c>
      <c r="D2">
        <v>0</v>
      </c>
      <c r="E2">
        <v>0</v>
      </c>
      <c r="F2">
        <v>8195</v>
      </c>
      <c r="G2">
        <v>257</v>
      </c>
      <c r="H2">
        <v>0</v>
      </c>
      <c r="I2">
        <f>F2-G2-H2-J2</f>
        <v>0</v>
      </c>
      <c r="J2">
        <v>7938</v>
      </c>
      <c r="K2">
        <v>275</v>
      </c>
      <c r="L2">
        <v>0</v>
      </c>
      <c r="M2">
        <v>7663</v>
      </c>
      <c r="N2">
        <v>221</v>
      </c>
      <c r="O2">
        <v>1939</v>
      </c>
      <c r="P2">
        <v>5503</v>
      </c>
      <c r="Q2">
        <v>144</v>
      </c>
      <c r="R2">
        <v>1959</v>
      </c>
      <c r="S2">
        <v>3400</v>
      </c>
      <c r="T2">
        <v>82</v>
      </c>
      <c r="U2">
        <v>1751</v>
      </c>
      <c r="V2">
        <v>1566</v>
      </c>
      <c r="W2">
        <v>28</v>
      </c>
      <c r="X2">
        <v>1538</v>
      </c>
      <c r="Y2">
        <v>1359</v>
      </c>
      <c r="Z2">
        <v>0</v>
      </c>
      <c r="AA2">
        <v>271</v>
      </c>
      <c r="AB2">
        <v>351</v>
      </c>
    </row>
    <row r="3" spans="1:28" x14ac:dyDescent="0.2">
      <c r="A3" t="s">
        <v>19</v>
      </c>
      <c r="B3" t="s">
        <v>21</v>
      </c>
      <c r="C3">
        <v>15578</v>
      </c>
      <c r="D3">
        <v>0</v>
      </c>
      <c r="E3">
        <v>0</v>
      </c>
      <c r="F3">
        <v>15047</v>
      </c>
      <c r="G3">
        <v>453</v>
      </c>
      <c r="H3">
        <v>0</v>
      </c>
      <c r="I3">
        <f t="shared" ref="I3:I48" si="0">F3-G3-H3-J3</f>
        <v>0</v>
      </c>
      <c r="J3">
        <v>14594</v>
      </c>
      <c r="K3">
        <v>462</v>
      </c>
      <c r="L3">
        <v>0</v>
      </c>
      <c r="M3">
        <v>14131</v>
      </c>
      <c r="N3">
        <v>397</v>
      </c>
      <c r="O3">
        <v>3477</v>
      </c>
      <c r="P3">
        <v>10255</v>
      </c>
      <c r="Q3">
        <v>311</v>
      </c>
      <c r="R3">
        <v>3426</v>
      </c>
      <c r="S3">
        <v>6517</v>
      </c>
      <c r="T3">
        <v>176</v>
      </c>
      <c r="U3">
        <v>3286</v>
      </c>
      <c r="V3">
        <v>3055</v>
      </c>
      <c r="W3">
        <v>77</v>
      </c>
      <c r="X3">
        <v>2882</v>
      </c>
      <c r="Y3">
        <v>2411</v>
      </c>
      <c r="Z3">
        <v>0</v>
      </c>
      <c r="AA3">
        <v>502</v>
      </c>
      <c r="AB3">
        <v>530</v>
      </c>
    </row>
    <row r="4" spans="1:28" x14ac:dyDescent="0.2">
      <c r="A4" t="s">
        <v>19</v>
      </c>
      <c r="B4" t="s">
        <v>22</v>
      </c>
      <c r="C4">
        <v>20515</v>
      </c>
      <c r="D4">
        <v>0</v>
      </c>
      <c r="E4">
        <v>0</v>
      </c>
      <c r="F4">
        <v>19151</v>
      </c>
      <c r="G4">
        <v>941</v>
      </c>
      <c r="H4">
        <v>0</v>
      </c>
      <c r="I4">
        <f t="shared" si="0"/>
        <v>0</v>
      </c>
      <c r="J4">
        <v>18210</v>
      </c>
      <c r="K4">
        <v>890</v>
      </c>
      <c r="L4">
        <v>0</v>
      </c>
      <c r="M4">
        <v>17315</v>
      </c>
      <c r="N4">
        <v>760</v>
      </c>
      <c r="O4">
        <v>4170</v>
      </c>
      <c r="P4">
        <v>12383</v>
      </c>
      <c r="Q4">
        <v>486</v>
      </c>
      <c r="R4">
        <v>4038</v>
      </c>
      <c r="S4">
        <v>7853</v>
      </c>
      <c r="T4">
        <v>274</v>
      </c>
      <c r="U4">
        <v>3890</v>
      </c>
      <c r="V4">
        <v>3686</v>
      </c>
      <c r="W4">
        <v>87</v>
      </c>
      <c r="X4">
        <v>3567</v>
      </c>
      <c r="Y4">
        <v>4811</v>
      </c>
      <c r="Z4">
        <v>0</v>
      </c>
      <c r="AA4">
        <v>823</v>
      </c>
      <c r="AB4">
        <v>1356</v>
      </c>
    </row>
    <row r="5" spans="1:28" x14ac:dyDescent="0.2">
      <c r="A5" t="s">
        <v>19</v>
      </c>
      <c r="B5" t="s">
        <v>23</v>
      </c>
      <c r="C5">
        <v>25148</v>
      </c>
      <c r="D5">
        <v>0</v>
      </c>
      <c r="E5">
        <v>0</v>
      </c>
      <c r="F5">
        <v>22630</v>
      </c>
      <c r="G5">
        <v>2338</v>
      </c>
      <c r="H5">
        <v>0</v>
      </c>
      <c r="I5">
        <f t="shared" si="0"/>
        <v>8</v>
      </c>
      <c r="J5">
        <v>20284</v>
      </c>
      <c r="K5">
        <v>1876</v>
      </c>
      <c r="L5">
        <v>0</v>
      </c>
      <c r="M5">
        <v>18403</v>
      </c>
      <c r="N5">
        <v>1309</v>
      </c>
      <c r="O5">
        <v>4453</v>
      </c>
      <c r="P5">
        <v>12636</v>
      </c>
      <c r="Q5">
        <v>674</v>
      </c>
      <c r="R5">
        <v>4137</v>
      </c>
      <c r="S5">
        <v>7824</v>
      </c>
      <c r="T5">
        <v>342</v>
      </c>
      <c r="U5">
        <v>3952</v>
      </c>
      <c r="V5">
        <v>3529</v>
      </c>
      <c r="W5">
        <v>101</v>
      </c>
      <c r="X5">
        <v>3404</v>
      </c>
      <c r="Y5">
        <v>9173</v>
      </c>
      <c r="Z5">
        <v>0</v>
      </c>
      <c r="AA5">
        <v>1252</v>
      </c>
      <c r="AB5">
        <v>2503</v>
      </c>
    </row>
    <row r="6" spans="1:28" x14ac:dyDescent="0.2">
      <c r="A6" t="s">
        <v>19</v>
      </c>
      <c r="B6" t="s">
        <v>24</v>
      </c>
      <c r="C6">
        <v>20473</v>
      </c>
      <c r="D6">
        <v>0</v>
      </c>
      <c r="E6">
        <v>0</v>
      </c>
      <c r="F6">
        <v>9719</v>
      </c>
      <c r="G6">
        <v>3898</v>
      </c>
      <c r="H6">
        <v>0</v>
      </c>
      <c r="I6">
        <f t="shared" si="0"/>
        <v>6</v>
      </c>
      <c r="J6">
        <v>5815</v>
      </c>
      <c r="K6">
        <v>2036</v>
      </c>
      <c r="L6">
        <v>0</v>
      </c>
      <c r="M6">
        <v>3776</v>
      </c>
      <c r="N6">
        <v>874</v>
      </c>
      <c r="O6">
        <v>843</v>
      </c>
      <c r="P6">
        <v>2057</v>
      </c>
      <c r="Q6">
        <v>333</v>
      </c>
      <c r="R6">
        <v>647</v>
      </c>
      <c r="S6">
        <v>1077</v>
      </c>
      <c r="T6">
        <v>111</v>
      </c>
      <c r="U6">
        <v>503</v>
      </c>
      <c r="V6">
        <v>462</v>
      </c>
      <c r="W6">
        <v>27</v>
      </c>
      <c r="X6">
        <v>434</v>
      </c>
      <c r="Y6">
        <v>18044</v>
      </c>
      <c r="Z6">
        <v>0</v>
      </c>
      <c r="AA6">
        <v>686</v>
      </c>
      <c r="AB6">
        <v>10725</v>
      </c>
    </row>
    <row r="7" spans="1:28" x14ac:dyDescent="0.2">
      <c r="A7" t="s">
        <v>19</v>
      </c>
      <c r="B7" t="s">
        <v>25</v>
      </c>
      <c r="C7">
        <v>6648</v>
      </c>
      <c r="D7">
        <v>0</v>
      </c>
      <c r="E7">
        <v>0</v>
      </c>
      <c r="F7">
        <v>4463</v>
      </c>
      <c r="G7">
        <v>604</v>
      </c>
      <c r="H7">
        <v>0</v>
      </c>
      <c r="I7">
        <f t="shared" si="0"/>
        <v>4</v>
      </c>
      <c r="J7">
        <v>3855</v>
      </c>
      <c r="K7">
        <v>357</v>
      </c>
      <c r="L7">
        <v>0</v>
      </c>
      <c r="M7">
        <v>3497</v>
      </c>
      <c r="N7">
        <v>213</v>
      </c>
      <c r="O7">
        <v>777</v>
      </c>
      <c r="P7">
        <v>2507</v>
      </c>
      <c r="Q7">
        <v>102</v>
      </c>
      <c r="R7">
        <v>724</v>
      </c>
      <c r="S7">
        <v>1681</v>
      </c>
      <c r="T7">
        <v>66</v>
      </c>
      <c r="U7">
        <v>619</v>
      </c>
      <c r="V7">
        <v>996</v>
      </c>
      <c r="W7">
        <v>17</v>
      </c>
      <c r="X7">
        <v>969</v>
      </c>
      <c r="Y7">
        <v>3549</v>
      </c>
      <c r="Z7">
        <v>0</v>
      </c>
      <c r="AA7">
        <v>193</v>
      </c>
      <c r="AB7">
        <v>2181</v>
      </c>
    </row>
    <row r="8" spans="1:28" x14ac:dyDescent="0.2">
      <c r="A8" t="s">
        <v>26</v>
      </c>
      <c r="B8" t="s">
        <v>20</v>
      </c>
      <c r="C8">
        <v>1713</v>
      </c>
      <c r="D8">
        <v>0</v>
      </c>
      <c r="E8">
        <v>0</v>
      </c>
      <c r="F8">
        <v>1656</v>
      </c>
      <c r="G8">
        <v>72</v>
      </c>
      <c r="H8">
        <v>0</v>
      </c>
      <c r="I8">
        <f t="shared" si="0"/>
        <v>1</v>
      </c>
      <c r="J8">
        <v>1583</v>
      </c>
      <c r="K8">
        <v>71</v>
      </c>
      <c r="L8">
        <v>0</v>
      </c>
      <c r="M8">
        <v>1512</v>
      </c>
      <c r="N8">
        <v>53</v>
      </c>
      <c r="O8">
        <v>372</v>
      </c>
      <c r="P8">
        <v>1087</v>
      </c>
      <c r="Q8">
        <v>55</v>
      </c>
      <c r="R8">
        <v>361</v>
      </c>
      <c r="S8">
        <v>670</v>
      </c>
      <c r="T8">
        <v>19</v>
      </c>
      <c r="U8">
        <v>314</v>
      </c>
      <c r="V8">
        <v>337</v>
      </c>
      <c r="W8">
        <v>8</v>
      </c>
      <c r="X8">
        <v>329</v>
      </c>
      <c r="Y8">
        <v>337</v>
      </c>
      <c r="Z8">
        <v>0</v>
      </c>
      <c r="AA8">
        <v>70</v>
      </c>
      <c r="AB8">
        <v>57</v>
      </c>
    </row>
    <row r="9" spans="1:28" x14ac:dyDescent="0.2">
      <c r="A9" t="s">
        <v>26</v>
      </c>
      <c r="B9" t="s">
        <v>21</v>
      </c>
      <c r="C9">
        <v>5126</v>
      </c>
      <c r="D9">
        <v>0</v>
      </c>
      <c r="E9">
        <v>0</v>
      </c>
      <c r="F9">
        <v>4966</v>
      </c>
      <c r="G9">
        <v>267</v>
      </c>
      <c r="H9">
        <v>0</v>
      </c>
      <c r="I9">
        <f t="shared" si="0"/>
        <v>1</v>
      </c>
      <c r="J9">
        <v>4698</v>
      </c>
      <c r="K9">
        <v>228</v>
      </c>
      <c r="L9">
        <v>0</v>
      </c>
      <c r="M9">
        <v>4470</v>
      </c>
      <c r="N9">
        <v>182</v>
      </c>
      <c r="O9">
        <v>1095</v>
      </c>
      <c r="P9">
        <v>3193</v>
      </c>
      <c r="Q9">
        <v>133</v>
      </c>
      <c r="R9">
        <v>1028</v>
      </c>
      <c r="S9">
        <v>2031</v>
      </c>
      <c r="T9">
        <v>77</v>
      </c>
      <c r="U9">
        <v>1018</v>
      </c>
      <c r="V9">
        <v>936</v>
      </c>
      <c r="W9">
        <v>35</v>
      </c>
      <c r="X9">
        <v>898</v>
      </c>
      <c r="Y9">
        <v>1083</v>
      </c>
      <c r="Z9">
        <v>0</v>
      </c>
      <c r="AA9">
        <v>242</v>
      </c>
      <c r="AB9">
        <v>156</v>
      </c>
    </row>
    <row r="10" spans="1:28" x14ac:dyDescent="0.2">
      <c r="A10" t="s">
        <v>26</v>
      </c>
      <c r="B10" t="s">
        <v>22</v>
      </c>
      <c r="C10">
        <v>3192</v>
      </c>
      <c r="D10">
        <v>0</v>
      </c>
      <c r="E10">
        <v>0</v>
      </c>
      <c r="F10">
        <v>2931</v>
      </c>
      <c r="G10">
        <v>285</v>
      </c>
      <c r="H10">
        <v>0</v>
      </c>
      <c r="I10">
        <f t="shared" si="0"/>
        <v>1</v>
      </c>
      <c r="J10">
        <v>2645</v>
      </c>
      <c r="K10">
        <v>205</v>
      </c>
      <c r="L10">
        <v>0</v>
      </c>
      <c r="M10">
        <v>2439</v>
      </c>
      <c r="N10">
        <v>148</v>
      </c>
      <c r="O10">
        <v>622</v>
      </c>
      <c r="P10">
        <v>1668</v>
      </c>
      <c r="Q10">
        <v>60</v>
      </c>
      <c r="R10">
        <v>587</v>
      </c>
      <c r="S10">
        <v>1021</v>
      </c>
      <c r="T10">
        <v>38</v>
      </c>
      <c r="U10">
        <v>525</v>
      </c>
      <c r="V10">
        <v>457</v>
      </c>
      <c r="W10">
        <v>12</v>
      </c>
      <c r="X10">
        <v>440</v>
      </c>
      <c r="Y10">
        <v>1012</v>
      </c>
      <c r="Z10">
        <v>0</v>
      </c>
      <c r="AA10">
        <v>141</v>
      </c>
      <c r="AB10">
        <v>260</v>
      </c>
    </row>
    <row r="11" spans="1:28" x14ac:dyDescent="0.2">
      <c r="A11" t="s">
        <v>26</v>
      </c>
      <c r="B11" t="s">
        <v>23</v>
      </c>
      <c r="C11">
        <v>3360</v>
      </c>
      <c r="D11">
        <v>0</v>
      </c>
      <c r="E11">
        <v>0</v>
      </c>
      <c r="F11">
        <v>2914</v>
      </c>
      <c r="G11">
        <v>366</v>
      </c>
      <c r="H11">
        <v>0</v>
      </c>
      <c r="I11">
        <f t="shared" si="0"/>
        <v>2</v>
      </c>
      <c r="J11">
        <v>2546</v>
      </c>
      <c r="K11">
        <v>212</v>
      </c>
      <c r="L11">
        <v>0</v>
      </c>
      <c r="M11">
        <v>2334</v>
      </c>
      <c r="N11">
        <v>150</v>
      </c>
      <c r="O11">
        <v>612</v>
      </c>
      <c r="P11">
        <v>1572</v>
      </c>
      <c r="Q11">
        <v>84</v>
      </c>
      <c r="R11">
        <v>523</v>
      </c>
      <c r="S11">
        <v>965</v>
      </c>
      <c r="T11">
        <v>53</v>
      </c>
      <c r="U11">
        <v>497</v>
      </c>
      <c r="V11">
        <v>415</v>
      </c>
      <c r="W11">
        <v>6</v>
      </c>
      <c r="X11">
        <v>407</v>
      </c>
      <c r="Y11">
        <v>1319</v>
      </c>
      <c r="Z11">
        <v>0</v>
      </c>
      <c r="AA11">
        <v>154</v>
      </c>
      <c r="AB11">
        <v>443</v>
      </c>
    </row>
    <row r="12" spans="1:28" x14ac:dyDescent="0.2">
      <c r="A12" t="s">
        <v>26</v>
      </c>
      <c r="B12" t="s">
        <v>24</v>
      </c>
      <c r="C12">
        <v>13848</v>
      </c>
      <c r="D12">
        <v>0</v>
      </c>
      <c r="E12">
        <v>0</v>
      </c>
      <c r="F12">
        <v>9933</v>
      </c>
      <c r="G12">
        <v>1827</v>
      </c>
      <c r="H12">
        <v>0</v>
      </c>
      <c r="I12">
        <f t="shared" si="0"/>
        <v>5</v>
      </c>
      <c r="J12">
        <v>8101</v>
      </c>
      <c r="K12">
        <v>878</v>
      </c>
      <c r="L12">
        <v>0</v>
      </c>
      <c r="M12">
        <v>7221</v>
      </c>
      <c r="N12">
        <v>481</v>
      </c>
      <c r="O12">
        <v>1908</v>
      </c>
      <c r="P12">
        <v>4832</v>
      </c>
      <c r="Q12">
        <v>261</v>
      </c>
      <c r="R12">
        <v>1709</v>
      </c>
      <c r="S12">
        <v>2862</v>
      </c>
      <c r="T12">
        <v>126</v>
      </c>
      <c r="U12">
        <v>1495</v>
      </c>
      <c r="V12">
        <v>1241</v>
      </c>
      <c r="W12">
        <v>28</v>
      </c>
      <c r="X12">
        <v>1199</v>
      </c>
      <c r="Y12">
        <v>7523</v>
      </c>
      <c r="Z12">
        <v>0</v>
      </c>
      <c r="AA12">
        <v>482</v>
      </c>
      <c r="AB12">
        <v>3893</v>
      </c>
    </row>
    <row r="13" spans="1:28" x14ac:dyDescent="0.2">
      <c r="A13" t="s">
        <v>26</v>
      </c>
      <c r="B13" t="s">
        <v>25</v>
      </c>
      <c r="C13">
        <v>3085</v>
      </c>
      <c r="D13">
        <v>0</v>
      </c>
      <c r="E13">
        <v>0</v>
      </c>
      <c r="F13">
        <v>2262</v>
      </c>
      <c r="G13">
        <v>232</v>
      </c>
      <c r="H13">
        <v>0</v>
      </c>
      <c r="I13">
        <f t="shared" si="0"/>
        <v>1</v>
      </c>
      <c r="J13">
        <v>2029</v>
      </c>
      <c r="K13">
        <v>159</v>
      </c>
      <c r="L13">
        <v>0</v>
      </c>
      <c r="M13">
        <v>1870</v>
      </c>
      <c r="N13">
        <v>100</v>
      </c>
      <c r="O13">
        <v>343</v>
      </c>
      <c r="P13">
        <v>1427</v>
      </c>
      <c r="Q13">
        <v>55</v>
      </c>
      <c r="R13">
        <v>347</v>
      </c>
      <c r="S13">
        <v>1025</v>
      </c>
      <c r="T13">
        <v>48</v>
      </c>
      <c r="U13">
        <v>392</v>
      </c>
      <c r="V13">
        <v>584</v>
      </c>
      <c r="W13">
        <v>21</v>
      </c>
      <c r="X13">
        <v>558</v>
      </c>
      <c r="Y13">
        <v>1439</v>
      </c>
      <c r="Z13">
        <v>0</v>
      </c>
      <c r="AA13">
        <v>113</v>
      </c>
      <c r="AB13">
        <v>819</v>
      </c>
    </row>
    <row r="14" spans="1:28" x14ac:dyDescent="0.2">
      <c r="A14" t="s">
        <v>27</v>
      </c>
      <c r="B14" t="s">
        <v>20</v>
      </c>
      <c r="C14">
        <v>11</v>
      </c>
      <c r="D14">
        <v>0</v>
      </c>
      <c r="E14">
        <v>0</v>
      </c>
      <c r="F14">
        <v>11</v>
      </c>
      <c r="G14">
        <v>0</v>
      </c>
      <c r="H14">
        <v>0</v>
      </c>
      <c r="I14">
        <f t="shared" si="0"/>
        <v>0</v>
      </c>
      <c r="J14">
        <v>11</v>
      </c>
      <c r="K14">
        <v>0</v>
      </c>
      <c r="L14">
        <v>0</v>
      </c>
      <c r="M14">
        <v>11</v>
      </c>
      <c r="N14">
        <v>1</v>
      </c>
      <c r="O14">
        <v>3</v>
      </c>
      <c r="P14">
        <v>7</v>
      </c>
      <c r="Q14">
        <v>0</v>
      </c>
      <c r="R14">
        <v>1</v>
      </c>
      <c r="S14">
        <v>6</v>
      </c>
      <c r="T14">
        <v>0</v>
      </c>
      <c r="U14">
        <v>3</v>
      </c>
      <c r="V14">
        <v>3</v>
      </c>
      <c r="W14">
        <v>0</v>
      </c>
      <c r="X14">
        <v>3</v>
      </c>
      <c r="Y14">
        <v>1</v>
      </c>
      <c r="Z14">
        <v>0</v>
      </c>
      <c r="AA14">
        <v>1</v>
      </c>
      <c r="AB14">
        <v>0</v>
      </c>
    </row>
    <row r="15" spans="1:28" x14ac:dyDescent="0.2">
      <c r="A15" t="s">
        <v>27</v>
      </c>
      <c r="B15" t="s">
        <v>21</v>
      </c>
      <c r="C15">
        <v>1060</v>
      </c>
      <c r="D15">
        <v>0</v>
      </c>
      <c r="E15">
        <v>0</v>
      </c>
      <c r="F15">
        <v>858</v>
      </c>
      <c r="G15">
        <v>160</v>
      </c>
      <c r="H15">
        <v>0</v>
      </c>
      <c r="I15">
        <f t="shared" si="0"/>
        <v>0</v>
      </c>
      <c r="J15">
        <v>698</v>
      </c>
      <c r="K15">
        <v>111</v>
      </c>
      <c r="L15">
        <v>0</v>
      </c>
      <c r="M15">
        <v>587</v>
      </c>
      <c r="N15">
        <v>53</v>
      </c>
      <c r="O15">
        <v>191</v>
      </c>
      <c r="P15">
        <v>342</v>
      </c>
      <c r="Q15">
        <v>39</v>
      </c>
      <c r="R15">
        <v>119</v>
      </c>
      <c r="S15">
        <v>184</v>
      </c>
      <c r="T15">
        <v>11</v>
      </c>
      <c r="U15">
        <v>100</v>
      </c>
      <c r="V15">
        <v>73</v>
      </c>
      <c r="W15">
        <v>5</v>
      </c>
      <c r="X15">
        <v>64</v>
      </c>
      <c r="Y15">
        <v>582</v>
      </c>
      <c r="Z15">
        <v>0</v>
      </c>
      <c r="AA15">
        <v>62</v>
      </c>
      <c r="AB15">
        <v>201</v>
      </c>
    </row>
    <row r="16" spans="1:28" x14ac:dyDescent="0.2">
      <c r="A16" t="s">
        <v>27</v>
      </c>
      <c r="B16" t="s">
        <v>22</v>
      </c>
      <c r="C16">
        <v>1230</v>
      </c>
      <c r="D16">
        <v>0</v>
      </c>
      <c r="E16">
        <v>0</v>
      </c>
      <c r="F16">
        <v>886</v>
      </c>
      <c r="G16">
        <v>223</v>
      </c>
      <c r="H16">
        <v>0</v>
      </c>
      <c r="I16">
        <f t="shared" si="0"/>
        <v>1</v>
      </c>
      <c r="J16">
        <v>662</v>
      </c>
      <c r="K16">
        <v>130</v>
      </c>
      <c r="L16">
        <v>0</v>
      </c>
      <c r="M16">
        <v>532</v>
      </c>
      <c r="N16">
        <v>93</v>
      </c>
      <c r="O16">
        <v>142</v>
      </c>
      <c r="P16">
        <v>297</v>
      </c>
      <c r="Q16">
        <v>25</v>
      </c>
      <c r="R16">
        <v>116</v>
      </c>
      <c r="S16">
        <v>155</v>
      </c>
      <c r="T16">
        <v>18</v>
      </c>
      <c r="U16">
        <v>85</v>
      </c>
      <c r="V16">
        <v>52</v>
      </c>
      <c r="W16">
        <v>3</v>
      </c>
      <c r="X16">
        <v>47</v>
      </c>
      <c r="Y16">
        <v>837</v>
      </c>
      <c r="Z16">
        <v>0</v>
      </c>
      <c r="AA16">
        <v>80</v>
      </c>
      <c r="AB16">
        <v>343</v>
      </c>
    </row>
    <row r="17" spans="1:28" x14ac:dyDescent="0.2">
      <c r="A17" t="s">
        <v>27</v>
      </c>
      <c r="B17" t="s">
        <v>23</v>
      </c>
      <c r="C17">
        <v>1010</v>
      </c>
      <c r="D17">
        <v>0</v>
      </c>
      <c r="E17">
        <v>0</v>
      </c>
      <c r="F17">
        <v>420</v>
      </c>
      <c r="G17">
        <v>174</v>
      </c>
      <c r="H17">
        <v>0</v>
      </c>
      <c r="I17">
        <f t="shared" si="0"/>
        <v>1</v>
      </c>
      <c r="J17">
        <v>245</v>
      </c>
      <c r="K17">
        <v>89</v>
      </c>
      <c r="L17">
        <v>0</v>
      </c>
      <c r="M17">
        <v>155</v>
      </c>
      <c r="N17">
        <v>29</v>
      </c>
      <c r="O17">
        <v>38</v>
      </c>
      <c r="P17">
        <v>88</v>
      </c>
      <c r="Q17">
        <v>17</v>
      </c>
      <c r="R17">
        <v>30</v>
      </c>
      <c r="S17">
        <v>41</v>
      </c>
      <c r="T17">
        <v>2</v>
      </c>
      <c r="U17">
        <v>21</v>
      </c>
      <c r="V17">
        <v>18</v>
      </c>
      <c r="W17">
        <v>1</v>
      </c>
      <c r="X17">
        <v>15</v>
      </c>
      <c r="Y17">
        <v>904</v>
      </c>
      <c r="Z17">
        <v>0</v>
      </c>
      <c r="AA17">
        <v>38</v>
      </c>
      <c r="AB17">
        <v>589</v>
      </c>
    </row>
    <row r="18" spans="1:28" x14ac:dyDescent="0.2">
      <c r="A18" t="s">
        <v>27</v>
      </c>
      <c r="B18" t="s">
        <v>24</v>
      </c>
      <c r="C18">
        <v>3801</v>
      </c>
      <c r="D18">
        <v>0</v>
      </c>
      <c r="E18">
        <v>0</v>
      </c>
      <c r="F18">
        <v>814</v>
      </c>
      <c r="G18">
        <v>489</v>
      </c>
      <c r="H18">
        <v>0</v>
      </c>
      <c r="I18">
        <f t="shared" si="0"/>
        <v>1</v>
      </c>
      <c r="J18">
        <v>324</v>
      </c>
      <c r="K18">
        <v>144</v>
      </c>
      <c r="L18">
        <v>0</v>
      </c>
      <c r="M18">
        <v>180</v>
      </c>
      <c r="N18">
        <v>50</v>
      </c>
      <c r="O18">
        <v>34</v>
      </c>
      <c r="P18">
        <v>96</v>
      </c>
      <c r="Q18">
        <v>19</v>
      </c>
      <c r="R18">
        <v>34</v>
      </c>
      <c r="S18">
        <v>43</v>
      </c>
      <c r="T18">
        <v>6</v>
      </c>
      <c r="U18">
        <v>21</v>
      </c>
      <c r="V18">
        <v>16</v>
      </c>
      <c r="W18">
        <v>1</v>
      </c>
      <c r="X18">
        <v>15</v>
      </c>
      <c r="Y18">
        <v>3697</v>
      </c>
      <c r="Z18">
        <v>0</v>
      </c>
      <c r="AA18">
        <v>39</v>
      </c>
      <c r="AB18">
        <v>2983</v>
      </c>
    </row>
    <row r="19" spans="1:28" x14ac:dyDescent="0.2">
      <c r="A19" t="s">
        <v>27</v>
      </c>
      <c r="B19" t="s">
        <v>25</v>
      </c>
      <c r="C19">
        <v>6232</v>
      </c>
      <c r="D19">
        <v>0</v>
      </c>
      <c r="E19">
        <v>0</v>
      </c>
      <c r="F19">
        <v>2588</v>
      </c>
      <c r="G19">
        <v>897</v>
      </c>
      <c r="H19">
        <v>0</v>
      </c>
      <c r="I19">
        <f t="shared" si="0"/>
        <v>2</v>
      </c>
      <c r="J19">
        <v>1689</v>
      </c>
      <c r="K19">
        <v>475</v>
      </c>
      <c r="L19">
        <v>0</v>
      </c>
      <c r="M19">
        <v>1214</v>
      </c>
      <c r="N19">
        <v>252</v>
      </c>
      <c r="O19">
        <v>218</v>
      </c>
      <c r="P19">
        <v>743</v>
      </c>
      <c r="Q19">
        <v>102</v>
      </c>
      <c r="R19">
        <v>199</v>
      </c>
      <c r="S19">
        <v>441</v>
      </c>
      <c r="T19">
        <v>47</v>
      </c>
      <c r="U19">
        <v>168</v>
      </c>
      <c r="V19">
        <v>226</v>
      </c>
      <c r="W19">
        <v>20</v>
      </c>
      <c r="X19">
        <v>202</v>
      </c>
      <c r="Y19">
        <v>5440</v>
      </c>
      <c r="Z19">
        <v>0</v>
      </c>
      <c r="AA19">
        <v>197</v>
      </c>
      <c r="AB19">
        <v>3642</v>
      </c>
    </row>
    <row r="20" spans="1:28" x14ac:dyDescent="0.2">
      <c r="A20" t="s">
        <v>28</v>
      </c>
      <c r="B20" t="s">
        <v>20</v>
      </c>
      <c r="C20">
        <v>241</v>
      </c>
      <c r="D20">
        <v>0</v>
      </c>
      <c r="E20">
        <v>0</v>
      </c>
      <c r="F20">
        <v>218</v>
      </c>
      <c r="G20">
        <v>18</v>
      </c>
      <c r="H20">
        <v>0</v>
      </c>
      <c r="I20">
        <f t="shared" si="0"/>
        <v>0</v>
      </c>
      <c r="J20">
        <v>200</v>
      </c>
      <c r="K20">
        <v>16</v>
      </c>
      <c r="L20">
        <v>0</v>
      </c>
      <c r="M20">
        <v>184</v>
      </c>
      <c r="N20">
        <v>16</v>
      </c>
      <c r="O20">
        <v>63</v>
      </c>
      <c r="P20">
        <v>104</v>
      </c>
      <c r="Q20">
        <v>4</v>
      </c>
      <c r="R20">
        <v>33</v>
      </c>
      <c r="S20">
        <v>66</v>
      </c>
      <c r="T20">
        <v>3</v>
      </c>
      <c r="U20">
        <v>35</v>
      </c>
      <c r="V20">
        <v>28</v>
      </c>
      <c r="W20">
        <v>0</v>
      </c>
      <c r="X20">
        <v>28</v>
      </c>
      <c r="Y20">
        <v>82</v>
      </c>
      <c r="Z20">
        <v>0</v>
      </c>
      <c r="AA20">
        <v>8</v>
      </c>
      <c r="AB20">
        <v>23</v>
      </c>
    </row>
    <row r="21" spans="1:28" x14ac:dyDescent="0.2">
      <c r="A21" t="s">
        <v>28</v>
      </c>
      <c r="B21" t="s">
        <v>21</v>
      </c>
      <c r="C21">
        <v>18875</v>
      </c>
      <c r="D21">
        <v>0</v>
      </c>
      <c r="E21">
        <v>0</v>
      </c>
      <c r="F21">
        <v>16489</v>
      </c>
      <c r="G21">
        <v>2310</v>
      </c>
      <c r="H21">
        <v>0</v>
      </c>
      <c r="I21">
        <f t="shared" si="0"/>
        <v>7</v>
      </c>
      <c r="J21">
        <v>14172</v>
      </c>
      <c r="K21">
        <v>1758</v>
      </c>
      <c r="L21">
        <v>0</v>
      </c>
      <c r="M21">
        <v>12411</v>
      </c>
      <c r="N21">
        <v>1105</v>
      </c>
      <c r="O21">
        <v>3363</v>
      </c>
      <c r="P21">
        <v>7942</v>
      </c>
      <c r="Q21">
        <v>620</v>
      </c>
      <c r="R21">
        <v>2798</v>
      </c>
      <c r="S21">
        <v>4524</v>
      </c>
      <c r="T21">
        <v>334</v>
      </c>
      <c r="U21">
        <v>2231</v>
      </c>
      <c r="V21">
        <v>1958</v>
      </c>
      <c r="W21">
        <v>109</v>
      </c>
      <c r="X21">
        <v>1768</v>
      </c>
      <c r="Y21">
        <v>8634</v>
      </c>
      <c r="Z21">
        <v>0</v>
      </c>
      <c r="AA21">
        <v>1167</v>
      </c>
      <c r="AB21">
        <v>2377</v>
      </c>
    </row>
    <row r="22" spans="1:28" x14ac:dyDescent="0.2">
      <c r="A22" t="s">
        <v>28</v>
      </c>
      <c r="B22" t="s">
        <v>22</v>
      </c>
      <c r="C22">
        <v>8176</v>
      </c>
      <c r="D22">
        <v>0</v>
      </c>
      <c r="E22">
        <v>0</v>
      </c>
      <c r="F22">
        <v>5999</v>
      </c>
      <c r="G22">
        <v>1477</v>
      </c>
      <c r="H22">
        <v>0</v>
      </c>
      <c r="I22">
        <f t="shared" si="0"/>
        <v>0</v>
      </c>
      <c r="J22">
        <v>4522</v>
      </c>
      <c r="K22">
        <v>802</v>
      </c>
      <c r="L22">
        <v>0</v>
      </c>
      <c r="M22">
        <v>3720</v>
      </c>
      <c r="N22">
        <v>505</v>
      </c>
      <c r="O22">
        <v>896</v>
      </c>
      <c r="P22">
        <v>2318</v>
      </c>
      <c r="Q22">
        <v>252</v>
      </c>
      <c r="R22">
        <v>758</v>
      </c>
      <c r="S22">
        <v>1307</v>
      </c>
      <c r="T22">
        <v>105</v>
      </c>
      <c r="U22">
        <v>647</v>
      </c>
      <c r="V22">
        <v>555</v>
      </c>
      <c r="W22">
        <v>30</v>
      </c>
      <c r="X22">
        <v>514</v>
      </c>
      <c r="Y22">
        <v>5350</v>
      </c>
      <c r="Z22">
        <v>0</v>
      </c>
      <c r="AA22">
        <v>442</v>
      </c>
      <c r="AB22">
        <v>2170</v>
      </c>
    </row>
    <row r="23" spans="1:28" x14ac:dyDescent="0.2">
      <c r="A23" t="s">
        <v>28</v>
      </c>
      <c r="B23" t="s">
        <v>23</v>
      </c>
      <c r="C23">
        <v>21649</v>
      </c>
      <c r="D23">
        <v>0</v>
      </c>
      <c r="E23">
        <v>0</v>
      </c>
      <c r="F23">
        <v>10902</v>
      </c>
      <c r="G23">
        <v>4644</v>
      </c>
      <c r="H23">
        <v>0</v>
      </c>
      <c r="I23">
        <f t="shared" si="0"/>
        <v>10</v>
      </c>
      <c r="J23">
        <v>6248</v>
      </c>
      <c r="K23">
        <v>1831</v>
      </c>
      <c r="L23">
        <v>0</v>
      </c>
      <c r="M23">
        <v>4415</v>
      </c>
      <c r="N23">
        <v>837</v>
      </c>
      <c r="O23">
        <v>1104</v>
      </c>
      <c r="P23">
        <v>2473</v>
      </c>
      <c r="Q23">
        <v>369</v>
      </c>
      <c r="R23">
        <v>815</v>
      </c>
      <c r="S23">
        <v>1289</v>
      </c>
      <c r="T23">
        <v>134</v>
      </c>
      <c r="U23">
        <v>623</v>
      </c>
      <c r="V23">
        <v>532</v>
      </c>
      <c r="W23">
        <v>34</v>
      </c>
      <c r="X23">
        <v>493</v>
      </c>
      <c r="Y23">
        <v>18610</v>
      </c>
      <c r="Z23">
        <v>0</v>
      </c>
      <c r="AA23">
        <v>763</v>
      </c>
      <c r="AB23">
        <v>10704</v>
      </c>
    </row>
    <row r="24" spans="1:28" x14ac:dyDescent="0.2">
      <c r="A24" t="s">
        <v>28</v>
      </c>
      <c r="B24" t="s">
        <v>24</v>
      </c>
      <c r="C24">
        <v>52465</v>
      </c>
      <c r="D24">
        <v>0</v>
      </c>
      <c r="E24">
        <v>0</v>
      </c>
      <c r="F24">
        <v>10430</v>
      </c>
      <c r="G24">
        <v>5877</v>
      </c>
      <c r="H24">
        <v>0</v>
      </c>
      <c r="I24">
        <f t="shared" si="0"/>
        <v>11</v>
      </c>
      <c r="J24">
        <v>4542</v>
      </c>
      <c r="K24">
        <v>1730</v>
      </c>
      <c r="L24">
        <v>0</v>
      </c>
      <c r="M24">
        <v>2810</v>
      </c>
      <c r="N24">
        <v>705</v>
      </c>
      <c r="O24">
        <v>750</v>
      </c>
      <c r="P24">
        <v>1354</v>
      </c>
      <c r="Q24">
        <v>212</v>
      </c>
      <c r="R24">
        <v>483</v>
      </c>
      <c r="S24">
        <v>657</v>
      </c>
      <c r="T24">
        <v>79</v>
      </c>
      <c r="U24">
        <v>281</v>
      </c>
      <c r="V24">
        <v>297</v>
      </c>
      <c r="W24">
        <v>19</v>
      </c>
      <c r="X24">
        <v>275</v>
      </c>
      <c r="Y24">
        <v>50673</v>
      </c>
      <c r="Z24">
        <v>0</v>
      </c>
      <c r="AA24">
        <v>599</v>
      </c>
      <c r="AB24">
        <v>41977</v>
      </c>
    </row>
    <row r="25" spans="1:28" x14ac:dyDescent="0.2">
      <c r="A25" t="s">
        <v>28</v>
      </c>
      <c r="B25" t="s">
        <v>25</v>
      </c>
      <c r="C25">
        <v>5714</v>
      </c>
      <c r="D25">
        <v>0</v>
      </c>
      <c r="E25">
        <v>0</v>
      </c>
      <c r="F25">
        <v>1816</v>
      </c>
      <c r="G25">
        <v>540</v>
      </c>
      <c r="H25">
        <v>0</v>
      </c>
      <c r="I25">
        <f t="shared" si="0"/>
        <v>1</v>
      </c>
      <c r="J25">
        <v>1275</v>
      </c>
      <c r="K25">
        <v>233</v>
      </c>
      <c r="L25">
        <v>0</v>
      </c>
      <c r="M25">
        <v>1042</v>
      </c>
      <c r="N25">
        <v>133</v>
      </c>
      <c r="O25">
        <v>202</v>
      </c>
      <c r="P25">
        <v>707</v>
      </c>
      <c r="Q25">
        <v>82</v>
      </c>
      <c r="R25">
        <v>180</v>
      </c>
      <c r="S25">
        <v>445</v>
      </c>
      <c r="T25">
        <v>36</v>
      </c>
      <c r="U25">
        <v>177</v>
      </c>
      <c r="V25">
        <v>232</v>
      </c>
      <c r="W25">
        <v>13</v>
      </c>
      <c r="X25">
        <v>218</v>
      </c>
      <c r="Y25">
        <v>4937</v>
      </c>
      <c r="Z25">
        <v>0</v>
      </c>
      <c r="AA25">
        <v>130</v>
      </c>
      <c r="AB25">
        <v>3894</v>
      </c>
    </row>
    <row r="26" spans="1:28" x14ac:dyDescent="0.2">
      <c r="A26" t="s">
        <v>29</v>
      </c>
      <c r="B26" t="s">
        <v>21</v>
      </c>
      <c r="C26">
        <v>5534</v>
      </c>
      <c r="D26">
        <v>0</v>
      </c>
      <c r="E26">
        <v>0</v>
      </c>
      <c r="F26">
        <v>5046</v>
      </c>
      <c r="G26">
        <v>257</v>
      </c>
      <c r="H26">
        <v>0</v>
      </c>
      <c r="I26">
        <f t="shared" si="0"/>
        <v>0</v>
      </c>
      <c r="J26">
        <v>4789</v>
      </c>
      <c r="K26">
        <v>168</v>
      </c>
      <c r="L26">
        <v>0</v>
      </c>
      <c r="M26">
        <v>4621</v>
      </c>
      <c r="N26">
        <v>145</v>
      </c>
      <c r="O26">
        <v>1170</v>
      </c>
      <c r="P26">
        <v>3305</v>
      </c>
      <c r="Q26">
        <v>119</v>
      </c>
      <c r="R26">
        <v>1055</v>
      </c>
      <c r="S26">
        <v>2131</v>
      </c>
      <c r="T26">
        <v>80</v>
      </c>
      <c r="U26">
        <v>1069</v>
      </c>
      <c r="V26">
        <v>982</v>
      </c>
      <c r="W26">
        <v>18</v>
      </c>
      <c r="X26">
        <v>958</v>
      </c>
      <c r="Y26">
        <v>1275</v>
      </c>
      <c r="Z26">
        <v>0</v>
      </c>
      <c r="AA26">
        <v>192</v>
      </c>
      <c r="AB26">
        <v>486</v>
      </c>
    </row>
    <row r="27" spans="1:28" x14ac:dyDescent="0.2">
      <c r="A27" t="s">
        <v>29</v>
      </c>
      <c r="B27" t="s">
        <v>22</v>
      </c>
      <c r="C27">
        <v>4107</v>
      </c>
      <c r="D27">
        <v>0</v>
      </c>
      <c r="E27">
        <v>0</v>
      </c>
      <c r="F27">
        <v>3623</v>
      </c>
      <c r="G27">
        <v>216</v>
      </c>
      <c r="H27">
        <v>0</v>
      </c>
      <c r="I27">
        <f t="shared" si="0"/>
        <v>0</v>
      </c>
      <c r="J27">
        <v>3407</v>
      </c>
      <c r="K27">
        <v>126</v>
      </c>
      <c r="L27">
        <v>0</v>
      </c>
      <c r="M27">
        <v>3281</v>
      </c>
      <c r="N27">
        <v>115</v>
      </c>
      <c r="O27">
        <v>748</v>
      </c>
      <c r="P27">
        <v>2418</v>
      </c>
      <c r="Q27">
        <v>81</v>
      </c>
      <c r="R27">
        <v>823</v>
      </c>
      <c r="S27">
        <v>1514</v>
      </c>
      <c r="T27">
        <v>42</v>
      </c>
      <c r="U27">
        <v>779</v>
      </c>
      <c r="V27">
        <v>693</v>
      </c>
      <c r="W27">
        <v>25</v>
      </c>
      <c r="X27">
        <v>666</v>
      </c>
      <c r="Y27">
        <v>1089</v>
      </c>
      <c r="Z27">
        <v>0</v>
      </c>
      <c r="AA27">
        <v>135</v>
      </c>
      <c r="AB27">
        <v>483</v>
      </c>
    </row>
    <row r="28" spans="1:28" x14ac:dyDescent="0.2">
      <c r="A28" t="s">
        <v>29</v>
      </c>
      <c r="B28" t="s">
        <v>23</v>
      </c>
      <c r="C28">
        <v>5908</v>
      </c>
      <c r="D28">
        <v>0</v>
      </c>
      <c r="E28">
        <v>0</v>
      </c>
      <c r="F28">
        <v>4956</v>
      </c>
      <c r="G28">
        <v>440</v>
      </c>
      <c r="H28">
        <v>0</v>
      </c>
      <c r="I28">
        <f t="shared" si="0"/>
        <v>2</v>
      </c>
      <c r="J28">
        <v>4514</v>
      </c>
      <c r="K28">
        <v>275</v>
      </c>
      <c r="L28">
        <v>0</v>
      </c>
      <c r="M28">
        <v>4239</v>
      </c>
      <c r="N28">
        <v>173</v>
      </c>
      <c r="O28">
        <v>1099</v>
      </c>
      <c r="P28">
        <v>2967</v>
      </c>
      <c r="Q28">
        <v>137</v>
      </c>
      <c r="R28">
        <v>1042</v>
      </c>
      <c r="S28">
        <v>1786</v>
      </c>
      <c r="T28">
        <v>75</v>
      </c>
      <c r="U28">
        <v>917</v>
      </c>
      <c r="V28">
        <v>793</v>
      </c>
      <c r="W28">
        <v>31</v>
      </c>
      <c r="X28">
        <v>760</v>
      </c>
      <c r="Y28">
        <v>2087</v>
      </c>
      <c r="Z28">
        <v>0</v>
      </c>
      <c r="AA28">
        <v>259</v>
      </c>
      <c r="AB28">
        <v>947</v>
      </c>
    </row>
    <row r="29" spans="1:28" x14ac:dyDescent="0.2">
      <c r="A29" t="s">
        <v>29</v>
      </c>
      <c r="B29" t="s">
        <v>24</v>
      </c>
      <c r="C29">
        <v>13966</v>
      </c>
      <c r="D29">
        <v>0</v>
      </c>
      <c r="E29">
        <v>0</v>
      </c>
      <c r="F29">
        <v>10765</v>
      </c>
      <c r="G29">
        <v>1018</v>
      </c>
      <c r="H29">
        <v>0</v>
      </c>
      <c r="I29">
        <f t="shared" si="0"/>
        <v>2</v>
      </c>
      <c r="J29">
        <v>9745</v>
      </c>
      <c r="K29">
        <v>630</v>
      </c>
      <c r="L29">
        <v>0</v>
      </c>
      <c r="M29">
        <v>9111</v>
      </c>
      <c r="N29">
        <v>426</v>
      </c>
      <c r="O29">
        <v>2364</v>
      </c>
      <c r="P29">
        <v>6318</v>
      </c>
      <c r="Q29">
        <v>278</v>
      </c>
      <c r="R29">
        <v>2162</v>
      </c>
      <c r="S29">
        <v>3877</v>
      </c>
      <c r="T29">
        <v>162</v>
      </c>
      <c r="U29">
        <v>2023</v>
      </c>
      <c r="V29">
        <v>1692</v>
      </c>
      <c r="W29">
        <v>42</v>
      </c>
      <c r="X29">
        <v>1644</v>
      </c>
      <c r="Y29">
        <v>5765</v>
      </c>
      <c r="Z29">
        <v>0</v>
      </c>
      <c r="AA29">
        <v>507</v>
      </c>
      <c r="AB29">
        <v>3189</v>
      </c>
    </row>
    <row r="30" spans="1:28" x14ac:dyDescent="0.2">
      <c r="A30" t="s">
        <v>29</v>
      </c>
      <c r="B30" t="s">
        <v>25</v>
      </c>
      <c r="C30">
        <v>5878</v>
      </c>
      <c r="D30">
        <v>0</v>
      </c>
      <c r="E30">
        <v>0</v>
      </c>
      <c r="F30">
        <v>4521</v>
      </c>
      <c r="G30">
        <v>362</v>
      </c>
      <c r="H30">
        <v>0</v>
      </c>
      <c r="I30">
        <f t="shared" si="0"/>
        <v>1</v>
      </c>
      <c r="J30">
        <v>4158</v>
      </c>
      <c r="K30">
        <v>226</v>
      </c>
      <c r="L30">
        <v>0</v>
      </c>
      <c r="M30">
        <v>3932</v>
      </c>
      <c r="N30">
        <v>183</v>
      </c>
      <c r="O30">
        <v>792</v>
      </c>
      <c r="P30">
        <v>2957</v>
      </c>
      <c r="Q30">
        <v>124</v>
      </c>
      <c r="R30">
        <v>829</v>
      </c>
      <c r="S30">
        <v>2001</v>
      </c>
      <c r="T30">
        <v>88</v>
      </c>
      <c r="U30">
        <v>853</v>
      </c>
      <c r="V30">
        <v>1057</v>
      </c>
      <c r="W30">
        <v>33</v>
      </c>
      <c r="X30">
        <v>1020</v>
      </c>
      <c r="Y30">
        <v>2375</v>
      </c>
      <c r="Z30">
        <v>0</v>
      </c>
      <c r="AA30">
        <v>224</v>
      </c>
      <c r="AB30">
        <v>1351</v>
      </c>
    </row>
    <row r="31" spans="1:28" x14ac:dyDescent="0.2">
      <c r="A31" t="s">
        <v>30</v>
      </c>
      <c r="B31" t="s">
        <v>20</v>
      </c>
      <c r="C31">
        <v>1250</v>
      </c>
      <c r="D31">
        <v>0</v>
      </c>
      <c r="E31">
        <v>0</v>
      </c>
      <c r="F31">
        <v>1163</v>
      </c>
      <c r="G31">
        <v>73</v>
      </c>
      <c r="H31">
        <v>0</v>
      </c>
      <c r="I31">
        <f t="shared" si="0"/>
        <v>0</v>
      </c>
      <c r="J31">
        <v>1090</v>
      </c>
      <c r="K31">
        <v>59</v>
      </c>
      <c r="L31">
        <v>0</v>
      </c>
      <c r="M31">
        <v>1031</v>
      </c>
      <c r="N31">
        <v>46</v>
      </c>
      <c r="O31">
        <v>262</v>
      </c>
      <c r="P31">
        <v>723</v>
      </c>
      <c r="Q31">
        <v>28</v>
      </c>
      <c r="R31">
        <v>239</v>
      </c>
      <c r="S31">
        <v>456</v>
      </c>
      <c r="T31">
        <v>19</v>
      </c>
      <c r="U31">
        <v>226</v>
      </c>
      <c r="V31">
        <v>211</v>
      </c>
      <c r="W31">
        <v>7</v>
      </c>
      <c r="X31">
        <v>204</v>
      </c>
      <c r="Y31">
        <v>319</v>
      </c>
      <c r="Z31">
        <v>0</v>
      </c>
      <c r="AA31">
        <v>61</v>
      </c>
      <c r="AB31">
        <v>85</v>
      </c>
    </row>
    <row r="32" spans="1:28" x14ac:dyDescent="0.2">
      <c r="A32" t="s">
        <v>30</v>
      </c>
      <c r="B32" t="s">
        <v>21</v>
      </c>
      <c r="C32">
        <v>2118</v>
      </c>
      <c r="D32">
        <v>0</v>
      </c>
      <c r="E32">
        <v>0</v>
      </c>
      <c r="F32">
        <v>1800</v>
      </c>
      <c r="G32">
        <v>277</v>
      </c>
      <c r="H32">
        <v>0</v>
      </c>
      <c r="I32">
        <f t="shared" si="0"/>
        <v>1</v>
      </c>
      <c r="J32">
        <v>1522</v>
      </c>
      <c r="K32">
        <v>190</v>
      </c>
      <c r="L32">
        <v>0</v>
      </c>
      <c r="M32">
        <v>1332</v>
      </c>
      <c r="N32">
        <v>101</v>
      </c>
      <c r="O32">
        <v>351</v>
      </c>
      <c r="P32">
        <v>880</v>
      </c>
      <c r="Q32">
        <v>63</v>
      </c>
      <c r="R32">
        <v>275</v>
      </c>
      <c r="S32">
        <v>542</v>
      </c>
      <c r="T32">
        <v>28</v>
      </c>
      <c r="U32">
        <v>268</v>
      </c>
      <c r="V32">
        <v>246</v>
      </c>
      <c r="W32">
        <v>8</v>
      </c>
      <c r="X32">
        <v>236</v>
      </c>
      <c r="Y32">
        <v>986</v>
      </c>
      <c r="Z32">
        <v>0</v>
      </c>
      <c r="AA32">
        <v>98</v>
      </c>
      <c r="AB32">
        <v>317</v>
      </c>
    </row>
    <row r="33" spans="1:28" x14ac:dyDescent="0.2">
      <c r="A33" t="s">
        <v>30</v>
      </c>
      <c r="B33" t="s">
        <v>22</v>
      </c>
      <c r="C33">
        <v>2789</v>
      </c>
      <c r="D33">
        <v>0</v>
      </c>
      <c r="E33">
        <v>0</v>
      </c>
      <c r="F33">
        <v>2035</v>
      </c>
      <c r="G33">
        <v>600</v>
      </c>
      <c r="H33">
        <v>0</v>
      </c>
      <c r="I33">
        <f t="shared" si="0"/>
        <v>0</v>
      </c>
      <c r="J33">
        <v>1435</v>
      </c>
      <c r="K33">
        <v>307</v>
      </c>
      <c r="L33">
        <v>0</v>
      </c>
      <c r="M33">
        <v>1127</v>
      </c>
      <c r="N33">
        <v>140</v>
      </c>
      <c r="O33">
        <v>267</v>
      </c>
      <c r="P33">
        <v>720</v>
      </c>
      <c r="Q33">
        <v>65</v>
      </c>
      <c r="R33">
        <v>211</v>
      </c>
      <c r="S33">
        <v>443</v>
      </c>
      <c r="T33">
        <v>30</v>
      </c>
      <c r="U33">
        <v>216</v>
      </c>
      <c r="V33">
        <v>197</v>
      </c>
      <c r="W33">
        <v>4</v>
      </c>
      <c r="X33">
        <v>192</v>
      </c>
      <c r="Y33">
        <v>1902</v>
      </c>
      <c r="Z33">
        <v>0</v>
      </c>
      <c r="AA33">
        <v>132</v>
      </c>
      <c r="AB33">
        <v>749</v>
      </c>
    </row>
    <row r="34" spans="1:28" x14ac:dyDescent="0.2">
      <c r="A34" t="s">
        <v>30</v>
      </c>
      <c r="B34" t="s">
        <v>23</v>
      </c>
      <c r="C34">
        <v>6878</v>
      </c>
      <c r="D34">
        <v>0</v>
      </c>
      <c r="E34">
        <v>0</v>
      </c>
      <c r="F34">
        <v>4024</v>
      </c>
      <c r="G34">
        <v>1691</v>
      </c>
      <c r="H34">
        <v>0</v>
      </c>
      <c r="I34">
        <f t="shared" si="0"/>
        <v>1</v>
      </c>
      <c r="J34">
        <v>2332</v>
      </c>
      <c r="K34">
        <v>629</v>
      </c>
      <c r="L34">
        <v>0</v>
      </c>
      <c r="M34">
        <v>1701</v>
      </c>
      <c r="N34">
        <v>273</v>
      </c>
      <c r="O34">
        <v>381</v>
      </c>
      <c r="P34">
        <v>1047</v>
      </c>
      <c r="Q34">
        <v>112</v>
      </c>
      <c r="R34">
        <v>338</v>
      </c>
      <c r="S34">
        <v>597</v>
      </c>
      <c r="T34">
        <v>32</v>
      </c>
      <c r="U34">
        <v>289</v>
      </c>
      <c r="V34">
        <v>276</v>
      </c>
      <c r="W34">
        <v>18</v>
      </c>
      <c r="X34">
        <v>258</v>
      </c>
      <c r="Y34">
        <v>5612</v>
      </c>
      <c r="Z34">
        <v>0</v>
      </c>
      <c r="AA34">
        <v>233</v>
      </c>
      <c r="AB34">
        <v>2842</v>
      </c>
    </row>
    <row r="35" spans="1:28" x14ac:dyDescent="0.2">
      <c r="A35" t="s">
        <v>30</v>
      </c>
      <c r="B35" t="s">
        <v>24</v>
      </c>
      <c r="C35">
        <v>7068</v>
      </c>
      <c r="D35">
        <v>0</v>
      </c>
      <c r="E35">
        <v>0</v>
      </c>
      <c r="F35">
        <v>1629</v>
      </c>
      <c r="G35">
        <v>1105</v>
      </c>
      <c r="H35">
        <v>0</v>
      </c>
      <c r="I35">
        <f t="shared" si="0"/>
        <v>3</v>
      </c>
      <c r="J35">
        <v>521</v>
      </c>
      <c r="K35">
        <v>263</v>
      </c>
      <c r="L35">
        <v>0</v>
      </c>
      <c r="M35">
        <v>257</v>
      </c>
      <c r="N35">
        <v>63</v>
      </c>
      <c r="O35">
        <v>54</v>
      </c>
      <c r="P35">
        <v>140</v>
      </c>
      <c r="Q35">
        <v>15</v>
      </c>
      <c r="R35">
        <v>42</v>
      </c>
      <c r="S35">
        <v>82</v>
      </c>
      <c r="T35">
        <v>10</v>
      </c>
      <c r="U35">
        <v>41</v>
      </c>
      <c r="V35">
        <v>31</v>
      </c>
      <c r="W35">
        <v>0</v>
      </c>
      <c r="X35">
        <v>31</v>
      </c>
      <c r="Y35">
        <v>6900</v>
      </c>
      <c r="Z35">
        <v>0</v>
      </c>
      <c r="AA35">
        <v>58</v>
      </c>
      <c r="AB35">
        <v>5430</v>
      </c>
    </row>
    <row r="36" spans="1:28" x14ac:dyDescent="0.2">
      <c r="A36" t="s">
        <v>30</v>
      </c>
      <c r="B36" t="s">
        <v>25</v>
      </c>
      <c r="C36">
        <v>2171</v>
      </c>
      <c r="D36">
        <v>0</v>
      </c>
      <c r="E36">
        <v>0</v>
      </c>
      <c r="F36">
        <v>937</v>
      </c>
      <c r="G36">
        <v>316</v>
      </c>
      <c r="H36">
        <v>0</v>
      </c>
      <c r="I36">
        <f t="shared" si="0"/>
        <v>0</v>
      </c>
      <c r="J36">
        <v>621</v>
      </c>
      <c r="K36">
        <v>120</v>
      </c>
      <c r="L36">
        <v>0</v>
      </c>
      <c r="M36">
        <v>501</v>
      </c>
      <c r="N36">
        <v>63</v>
      </c>
      <c r="O36">
        <v>96</v>
      </c>
      <c r="P36">
        <v>342</v>
      </c>
      <c r="Q36">
        <v>30</v>
      </c>
      <c r="R36">
        <v>110</v>
      </c>
      <c r="S36">
        <v>202</v>
      </c>
      <c r="T36">
        <v>12</v>
      </c>
      <c r="U36">
        <v>94</v>
      </c>
      <c r="V36">
        <v>96</v>
      </c>
      <c r="W36">
        <v>3</v>
      </c>
      <c r="X36">
        <v>93</v>
      </c>
      <c r="Y36">
        <v>1778</v>
      </c>
      <c r="Z36">
        <v>0</v>
      </c>
      <c r="AA36">
        <v>50</v>
      </c>
      <c r="AB36">
        <v>1230</v>
      </c>
    </row>
    <row r="37" spans="1:28" x14ac:dyDescent="0.2">
      <c r="A37" t="s">
        <v>31</v>
      </c>
      <c r="B37" t="s">
        <v>20</v>
      </c>
      <c r="C37">
        <v>74</v>
      </c>
      <c r="D37">
        <v>0</v>
      </c>
      <c r="E37">
        <v>0</v>
      </c>
      <c r="F37">
        <v>74</v>
      </c>
      <c r="G37">
        <v>5</v>
      </c>
      <c r="H37">
        <v>0</v>
      </c>
      <c r="I37">
        <f t="shared" si="0"/>
        <v>0</v>
      </c>
      <c r="J37">
        <v>69</v>
      </c>
      <c r="K37">
        <v>2</v>
      </c>
      <c r="L37">
        <v>0</v>
      </c>
      <c r="M37">
        <v>67</v>
      </c>
      <c r="N37">
        <v>1</v>
      </c>
      <c r="O37">
        <v>22</v>
      </c>
      <c r="P37">
        <v>44</v>
      </c>
      <c r="Q37">
        <v>1</v>
      </c>
      <c r="R37">
        <v>20</v>
      </c>
      <c r="S37">
        <v>23</v>
      </c>
      <c r="T37">
        <v>2</v>
      </c>
      <c r="U37">
        <v>10</v>
      </c>
      <c r="V37">
        <v>11</v>
      </c>
      <c r="W37">
        <v>0</v>
      </c>
      <c r="X37">
        <v>11</v>
      </c>
      <c r="Y37">
        <v>11</v>
      </c>
      <c r="Z37">
        <v>0</v>
      </c>
      <c r="AA37">
        <v>3</v>
      </c>
      <c r="AB37">
        <v>0</v>
      </c>
    </row>
    <row r="38" spans="1:28" x14ac:dyDescent="0.2">
      <c r="A38" t="s">
        <v>31</v>
      </c>
      <c r="B38" t="s">
        <v>21</v>
      </c>
      <c r="C38">
        <v>4558</v>
      </c>
      <c r="D38">
        <v>0</v>
      </c>
      <c r="E38">
        <v>0</v>
      </c>
      <c r="F38">
        <v>4451</v>
      </c>
      <c r="G38">
        <v>106</v>
      </c>
      <c r="H38">
        <v>0</v>
      </c>
      <c r="I38">
        <f t="shared" si="0"/>
        <v>0</v>
      </c>
      <c r="J38">
        <v>4345</v>
      </c>
      <c r="K38">
        <v>126</v>
      </c>
      <c r="L38">
        <v>0</v>
      </c>
      <c r="M38">
        <v>4219</v>
      </c>
      <c r="N38">
        <v>87</v>
      </c>
      <c r="O38">
        <v>1035</v>
      </c>
      <c r="P38">
        <v>3097</v>
      </c>
      <c r="Q38">
        <v>77</v>
      </c>
      <c r="R38">
        <v>975</v>
      </c>
      <c r="S38">
        <v>2044</v>
      </c>
      <c r="T38">
        <v>50</v>
      </c>
      <c r="U38">
        <v>1001</v>
      </c>
      <c r="V38">
        <v>993</v>
      </c>
      <c r="W38">
        <v>12</v>
      </c>
      <c r="X38">
        <v>942</v>
      </c>
      <c r="Y38">
        <v>565</v>
      </c>
      <c r="Z38">
        <v>0</v>
      </c>
      <c r="AA38">
        <v>106</v>
      </c>
      <c r="AB38">
        <v>106</v>
      </c>
    </row>
    <row r="39" spans="1:28" x14ac:dyDescent="0.2">
      <c r="A39" t="s">
        <v>31</v>
      </c>
      <c r="B39" t="s">
        <v>22</v>
      </c>
      <c r="C39">
        <v>1054</v>
      </c>
      <c r="D39">
        <v>0</v>
      </c>
      <c r="E39">
        <v>0</v>
      </c>
      <c r="F39">
        <v>977</v>
      </c>
      <c r="G39">
        <v>73</v>
      </c>
      <c r="H39">
        <v>0</v>
      </c>
      <c r="I39">
        <f t="shared" si="0"/>
        <v>0</v>
      </c>
      <c r="J39">
        <v>904</v>
      </c>
      <c r="K39">
        <v>62</v>
      </c>
      <c r="L39">
        <v>0</v>
      </c>
      <c r="M39">
        <v>842</v>
      </c>
      <c r="N39">
        <v>64</v>
      </c>
      <c r="O39">
        <v>195</v>
      </c>
      <c r="P39">
        <v>583</v>
      </c>
      <c r="Q39">
        <v>37</v>
      </c>
      <c r="R39">
        <v>202</v>
      </c>
      <c r="S39">
        <v>344</v>
      </c>
      <c r="T39">
        <v>23</v>
      </c>
      <c r="U39">
        <v>169</v>
      </c>
      <c r="V39">
        <v>152</v>
      </c>
      <c r="W39">
        <v>7</v>
      </c>
      <c r="X39">
        <v>138</v>
      </c>
      <c r="Y39">
        <v>343</v>
      </c>
      <c r="Z39">
        <v>0</v>
      </c>
      <c r="AA39">
        <v>63</v>
      </c>
      <c r="AB39">
        <v>77</v>
      </c>
    </row>
    <row r="40" spans="1:28" x14ac:dyDescent="0.2">
      <c r="A40" t="s">
        <v>31</v>
      </c>
      <c r="B40" t="s">
        <v>23</v>
      </c>
      <c r="C40">
        <v>6434</v>
      </c>
      <c r="D40">
        <v>0</v>
      </c>
      <c r="E40">
        <v>0</v>
      </c>
      <c r="F40">
        <v>5014</v>
      </c>
      <c r="G40">
        <v>1142</v>
      </c>
      <c r="H40">
        <v>0</v>
      </c>
      <c r="I40">
        <f t="shared" si="0"/>
        <v>1</v>
      </c>
      <c r="J40">
        <v>3871</v>
      </c>
      <c r="K40">
        <v>927</v>
      </c>
      <c r="L40">
        <v>0</v>
      </c>
      <c r="M40">
        <v>2943</v>
      </c>
      <c r="N40">
        <v>554</v>
      </c>
      <c r="O40">
        <v>632</v>
      </c>
      <c r="P40">
        <v>1755</v>
      </c>
      <c r="Q40">
        <v>293</v>
      </c>
      <c r="R40">
        <v>547</v>
      </c>
      <c r="S40">
        <v>915</v>
      </c>
      <c r="T40">
        <v>124</v>
      </c>
      <c r="U40">
        <v>439</v>
      </c>
      <c r="V40">
        <v>352</v>
      </c>
      <c r="W40">
        <v>23</v>
      </c>
      <c r="X40">
        <v>317</v>
      </c>
      <c r="Y40">
        <v>4487</v>
      </c>
      <c r="Z40">
        <v>0</v>
      </c>
      <c r="AA40">
        <v>492</v>
      </c>
      <c r="AB40">
        <v>1410</v>
      </c>
    </row>
    <row r="41" spans="1:28" x14ac:dyDescent="0.2">
      <c r="A41" t="s">
        <v>31</v>
      </c>
      <c r="B41" t="s">
        <v>24</v>
      </c>
      <c r="C41">
        <v>3594</v>
      </c>
      <c r="D41">
        <v>0</v>
      </c>
      <c r="E41">
        <v>0</v>
      </c>
      <c r="F41">
        <v>2175</v>
      </c>
      <c r="G41">
        <v>712</v>
      </c>
      <c r="H41">
        <v>0</v>
      </c>
      <c r="I41">
        <f t="shared" si="0"/>
        <v>2</v>
      </c>
      <c r="J41">
        <v>1461</v>
      </c>
      <c r="K41">
        <v>447</v>
      </c>
      <c r="L41">
        <v>0</v>
      </c>
      <c r="M41">
        <v>1013</v>
      </c>
      <c r="N41">
        <v>229</v>
      </c>
      <c r="O41">
        <v>226</v>
      </c>
      <c r="P41">
        <v>558</v>
      </c>
      <c r="Q41">
        <v>118</v>
      </c>
      <c r="R41">
        <v>165</v>
      </c>
      <c r="S41">
        <v>275</v>
      </c>
      <c r="T41">
        <v>39</v>
      </c>
      <c r="U41">
        <v>120</v>
      </c>
      <c r="V41">
        <v>116</v>
      </c>
      <c r="W41">
        <v>9</v>
      </c>
      <c r="X41">
        <v>105</v>
      </c>
      <c r="Y41">
        <v>2976</v>
      </c>
      <c r="Z41">
        <v>0</v>
      </c>
      <c r="AA41">
        <v>194</v>
      </c>
      <c r="AB41">
        <v>1414</v>
      </c>
    </row>
    <row r="42" spans="1:28" x14ac:dyDescent="0.2">
      <c r="A42" t="s">
        <v>31</v>
      </c>
      <c r="B42" t="s">
        <v>25</v>
      </c>
      <c r="C42">
        <v>2124</v>
      </c>
      <c r="D42">
        <v>0</v>
      </c>
      <c r="E42">
        <v>0</v>
      </c>
      <c r="F42">
        <v>1315</v>
      </c>
      <c r="G42">
        <v>192</v>
      </c>
      <c r="H42">
        <v>0</v>
      </c>
      <c r="I42">
        <f t="shared" si="0"/>
        <v>0</v>
      </c>
      <c r="J42">
        <v>1123</v>
      </c>
      <c r="K42">
        <v>120</v>
      </c>
      <c r="L42">
        <v>0</v>
      </c>
      <c r="M42">
        <v>1003</v>
      </c>
      <c r="N42">
        <v>94</v>
      </c>
      <c r="O42">
        <v>229</v>
      </c>
      <c r="P42">
        <v>680</v>
      </c>
      <c r="Q42">
        <v>33</v>
      </c>
      <c r="R42">
        <v>186</v>
      </c>
      <c r="S42">
        <v>460</v>
      </c>
      <c r="T42">
        <v>32</v>
      </c>
      <c r="U42">
        <v>168</v>
      </c>
      <c r="V42">
        <v>260</v>
      </c>
      <c r="W42">
        <v>6</v>
      </c>
      <c r="X42">
        <v>252</v>
      </c>
      <c r="Y42">
        <v>1286</v>
      </c>
      <c r="Z42">
        <v>0</v>
      </c>
      <c r="AA42">
        <v>74</v>
      </c>
      <c r="AB42">
        <v>807</v>
      </c>
    </row>
    <row r="43" spans="1:28" x14ac:dyDescent="0.2">
      <c r="A43" t="s">
        <v>32</v>
      </c>
      <c r="B43" t="s">
        <v>20</v>
      </c>
      <c r="C43">
        <v>137</v>
      </c>
      <c r="D43">
        <v>0</v>
      </c>
      <c r="E43">
        <v>0</v>
      </c>
      <c r="F43">
        <v>113</v>
      </c>
      <c r="G43">
        <v>12</v>
      </c>
      <c r="H43">
        <v>0</v>
      </c>
      <c r="I43">
        <f t="shared" si="0"/>
        <v>0</v>
      </c>
      <c r="J43">
        <v>101</v>
      </c>
      <c r="K43">
        <v>7</v>
      </c>
      <c r="L43">
        <v>0</v>
      </c>
      <c r="M43">
        <v>94</v>
      </c>
      <c r="N43">
        <v>4</v>
      </c>
      <c r="O43">
        <v>29</v>
      </c>
      <c r="P43">
        <v>61</v>
      </c>
      <c r="Q43">
        <v>1</v>
      </c>
      <c r="R43">
        <v>25</v>
      </c>
      <c r="S43">
        <v>35</v>
      </c>
      <c r="T43">
        <v>2</v>
      </c>
      <c r="U43">
        <v>19</v>
      </c>
      <c r="V43">
        <v>14</v>
      </c>
      <c r="W43">
        <v>0</v>
      </c>
      <c r="X43">
        <v>14</v>
      </c>
      <c r="Y43">
        <v>50</v>
      </c>
      <c r="Z43">
        <v>0</v>
      </c>
      <c r="AA43">
        <v>2</v>
      </c>
      <c r="AB43">
        <v>24</v>
      </c>
    </row>
    <row r="44" spans="1:28" x14ac:dyDescent="0.2">
      <c r="A44" t="s">
        <v>32</v>
      </c>
      <c r="B44" t="s">
        <v>21</v>
      </c>
      <c r="C44">
        <v>1128</v>
      </c>
      <c r="D44">
        <v>0</v>
      </c>
      <c r="E44">
        <v>0</v>
      </c>
      <c r="F44">
        <v>635</v>
      </c>
      <c r="G44">
        <v>205</v>
      </c>
      <c r="H44">
        <v>0</v>
      </c>
      <c r="I44">
        <f t="shared" si="0"/>
        <v>0</v>
      </c>
      <c r="J44">
        <v>430</v>
      </c>
      <c r="K44">
        <v>65</v>
      </c>
      <c r="L44">
        <v>0</v>
      </c>
      <c r="M44">
        <v>365</v>
      </c>
      <c r="N44">
        <v>22</v>
      </c>
      <c r="O44">
        <v>107</v>
      </c>
      <c r="P44">
        <v>236</v>
      </c>
      <c r="Q44">
        <v>9</v>
      </c>
      <c r="R44">
        <v>85</v>
      </c>
      <c r="S44">
        <v>142</v>
      </c>
      <c r="T44">
        <v>11</v>
      </c>
      <c r="U44">
        <v>63</v>
      </c>
      <c r="V44">
        <v>68</v>
      </c>
      <c r="W44">
        <v>2</v>
      </c>
      <c r="X44">
        <v>61</v>
      </c>
      <c r="Y44">
        <v>807</v>
      </c>
      <c r="Z44">
        <v>0</v>
      </c>
      <c r="AA44">
        <v>35</v>
      </c>
      <c r="AB44">
        <v>489</v>
      </c>
    </row>
    <row r="45" spans="1:28" x14ac:dyDescent="0.2">
      <c r="A45" t="s">
        <v>32</v>
      </c>
      <c r="B45" t="s">
        <v>22</v>
      </c>
      <c r="C45">
        <v>2989</v>
      </c>
      <c r="D45">
        <v>0</v>
      </c>
      <c r="E45">
        <v>0</v>
      </c>
      <c r="F45">
        <v>1835</v>
      </c>
      <c r="G45">
        <v>762</v>
      </c>
      <c r="H45">
        <v>0</v>
      </c>
      <c r="I45">
        <f t="shared" si="0"/>
        <v>1</v>
      </c>
      <c r="J45">
        <v>1072</v>
      </c>
      <c r="K45">
        <v>334</v>
      </c>
      <c r="L45">
        <v>0</v>
      </c>
      <c r="M45">
        <v>737</v>
      </c>
      <c r="N45">
        <v>145</v>
      </c>
      <c r="O45">
        <v>191</v>
      </c>
      <c r="P45">
        <v>400</v>
      </c>
      <c r="Q45">
        <v>44</v>
      </c>
      <c r="R45">
        <v>139</v>
      </c>
      <c r="S45">
        <v>217</v>
      </c>
      <c r="T45">
        <v>25</v>
      </c>
      <c r="U45">
        <v>103</v>
      </c>
      <c r="V45">
        <v>89</v>
      </c>
      <c r="W45">
        <v>5</v>
      </c>
      <c r="X45">
        <v>79</v>
      </c>
      <c r="Y45">
        <v>2472</v>
      </c>
      <c r="Z45">
        <v>0</v>
      </c>
      <c r="AA45">
        <v>122</v>
      </c>
      <c r="AB45">
        <v>1147</v>
      </c>
    </row>
    <row r="46" spans="1:28" x14ac:dyDescent="0.2">
      <c r="A46" t="s">
        <v>32</v>
      </c>
      <c r="B46" t="s">
        <v>23</v>
      </c>
      <c r="C46">
        <v>2149</v>
      </c>
      <c r="D46">
        <v>0</v>
      </c>
      <c r="E46">
        <v>0</v>
      </c>
      <c r="F46">
        <v>863</v>
      </c>
      <c r="G46">
        <v>503</v>
      </c>
      <c r="H46">
        <v>0</v>
      </c>
      <c r="I46">
        <f t="shared" si="0"/>
        <v>0</v>
      </c>
      <c r="J46">
        <v>360</v>
      </c>
      <c r="K46">
        <v>163</v>
      </c>
      <c r="L46">
        <v>0</v>
      </c>
      <c r="M46">
        <v>197</v>
      </c>
      <c r="N46">
        <v>47</v>
      </c>
      <c r="O46">
        <v>51</v>
      </c>
      <c r="P46">
        <v>99</v>
      </c>
      <c r="Q46">
        <v>9</v>
      </c>
      <c r="R46">
        <v>44</v>
      </c>
      <c r="S46">
        <v>46</v>
      </c>
      <c r="T46">
        <v>3</v>
      </c>
      <c r="U46">
        <v>18</v>
      </c>
      <c r="V46">
        <v>25</v>
      </c>
      <c r="W46">
        <v>3</v>
      </c>
      <c r="X46">
        <v>21</v>
      </c>
      <c r="Y46">
        <v>2014</v>
      </c>
      <c r="Z46">
        <v>0</v>
      </c>
      <c r="AA46">
        <v>45</v>
      </c>
      <c r="AB46">
        <v>1279</v>
      </c>
    </row>
    <row r="47" spans="1:28" x14ac:dyDescent="0.2">
      <c r="A47" t="s">
        <v>32</v>
      </c>
      <c r="B47" t="s">
        <v>24</v>
      </c>
      <c r="C47">
        <v>11935</v>
      </c>
      <c r="D47">
        <v>0</v>
      </c>
      <c r="E47">
        <v>0</v>
      </c>
      <c r="F47">
        <v>1376</v>
      </c>
      <c r="G47">
        <v>861</v>
      </c>
      <c r="H47">
        <v>0</v>
      </c>
      <c r="I47">
        <f t="shared" si="0"/>
        <v>1</v>
      </c>
      <c r="J47">
        <v>514</v>
      </c>
      <c r="K47">
        <v>209</v>
      </c>
      <c r="L47">
        <v>0</v>
      </c>
      <c r="M47">
        <v>305</v>
      </c>
      <c r="N47">
        <v>67</v>
      </c>
      <c r="O47">
        <v>71</v>
      </c>
      <c r="P47">
        <v>167</v>
      </c>
      <c r="Q47">
        <v>17</v>
      </c>
      <c r="R47">
        <v>56</v>
      </c>
      <c r="S47">
        <v>94</v>
      </c>
      <c r="T47">
        <v>10</v>
      </c>
      <c r="U47">
        <v>45</v>
      </c>
      <c r="V47">
        <v>39</v>
      </c>
      <c r="W47">
        <v>3</v>
      </c>
      <c r="X47">
        <v>36</v>
      </c>
      <c r="Y47">
        <v>11727</v>
      </c>
      <c r="Z47">
        <v>0</v>
      </c>
      <c r="AA47">
        <v>59</v>
      </c>
      <c r="AB47">
        <v>10550</v>
      </c>
    </row>
    <row r="48" spans="1:28" x14ac:dyDescent="0.2">
      <c r="A48" t="s">
        <v>32</v>
      </c>
      <c r="B48" t="s">
        <v>25</v>
      </c>
      <c r="C48">
        <v>4090</v>
      </c>
      <c r="D48">
        <v>0</v>
      </c>
      <c r="E48">
        <v>0</v>
      </c>
      <c r="F48">
        <v>1329</v>
      </c>
      <c r="G48">
        <v>580</v>
      </c>
      <c r="H48">
        <v>0</v>
      </c>
      <c r="I48">
        <f t="shared" si="0"/>
        <v>0</v>
      </c>
      <c r="J48">
        <v>749</v>
      </c>
      <c r="K48">
        <v>202</v>
      </c>
      <c r="L48">
        <v>0</v>
      </c>
      <c r="M48">
        <v>547</v>
      </c>
      <c r="N48">
        <v>80</v>
      </c>
      <c r="O48">
        <v>114</v>
      </c>
      <c r="P48">
        <v>353</v>
      </c>
      <c r="Q48">
        <v>38</v>
      </c>
      <c r="R48">
        <v>90</v>
      </c>
      <c r="S48">
        <v>225</v>
      </c>
      <c r="T48">
        <v>11</v>
      </c>
      <c r="U48">
        <v>106</v>
      </c>
      <c r="V48">
        <v>108</v>
      </c>
      <c r="W48">
        <v>2</v>
      </c>
      <c r="X48">
        <v>103</v>
      </c>
      <c r="Y48">
        <v>3674</v>
      </c>
      <c r="Z48">
        <v>0</v>
      </c>
      <c r="AA48">
        <v>65</v>
      </c>
      <c r="AB48">
        <v>2752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"/>
  <sheetViews>
    <sheetView tabSelected="1" workbookViewId="0">
      <selection activeCell="D10" sqref="D10"/>
    </sheetView>
  </sheetViews>
  <sheetFormatPr baseColWidth="10" defaultColWidth="11.5" defaultRowHeight="15" x14ac:dyDescent="0.2"/>
  <cols>
    <col min="1" max="1" width="11.5" bestFit="1" customWidth="1"/>
    <col min="2" max="2" width="17.33203125" bestFit="1" customWidth="1"/>
    <col min="3" max="3" width="17.33203125" customWidth="1"/>
    <col min="4" max="4" width="17.5" bestFit="1" customWidth="1"/>
    <col min="5" max="5" width="21.6640625" bestFit="1" customWidth="1"/>
    <col min="6" max="6" width="21.6640625" customWidth="1"/>
    <col min="7" max="7" width="17.5" bestFit="1" customWidth="1"/>
    <col min="8" max="8" width="21.6640625" bestFit="1" customWidth="1"/>
    <col min="9" max="9" width="21.6640625" customWidth="1"/>
    <col min="10" max="10" width="17.5" bestFit="1" customWidth="1"/>
    <col min="11" max="11" width="21.6640625" bestFit="1" customWidth="1"/>
    <col min="12" max="12" width="21.6640625" customWidth="1"/>
    <col min="13" max="13" width="17.5" bestFit="1" customWidth="1"/>
    <col min="14" max="14" width="21.6640625" bestFit="1" customWidth="1"/>
    <col min="15" max="15" width="21.6640625" customWidth="1"/>
    <col min="16" max="16" width="17.5" bestFit="1" customWidth="1"/>
    <col min="17" max="17" width="21.6640625" bestFit="1" customWidth="1"/>
    <col min="18" max="18" width="21.6640625" customWidth="1"/>
    <col min="19" max="19" width="12.33203125" bestFit="1" customWidth="1"/>
    <col min="20" max="20" width="16.5" bestFit="1" customWidth="1"/>
  </cols>
  <sheetData>
    <row r="1" spans="1:20" x14ac:dyDescent="0.2">
      <c r="A1" t="s">
        <v>0</v>
      </c>
      <c r="B1" t="s">
        <v>1</v>
      </c>
      <c r="C1" t="s">
        <v>53</v>
      </c>
      <c r="D1" t="s">
        <v>33</v>
      </c>
      <c r="E1" t="s">
        <v>34</v>
      </c>
      <c r="F1" t="s">
        <v>54</v>
      </c>
      <c r="G1" t="s">
        <v>35</v>
      </c>
      <c r="H1" t="s">
        <v>36</v>
      </c>
      <c r="I1" t="s">
        <v>55</v>
      </c>
      <c r="J1" t="s">
        <v>37</v>
      </c>
      <c r="K1" t="s">
        <v>38</v>
      </c>
      <c r="L1" t="s">
        <v>56</v>
      </c>
      <c r="M1" t="s">
        <v>39</v>
      </c>
      <c r="N1" t="s">
        <v>40</v>
      </c>
      <c r="O1" t="s">
        <v>57</v>
      </c>
      <c r="P1" t="s">
        <v>41</v>
      </c>
      <c r="Q1" t="s">
        <v>42</v>
      </c>
      <c r="R1" t="s">
        <v>58</v>
      </c>
      <c r="S1" t="s">
        <v>43</v>
      </c>
      <c r="T1" t="s">
        <v>44</v>
      </c>
    </row>
    <row r="2" spans="1:20" x14ac:dyDescent="0.2">
      <c r="A2" t="s">
        <v>19</v>
      </c>
      <c r="B2" t="s">
        <v>20</v>
      </c>
      <c r="C2">
        <v>8546</v>
      </c>
      <c r="D2">
        <v>351</v>
      </c>
      <c r="E2">
        <v>0</v>
      </c>
      <c r="F2">
        <v>8195</v>
      </c>
      <c r="G2">
        <v>257</v>
      </c>
      <c r="H2">
        <v>0</v>
      </c>
      <c r="I2">
        <v>7938</v>
      </c>
      <c r="J2">
        <v>224</v>
      </c>
      <c r="K2">
        <v>179</v>
      </c>
      <c r="L2">
        <v>5685</v>
      </c>
      <c r="M2">
        <v>152</v>
      </c>
      <c r="N2">
        <v>173</v>
      </c>
      <c r="O2">
        <v>3509</v>
      </c>
      <c r="P2">
        <v>78</v>
      </c>
      <c r="Q2">
        <v>149</v>
      </c>
      <c r="R2">
        <v>1624</v>
      </c>
      <c r="S2">
        <v>26</v>
      </c>
      <c r="T2">
        <v>157</v>
      </c>
    </row>
    <row r="3" spans="1:20" x14ac:dyDescent="0.2">
      <c r="A3" t="s">
        <v>19</v>
      </c>
      <c r="B3" t="s">
        <v>21</v>
      </c>
      <c r="C3">
        <v>15578</v>
      </c>
      <c r="D3">
        <v>530</v>
      </c>
      <c r="E3">
        <v>0</v>
      </c>
      <c r="F3">
        <v>15047</v>
      </c>
      <c r="G3">
        <v>452</v>
      </c>
      <c r="H3">
        <v>0</v>
      </c>
      <c r="I3">
        <v>14594</v>
      </c>
      <c r="J3">
        <v>411</v>
      </c>
      <c r="K3">
        <v>297</v>
      </c>
      <c r="L3">
        <v>10593</v>
      </c>
      <c r="M3">
        <v>263</v>
      </c>
      <c r="N3">
        <v>357</v>
      </c>
      <c r="O3">
        <v>6764</v>
      </c>
      <c r="P3">
        <v>188</v>
      </c>
      <c r="Q3">
        <v>325</v>
      </c>
      <c r="R3">
        <v>3172</v>
      </c>
      <c r="S3">
        <v>60</v>
      </c>
      <c r="T3">
        <v>295</v>
      </c>
    </row>
    <row r="4" spans="1:20" x14ac:dyDescent="0.2">
      <c r="A4" t="s">
        <v>19</v>
      </c>
      <c r="B4" t="s">
        <v>22</v>
      </c>
      <c r="C4">
        <v>20515</v>
      </c>
      <c r="D4">
        <v>1356</v>
      </c>
      <c r="E4">
        <v>0</v>
      </c>
      <c r="F4">
        <v>19157</v>
      </c>
      <c r="G4">
        <v>944</v>
      </c>
      <c r="H4">
        <v>0</v>
      </c>
      <c r="I4">
        <v>18210</v>
      </c>
      <c r="J4">
        <v>790</v>
      </c>
      <c r="K4">
        <v>534</v>
      </c>
      <c r="L4">
        <v>13027</v>
      </c>
      <c r="M4">
        <v>527</v>
      </c>
      <c r="N4">
        <v>527</v>
      </c>
      <c r="O4">
        <v>8235</v>
      </c>
      <c r="P4">
        <v>278</v>
      </c>
      <c r="Q4">
        <v>518</v>
      </c>
      <c r="R4">
        <v>3856</v>
      </c>
      <c r="S4">
        <v>86</v>
      </c>
      <c r="T4">
        <v>457</v>
      </c>
    </row>
    <row r="5" spans="1:20" x14ac:dyDescent="0.2">
      <c r="A5" t="s">
        <v>19</v>
      </c>
      <c r="B5" t="s">
        <v>23</v>
      </c>
      <c r="C5">
        <v>25148</v>
      </c>
      <c r="D5">
        <v>2503</v>
      </c>
      <c r="E5">
        <v>0</v>
      </c>
      <c r="F5">
        <v>22636</v>
      </c>
      <c r="G5">
        <v>2335</v>
      </c>
      <c r="H5">
        <v>0</v>
      </c>
      <c r="I5">
        <v>20292</v>
      </c>
      <c r="J5">
        <v>1624</v>
      </c>
      <c r="K5">
        <v>1006</v>
      </c>
      <c r="L5">
        <v>13738</v>
      </c>
      <c r="M5">
        <v>910</v>
      </c>
      <c r="N5">
        <v>689</v>
      </c>
      <c r="O5">
        <v>8361</v>
      </c>
      <c r="P5">
        <v>409</v>
      </c>
      <c r="Q5">
        <v>603</v>
      </c>
      <c r="R5">
        <v>3758</v>
      </c>
      <c r="S5">
        <v>115</v>
      </c>
      <c r="T5">
        <v>472</v>
      </c>
    </row>
    <row r="6" spans="1:20" x14ac:dyDescent="0.2">
      <c r="A6" t="s">
        <v>19</v>
      </c>
      <c r="B6" t="s">
        <v>24</v>
      </c>
      <c r="C6">
        <v>20473</v>
      </c>
      <c r="D6">
        <v>10725</v>
      </c>
      <c r="E6">
        <v>0</v>
      </c>
      <c r="F6">
        <v>9731</v>
      </c>
      <c r="G6">
        <v>3901</v>
      </c>
      <c r="H6">
        <v>0</v>
      </c>
      <c r="I6">
        <v>5821</v>
      </c>
      <c r="J6">
        <v>1833</v>
      </c>
      <c r="K6">
        <v>624</v>
      </c>
      <c r="L6">
        <v>2797</v>
      </c>
      <c r="M6">
        <v>626</v>
      </c>
      <c r="N6">
        <v>333</v>
      </c>
      <c r="O6">
        <v>1343</v>
      </c>
      <c r="P6">
        <v>204</v>
      </c>
      <c r="Q6">
        <v>184</v>
      </c>
      <c r="R6">
        <v>540</v>
      </c>
      <c r="S6">
        <v>42</v>
      </c>
      <c r="T6">
        <v>129</v>
      </c>
    </row>
    <row r="7" spans="1:20" x14ac:dyDescent="0.2">
      <c r="A7" t="s">
        <v>19</v>
      </c>
      <c r="B7" t="s">
        <v>25</v>
      </c>
      <c r="C7">
        <v>6648</v>
      </c>
      <c r="D7">
        <v>2181</v>
      </c>
      <c r="E7">
        <v>0</v>
      </c>
      <c r="F7">
        <v>4464</v>
      </c>
      <c r="G7">
        <v>605</v>
      </c>
      <c r="H7">
        <v>0</v>
      </c>
      <c r="I7">
        <v>3859</v>
      </c>
      <c r="J7">
        <v>322</v>
      </c>
      <c r="K7">
        <v>145</v>
      </c>
      <c r="L7">
        <v>2686</v>
      </c>
      <c r="M7">
        <v>150</v>
      </c>
      <c r="N7">
        <v>110</v>
      </c>
      <c r="O7">
        <v>1763</v>
      </c>
      <c r="P7">
        <v>68</v>
      </c>
      <c r="Q7">
        <v>83</v>
      </c>
      <c r="R7">
        <v>1045</v>
      </c>
      <c r="S7">
        <v>27</v>
      </c>
      <c r="T7">
        <v>133</v>
      </c>
    </row>
    <row r="8" spans="1:20" x14ac:dyDescent="0.2">
      <c r="A8" t="s">
        <v>26</v>
      </c>
      <c r="B8" t="s">
        <v>20</v>
      </c>
      <c r="C8">
        <v>1713</v>
      </c>
      <c r="D8">
        <v>57</v>
      </c>
      <c r="E8">
        <v>0</v>
      </c>
      <c r="F8">
        <v>1656</v>
      </c>
      <c r="G8">
        <v>72</v>
      </c>
      <c r="H8">
        <v>0</v>
      </c>
      <c r="I8">
        <v>1584</v>
      </c>
      <c r="J8">
        <v>60</v>
      </c>
      <c r="K8">
        <v>45</v>
      </c>
      <c r="L8">
        <v>1130</v>
      </c>
      <c r="M8">
        <v>36</v>
      </c>
      <c r="N8">
        <v>45</v>
      </c>
      <c r="O8">
        <v>716</v>
      </c>
      <c r="P8">
        <v>32</v>
      </c>
      <c r="Q8">
        <v>45</v>
      </c>
      <c r="R8">
        <v>355</v>
      </c>
      <c r="S8">
        <v>10</v>
      </c>
      <c r="T8">
        <v>52</v>
      </c>
    </row>
    <row r="9" spans="1:20" x14ac:dyDescent="0.2">
      <c r="A9" t="s">
        <v>26</v>
      </c>
      <c r="B9" t="s">
        <v>21</v>
      </c>
      <c r="C9">
        <v>5126</v>
      </c>
      <c r="D9">
        <v>156</v>
      </c>
      <c r="E9">
        <v>0</v>
      </c>
      <c r="F9">
        <v>4969</v>
      </c>
      <c r="G9">
        <v>270</v>
      </c>
      <c r="H9">
        <v>0</v>
      </c>
      <c r="I9">
        <v>4699</v>
      </c>
      <c r="J9">
        <v>202</v>
      </c>
      <c r="K9">
        <v>149</v>
      </c>
      <c r="L9">
        <v>3346</v>
      </c>
      <c r="M9">
        <v>127</v>
      </c>
      <c r="N9">
        <v>141</v>
      </c>
      <c r="O9">
        <v>2129</v>
      </c>
      <c r="P9">
        <v>59</v>
      </c>
      <c r="Q9">
        <v>147</v>
      </c>
      <c r="R9">
        <v>987</v>
      </c>
      <c r="S9">
        <v>25</v>
      </c>
      <c r="T9">
        <v>155</v>
      </c>
    </row>
    <row r="10" spans="1:20" x14ac:dyDescent="0.2">
      <c r="A10" t="s">
        <v>26</v>
      </c>
      <c r="B10" t="s">
        <v>22</v>
      </c>
      <c r="C10">
        <v>3192</v>
      </c>
      <c r="D10">
        <v>260</v>
      </c>
      <c r="E10">
        <v>0</v>
      </c>
      <c r="F10">
        <v>2932</v>
      </c>
      <c r="G10">
        <v>285</v>
      </c>
      <c r="H10">
        <v>0</v>
      </c>
      <c r="I10">
        <v>2646</v>
      </c>
      <c r="J10">
        <v>181</v>
      </c>
      <c r="K10">
        <v>108</v>
      </c>
      <c r="L10">
        <v>1797</v>
      </c>
      <c r="M10">
        <v>101</v>
      </c>
      <c r="N10">
        <v>112</v>
      </c>
      <c r="O10">
        <v>1061</v>
      </c>
      <c r="P10">
        <v>28</v>
      </c>
      <c r="Q10">
        <v>87</v>
      </c>
      <c r="R10">
        <v>482</v>
      </c>
      <c r="S10">
        <v>14</v>
      </c>
      <c r="T10">
        <v>76</v>
      </c>
    </row>
    <row r="11" spans="1:20" x14ac:dyDescent="0.2">
      <c r="A11" t="s">
        <v>26</v>
      </c>
      <c r="B11" t="s">
        <v>23</v>
      </c>
      <c r="C11">
        <v>3360</v>
      </c>
      <c r="D11">
        <v>443</v>
      </c>
      <c r="E11">
        <v>0</v>
      </c>
      <c r="F11">
        <v>2914</v>
      </c>
      <c r="G11">
        <v>366</v>
      </c>
      <c r="H11">
        <v>0</v>
      </c>
      <c r="I11">
        <v>2548</v>
      </c>
      <c r="J11">
        <v>187</v>
      </c>
      <c r="K11">
        <v>109</v>
      </c>
      <c r="L11">
        <v>1694</v>
      </c>
      <c r="M11">
        <v>102</v>
      </c>
      <c r="N11">
        <v>77</v>
      </c>
      <c r="O11">
        <v>1039</v>
      </c>
      <c r="P11">
        <v>50</v>
      </c>
      <c r="Q11">
        <v>103</v>
      </c>
      <c r="R11">
        <v>445</v>
      </c>
      <c r="S11">
        <v>13</v>
      </c>
      <c r="T11">
        <v>67</v>
      </c>
    </row>
    <row r="12" spans="1:20" x14ac:dyDescent="0.2">
      <c r="A12" t="s">
        <v>26</v>
      </c>
      <c r="B12" t="s">
        <v>24</v>
      </c>
      <c r="C12">
        <v>13848</v>
      </c>
      <c r="D12">
        <v>3893</v>
      </c>
      <c r="E12">
        <v>0</v>
      </c>
      <c r="F12">
        <v>9942</v>
      </c>
      <c r="G12">
        <v>1834</v>
      </c>
      <c r="H12">
        <v>0</v>
      </c>
      <c r="I12">
        <v>8106</v>
      </c>
      <c r="J12">
        <v>784</v>
      </c>
      <c r="K12">
        <v>397</v>
      </c>
      <c r="L12">
        <v>5241</v>
      </c>
      <c r="M12">
        <v>337</v>
      </c>
      <c r="N12">
        <v>294</v>
      </c>
      <c r="O12">
        <v>3075</v>
      </c>
      <c r="P12">
        <v>141</v>
      </c>
      <c r="Q12">
        <v>255</v>
      </c>
      <c r="R12">
        <v>1328</v>
      </c>
      <c r="S12">
        <v>35</v>
      </c>
      <c r="T12">
        <v>194</v>
      </c>
    </row>
    <row r="13" spans="1:20" x14ac:dyDescent="0.2">
      <c r="A13" t="s">
        <v>26</v>
      </c>
      <c r="B13" t="s">
        <v>25</v>
      </c>
      <c r="C13">
        <v>3085</v>
      </c>
      <c r="D13">
        <v>819</v>
      </c>
      <c r="E13">
        <v>0</v>
      </c>
      <c r="F13">
        <v>2264</v>
      </c>
      <c r="G13">
        <v>234</v>
      </c>
      <c r="H13">
        <v>0</v>
      </c>
      <c r="I13">
        <v>2030</v>
      </c>
      <c r="J13">
        <v>143</v>
      </c>
      <c r="K13">
        <v>53</v>
      </c>
      <c r="L13">
        <v>1515</v>
      </c>
      <c r="M13">
        <v>75</v>
      </c>
      <c r="N13">
        <v>53</v>
      </c>
      <c r="O13">
        <v>1071</v>
      </c>
      <c r="P13">
        <v>31</v>
      </c>
      <c r="Q13">
        <v>56</v>
      </c>
      <c r="R13">
        <v>622</v>
      </c>
      <c r="S13">
        <v>20</v>
      </c>
      <c r="T13">
        <v>88</v>
      </c>
    </row>
    <row r="14" spans="1:20" x14ac:dyDescent="0.2">
      <c r="A14" t="s">
        <v>27</v>
      </c>
      <c r="B14" t="s">
        <v>20</v>
      </c>
      <c r="C14">
        <v>11</v>
      </c>
      <c r="D14">
        <v>0</v>
      </c>
      <c r="E14">
        <v>0</v>
      </c>
      <c r="F14">
        <v>11</v>
      </c>
      <c r="G14">
        <v>0</v>
      </c>
      <c r="H14">
        <v>0</v>
      </c>
      <c r="I14">
        <v>11</v>
      </c>
      <c r="J14">
        <v>0</v>
      </c>
      <c r="K14">
        <v>1</v>
      </c>
      <c r="L14">
        <v>7</v>
      </c>
      <c r="M14">
        <v>0</v>
      </c>
      <c r="N14">
        <v>0</v>
      </c>
      <c r="O14">
        <v>6</v>
      </c>
      <c r="P14">
        <v>0</v>
      </c>
      <c r="Q14">
        <v>1</v>
      </c>
      <c r="R14">
        <v>3</v>
      </c>
      <c r="S14">
        <v>0</v>
      </c>
      <c r="T14">
        <v>0</v>
      </c>
    </row>
    <row r="15" spans="1:20" x14ac:dyDescent="0.2">
      <c r="A15" t="s">
        <v>27</v>
      </c>
      <c r="B15" t="s">
        <v>21</v>
      </c>
      <c r="C15">
        <v>1060</v>
      </c>
      <c r="D15">
        <v>201</v>
      </c>
      <c r="E15">
        <v>0</v>
      </c>
      <c r="F15">
        <v>859</v>
      </c>
      <c r="G15">
        <v>161</v>
      </c>
      <c r="H15">
        <v>0</v>
      </c>
      <c r="I15">
        <v>698</v>
      </c>
      <c r="J15">
        <v>93</v>
      </c>
      <c r="K15">
        <v>67</v>
      </c>
      <c r="L15">
        <v>384</v>
      </c>
      <c r="M15">
        <v>35</v>
      </c>
      <c r="N15">
        <v>33</v>
      </c>
      <c r="O15">
        <v>217</v>
      </c>
      <c r="P15">
        <v>25</v>
      </c>
      <c r="Q15">
        <v>27</v>
      </c>
      <c r="R15">
        <v>81</v>
      </c>
      <c r="S15">
        <v>5</v>
      </c>
      <c r="T15">
        <v>19</v>
      </c>
    </row>
    <row r="16" spans="1:20" x14ac:dyDescent="0.2">
      <c r="A16" t="s">
        <v>27</v>
      </c>
      <c r="B16" t="s">
        <v>22</v>
      </c>
      <c r="C16">
        <v>1230</v>
      </c>
      <c r="D16">
        <v>343</v>
      </c>
      <c r="E16">
        <v>0</v>
      </c>
      <c r="F16">
        <v>887</v>
      </c>
      <c r="G16">
        <v>224</v>
      </c>
      <c r="H16">
        <v>0</v>
      </c>
      <c r="I16">
        <v>663</v>
      </c>
      <c r="J16">
        <v>119</v>
      </c>
      <c r="K16">
        <v>74</v>
      </c>
      <c r="L16">
        <v>362</v>
      </c>
      <c r="M16">
        <v>54</v>
      </c>
      <c r="N16">
        <v>46</v>
      </c>
      <c r="O16">
        <v>175</v>
      </c>
      <c r="P16">
        <v>13</v>
      </c>
      <c r="Q16">
        <v>31</v>
      </c>
      <c r="R16">
        <v>63</v>
      </c>
      <c r="S16">
        <v>3</v>
      </c>
      <c r="T16">
        <v>15</v>
      </c>
    </row>
    <row r="17" spans="1:20" x14ac:dyDescent="0.2">
      <c r="A17" t="s">
        <v>27</v>
      </c>
      <c r="B17" t="s">
        <v>23</v>
      </c>
      <c r="C17">
        <v>1010</v>
      </c>
      <c r="D17">
        <v>589</v>
      </c>
      <c r="E17">
        <v>0</v>
      </c>
      <c r="F17">
        <v>421</v>
      </c>
      <c r="G17">
        <v>174</v>
      </c>
      <c r="H17">
        <v>0</v>
      </c>
      <c r="I17">
        <v>246</v>
      </c>
      <c r="J17">
        <v>74</v>
      </c>
      <c r="K17">
        <v>36</v>
      </c>
      <c r="L17">
        <v>111</v>
      </c>
      <c r="M17">
        <v>18</v>
      </c>
      <c r="N17">
        <v>17</v>
      </c>
      <c r="O17">
        <v>53</v>
      </c>
      <c r="P17">
        <v>10</v>
      </c>
      <c r="Q17">
        <v>6</v>
      </c>
      <c r="R17">
        <v>19</v>
      </c>
      <c r="S17">
        <v>0</v>
      </c>
      <c r="T17">
        <v>6</v>
      </c>
    </row>
    <row r="18" spans="1:20" x14ac:dyDescent="0.2">
      <c r="A18" t="s">
        <v>27</v>
      </c>
      <c r="B18" t="s">
        <v>24</v>
      </c>
      <c r="C18">
        <v>3801</v>
      </c>
      <c r="D18">
        <v>2983</v>
      </c>
      <c r="E18">
        <v>0</v>
      </c>
      <c r="F18">
        <v>817</v>
      </c>
      <c r="G18">
        <v>492</v>
      </c>
      <c r="H18">
        <v>0</v>
      </c>
      <c r="I18">
        <v>325</v>
      </c>
      <c r="J18">
        <v>130</v>
      </c>
      <c r="K18">
        <v>32</v>
      </c>
      <c r="L18">
        <v>140</v>
      </c>
      <c r="M18">
        <v>39</v>
      </c>
      <c r="N18">
        <v>21</v>
      </c>
      <c r="O18">
        <v>57</v>
      </c>
      <c r="P18">
        <v>12</v>
      </c>
      <c r="Q18">
        <v>14</v>
      </c>
      <c r="R18">
        <v>19</v>
      </c>
      <c r="S18">
        <v>1</v>
      </c>
      <c r="T18">
        <v>4</v>
      </c>
    </row>
    <row r="19" spans="1:20" x14ac:dyDescent="0.2">
      <c r="A19" t="s">
        <v>27</v>
      </c>
      <c r="B19" t="s">
        <v>25</v>
      </c>
      <c r="C19">
        <v>6232</v>
      </c>
      <c r="D19">
        <v>3642</v>
      </c>
      <c r="E19">
        <v>0</v>
      </c>
      <c r="F19">
        <v>2590</v>
      </c>
      <c r="G19">
        <v>896</v>
      </c>
      <c r="H19">
        <v>0</v>
      </c>
      <c r="I19">
        <v>1691</v>
      </c>
      <c r="J19">
        <v>434</v>
      </c>
      <c r="K19">
        <v>151</v>
      </c>
      <c r="L19">
        <v>963</v>
      </c>
      <c r="M19">
        <v>188</v>
      </c>
      <c r="N19">
        <v>98</v>
      </c>
      <c r="O19">
        <v>526</v>
      </c>
      <c r="P19">
        <v>62</v>
      </c>
      <c r="Q19">
        <v>68</v>
      </c>
      <c r="R19">
        <v>259</v>
      </c>
      <c r="S19">
        <v>18</v>
      </c>
      <c r="T19">
        <v>67</v>
      </c>
    </row>
    <row r="20" spans="1:20" x14ac:dyDescent="0.2">
      <c r="A20" t="s">
        <v>28</v>
      </c>
      <c r="B20" t="s">
        <v>20</v>
      </c>
      <c r="C20">
        <v>241</v>
      </c>
      <c r="D20">
        <v>23</v>
      </c>
      <c r="E20">
        <v>0</v>
      </c>
      <c r="F20">
        <v>218</v>
      </c>
      <c r="G20">
        <v>18</v>
      </c>
      <c r="H20">
        <v>0</v>
      </c>
      <c r="I20">
        <v>200</v>
      </c>
      <c r="J20">
        <v>14</v>
      </c>
      <c r="K20">
        <v>8</v>
      </c>
      <c r="L20">
        <v>120</v>
      </c>
      <c r="M20">
        <v>13</v>
      </c>
      <c r="N20">
        <v>6</v>
      </c>
      <c r="O20">
        <v>71</v>
      </c>
      <c r="P20">
        <v>4</v>
      </c>
      <c r="Q20">
        <v>3</v>
      </c>
      <c r="R20">
        <v>31</v>
      </c>
      <c r="S20">
        <v>2</v>
      </c>
      <c r="T20">
        <v>6</v>
      </c>
    </row>
    <row r="21" spans="1:20" x14ac:dyDescent="0.2">
      <c r="A21" t="s">
        <v>28</v>
      </c>
      <c r="B21" t="s">
        <v>21</v>
      </c>
      <c r="C21">
        <v>18875</v>
      </c>
      <c r="D21">
        <v>2377</v>
      </c>
      <c r="E21">
        <v>0</v>
      </c>
      <c r="F21">
        <v>16494</v>
      </c>
      <c r="G21">
        <v>2307</v>
      </c>
      <c r="H21">
        <v>0</v>
      </c>
      <c r="I21">
        <v>14179</v>
      </c>
      <c r="J21">
        <v>1537</v>
      </c>
      <c r="K21">
        <v>937</v>
      </c>
      <c r="L21">
        <v>8878</v>
      </c>
      <c r="M21">
        <v>762</v>
      </c>
      <c r="N21">
        <v>754</v>
      </c>
      <c r="O21">
        <v>4994</v>
      </c>
      <c r="P21">
        <v>349</v>
      </c>
      <c r="Q21">
        <v>557</v>
      </c>
      <c r="R21">
        <v>2168</v>
      </c>
      <c r="S21">
        <v>120</v>
      </c>
      <c r="T21">
        <v>490</v>
      </c>
    </row>
    <row r="22" spans="1:20" x14ac:dyDescent="0.2">
      <c r="A22" t="s">
        <v>28</v>
      </c>
      <c r="B22" t="s">
        <v>22</v>
      </c>
      <c r="C22">
        <v>8176</v>
      </c>
      <c r="D22">
        <v>2170</v>
      </c>
      <c r="E22">
        <v>0</v>
      </c>
      <c r="F22">
        <v>6002</v>
      </c>
      <c r="G22">
        <v>1475</v>
      </c>
      <c r="H22">
        <v>0</v>
      </c>
      <c r="I22">
        <v>4522</v>
      </c>
      <c r="J22">
        <v>713</v>
      </c>
      <c r="K22">
        <v>357</v>
      </c>
      <c r="L22">
        <v>2753</v>
      </c>
      <c r="M22">
        <v>354</v>
      </c>
      <c r="N22">
        <v>273</v>
      </c>
      <c r="O22">
        <v>1508</v>
      </c>
      <c r="P22">
        <v>146</v>
      </c>
      <c r="Q22">
        <v>211</v>
      </c>
      <c r="R22">
        <v>623</v>
      </c>
      <c r="S22">
        <v>39</v>
      </c>
      <c r="T22">
        <v>151</v>
      </c>
    </row>
    <row r="23" spans="1:20" x14ac:dyDescent="0.2">
      <c r="A23" t="s">
        <v>28</v>
      </c>
      <c r="B23" t="s">
        <v>23</v>
      </c>
      <c r="C23">
        <v>21649</v>
      </c>
      <c r="D23">
        <v>10704</v>
      </c>
      <c r="E23">
        <v>0</v>
      </c>
      <c r="F23">
        <v>10923</v>
      </c>
      <c r="G23">
        <v>4659</v>
      </c>
      <c r="H23">
        <v>0</v>
      </c>
      <c r="I23">
        <v>6258</v>
      </c>
      <c r="J23">
        <v>1621</v>
      </c>
      <c r="K23">
        <v>649</v>
      </c>
      <c r="L23">
        <v>3185</v>
      </c>
      <c r="M23">
        <v>584</v>
      </c>
      <c r="N23">
        <v>412</v>
      </c>
      <c r="O23">
        <v>1559</v>
      </c>
      <c r="P23">
        <v>206</v>
      </c>
      <c r="Q23">
        <v>252</v>
      </c>
      <c r="R23">
        <v>606</v>
      </c>
      <c r="S23">
        <v>44</v>
      </c>
      <c r="T23">
        <v>156</v>
      </c>
    </row>
    <row r="24" spans="1:20" x14ac:dyDescent="0.2">
      <c r="A24" t="s">
        <v>28</v>
      </c>
      <c r="B24" t="s">
        <v>24</v>
      </c>
      <c r="C24">
        <v>52465</v>
      </c>
      <c r="D24">
        <v>41977</v>
      </c>
      <c r="E24">
        <v>0</v>
      </c>
      <c r="F24">
        <v>10463</v>
      </c>
      <c r="G24">
        <v>5903</v>
      </c>
      <c r="H24">
        <v>0</v>
      </c>
      <c r="I24">
        <v>4553</v>
      </c>
      <c r="J24">
        <v>1537</v>
      </c>
      <c r="K24">
        <v>577</v>
      </c>
      <c r="L24">
        <v>1933</v>
      </c>
      <c r="M24">
        <v>477</v>
      </c>
      <c r="N24">
        <v>287</v>
      </c>
      <c r="O24">
        <v>810</v>
      </c>
      <c r="P24">
        <v>116</v>
      </c>
      <c r="Q24">
        <v>140</v>
      </c>
      <c r="R24">
        <v>341</v>
      </c>
      <c r="S24">
        <v>28</v>
      </c>
      <c r="T24">
        <v>92</v>
      </c>
    </row>
    <row r="25" spans="1:20" x14ac:dyDescent="0.2">
      <c r="A25" t="s">
        <v>28</v>
      </c>
      <c r="B25" t="s">
        <v>25</v>
      </c>
      <c r="C25">
        <v>5714</v>
      </c>
      <c r="D25">
        <v>3894</v>
      </c>
      <c r="E25">
        <v>0</v>
      </c>
      <c r="F25">
        <v>1819</v>
      </c>
      <c r="G25">
        <v>543</v>
      </c>
      <c r="H25">
        <v>0</v>
      </c>
      <c r="I25">
        <v>1276</v>
      </c>
      <c r="J25">
        <v>207</v>
      </c>
      <c r="K25">
        <v>95</v>
      </c>
      <c r="L25">
        <v>820</v>
      </c>
      <c r="M25">
        <v>96</v>
      </c>
      <c r="N25">
        <v>61</v>
      </c>
      <c r="O25">
        <v>514</v>
      </c>
      <c r="P25">
        <v>57</v>
      </c>
      <c r="Q25">
        <v>53</v>
      </c>
      <c r="R25">
        <v>254</v>
      </c>
      <c r="S25">
        <v>9</v>
      </c>
      <c r="T25">
        <v>54</v>
      </c>
    </row>
    <row r="26" spans="1:20" x14ac:dyDescent="0.2">
      <c r="A26" t="s">
        <v>29</v>
      </c>
      <c r="B26" t="s">
        <v>21</v>
      </c>
      <c r="C26">
        <v>5534</v>
      </c>
      <c r="D26">
        <v>486</v>
      </c>
      <c r="E26">
        <v>0</v>
      </c>
      <c r="F26">
        <v>5047</v>
      </c>
      <c r="G26">
        <v>258</v>
      </c>
      <c r="H26">
        <v>0</v>
      </c>
      <c r="I26">
        <v>4789</v>
      </c>
      <c r="J26">
        <v>137</v>
      </c>
      <c r="K26">
        <v>134</v>
      </c>
      <c r="L26">
        <v>3422</v>
      </c>
      <c r="M26">
        <v>104</v>
      </c>
      <c r="N26">
        <v>108</v>
      </c>
      <c r="O26">
        <v>2230</v>
      </c>
      <c r="P26">
        <v>66</v>
      </c>
      <c r="Q26">
        <v>144</v>
      </c>
      <c r="R26">
        <v>1032</v>
      </c>
      <c r="S26">
        <v>31</v>
      </c>
      <c r="T26">
        <v>118</v>
      </c>
    </row>
    <row r="27" spans="1:20" x14ac:dyDescent="0.2">
      <c r="A27" t="s">
        <v>29</v>
      </c>
      <c r="B27" t="s">
        <v>22</v>
      </c>
      <c r="C27">
        <v>4107</v>
      </c>
      <c r="D27">
        <v>483</v>
      </c>
      <c r="E27">
        <v>0</v>
      </c>
      <c r="F27">
        <v>3623</v>
      </c>
      <c r="G27">
        <v>215</v>
      </c>
      <c r="H27">
        <v>0</v>
      </c>
      <c r="I27">
        <v>3407</v>
      </c>
      <c r="J27">
        <v>108</v>
      </c>
      <c r="K27">
        <v>84</v>
      </c>
      <c r="L27">
        <v>2519</v>
      </c>
      <c r="M27">
        <v>86</v>
      </c>
      <c r="N27">
        <v>97</v>
      </c>
      <c r="O27">
        <v>1576</v>
      </c>
      <c r="P27">
        <v>48</v>
      </c>
      <c r="Q27">
        <v>80</v>
      </c>
      <c r="R27">
        <v>722</v>
      </c>
      <c r="S27">
        <v>12</v>
      </c>
      <c r="T27">
        <v>94</v>
      </c>
    </row>
    <row r="28" spans="1:20" x14ac:dyDescent="0.2">
      <c r="A28" t="s">
        <v>29</v>
      </c>
      <c r="B28" t="s">
        <v>23</v>
      </c>
      <c r="C28">
        <v>5908</v>
      </c>
      <c r="D28">
        <v>947</v>
      </c>
      <c r="E28">
        <v>0</v>
      </c>
      <c r="F28">
        <v>4958</v>
      </c>
      <c r="G28">
        <v>440</v>
      </c>
      <c r="H28">
        <v>0</v>
      </c>
      <c r="I28">
        <v>4516</v>
      </c>
      <c r="J28">
        <v>224</v>
      </c>
      <c r="K28">
        <v>160</v>
      </c>
      <c r="L28">
        <v>3120</v>
      </c>
      <c r="M28">
        <v>113</v>
      </c>
      <c r="N28">
        <v>160</v>
      </c>
      <c r="O28">
        <v>1890</v>
      </c>
      <c r="P28">
        <v>72</v>
      </c>
      <c r="Q28">
        <v>138</v>
      </c>
      <c r="R28">
        <v>842</v>
      </c>
      <c r="S28">
        <v>26</v>
      </c>
      <c r="T28">
        <v>118</v>
      </c>
    </row>
    <row r="29" spans="1:20" x14ac:dyDescent="0.2">
      <c r="A29" t="s">
        <v>29</v>
      </c>
      <c r="B29" t="s">
        <v>24</v>
      </c>
      <c r="C29">
        <v>13966</v>
      </c>
      <c r="D29">
        <v>3189</v>
      </c>
      <c r="E29">
        <v>0</v>
      </c>
      <c r="F29">
        <v>10771</v>
      </c>
      <c r="G29">
        <v>1021</v>
      </c>
      <c r="H29">
        <v>0</v>
      </c>
      <c r="I29">
        <v>9747</v>
      </c>
      <c r="J29">
        <v>536</v>
      </c>
      <c r="K29">
        <v>402</v>
      </c>
      <c r="L29">
        <v>6679</v>
      </c>
      <c r="M29">
        <v>287</v>
      </c>
      <c r="N29">
        <v>351</v>
      </c>
      <c r="O29">
        <v>4082</v>
      </c>
      <c r="P29">
        <v>166</v>
      </c>
      <c r="Q29">
        <v>294</v>
      </c>
      <c r="R29">
        <v>1788</v>
      </c>
      <c r="S29">
        <v>50</v>
      </c>
      <c r="T29">
        <v>256</v>
      </c>
    </row>
    <row r="30" spans="1:20" x14ac:dyDescent="0.2">
      <c r="A30" t="s">
        <v>29</v>
      </c>
      <c r="B30" t="s">
        <v>25</v>
      </c>
      <c r="C30">
        <v>5878</v>
      </c>
      <c r="D30">
        <v>1351</v>
      </c>
      <c r="E30">
        <v>0</v>
      </c>
      <c r="F30">
        <v>4524</v>
      </c>
      <c r="G30">
        <v>364</v>
      </c>
      <c r="H30">
        <v>0</v>
      </c>
      <c r="I30">
        <v>4159</v>
      </c>
      <c r="J30">
        <v>198</v>
      </c>
      <c r="K30">
        <v>121</v>
      </c>
      <c r="L30">
        <v>3117</v>
      </c>
      <c r="M30">
        <v>129</v>
      </c>
      <c r="N30">
        <v>137</v>
      </c>
      <c r="O30">
        <v>2105</v>
      </c>
      <c r="P30">
        <v>75</v>
      </c>
      <c r="Q30">
        <v>162</v>
      </c>
      <c r="R30">
        <v>1117</v>
      </c>
      <c r="S30">
        <v>30</v>
      </c>
      <c r="T30">
        <v>162</v>
      </c>
    </row>
    <row r="31" spans="1:20" x14ac:dyDescent="0.2">
      <c r="A31" t="s">
        <v>30</v>
      </c>
      <c r="B31" t="s">
        <v>20</v>
      </c>
      <c r="C31">
        <v>1250</v>
      </c>
      <c r="D31">
        <v>85</v>
      </c>
      <c r="E31">
        <v>0</v>
      </c>
      <c r="F31">
        <v>1165</v>
      </c>
      <c r="G31">
        <v>74</v>
      </c>
      <c r="H31">
        <v>0</v>
      </c>
      <c r="I31">
        <v>1090</v>
      </c>
      <c r="J31">
        <v>48</v>
      </c>
      <c r="K31">
        <v>46</v>
      </c>
      <c r="L31">
        <v>759</v>
      </c>
      <c r="M31">
        <v>28</v>
      </c>
      <c r="N31">
        <v>34</v>
      </c>
      <c r="O31">
        <v>475</v>
      </c>
      <c r="P31">
        <v>14</v>
      </c>
      <c r="Q31">
        <v>37</v>
      </c>
      <c r="R31">
        <v>223</v>
      </c>
      <c r="S31">
        <v>7</v>
      </c>
      <c r="T31">
        <v>35</v>
      </c>
    </row>
    <row r="32" spans="1:20" x14ac:dyDescent="0.2">
      <c r="A32" t="s">
        <v>30</v>
      </c>
      <c r="B32" t="s">
        <v>21</v>
      </c>
      <c r="C32">
        <v>2118</v>
      </c>
      <c r="D32">
        <v>317</v>
      </c>
      <c r="E32">
        <v>0</v>
      </c>
      <c r="F32">
        <v>1800</v>
      </c>
      <c r="G32">
        <v>277</v>
      </c>
      <c r="H32">
        <v>0</v>
      </c>
      <c r="I32">
        <v>1523</v>
      </c>
      <c r="J32">
        <v>170</v>
      </c>
      <c r="K32">
        <v>86</v>
      </c>
      <c r="L32">
        <v>968</v>
      </c>
      <c r="M32">
        <v>73</v>
      </c>
      <c r="N32">
        <v>67</v>
      </c>
      <c r="O32">
        <v>592</v>
      </c>
      <c r="P32">
        <v>39</v>
      </c>
      <c r="Q32">
        <v>48</v>
      </c>
      <c r="R32">
        <v>267</v>
      </c>
      <c r="S32">
        <v>11</v>
      </c>
      <c r="T32">
        <v>44</v>
      </c>
    </row>
    <row r="33" spans="1:20" x14ac:dyDescent="0.2">
      <c r="A33" t="s">
        <v>30</v>
      </c>
      <c r="B33" t="s">
        <v>22</v>
      </c>
      <c r="C33">
        <v>2789</v>
      </c>
      <c r="D33">
        <v>749</v>
      </c>
      <c r="E33">
        <v>0</v>
      </c>
      <c r="F33">
        <v>2038</v>
      </c>
      <c r="G33">
        <v>602</v>
      </c>
      <c r="H33">
        <v>0</v>
      </c>
      <c r="I33">
        <v>1435</v>
      </c>
      <c r="J33">
        <v>266</v>
      </c>
      <c r="K33">
        <v>101</v>
      </c>
      <c r="L33">
        <v>843</v>
      </c>
      <c r="M33">
        <v>104</v>
      </c>
      <c r="N33">
        <v>62</v>
      </c>
      <c r="O33">
        <v>493</v>
      </c>
      <c r="P33">
        <v>36</v>
      </c>
      <c r="Q33">
        <v>40</v>
      </c>
      <c r="R33">
        <v>218</v>
      </c>
      <c r="S33">
        <v>9</v>
      </c>
      <c r="T33">
        <v>34</v>
      </c>
    </row>
    <row r="34" spans="1:20" x14ac:dyDescent="0.2">
      <c r="A34" t="s">
        <v>30</v>
      </c>
      <c r="B34" t="s">
        <v>23</v>
      </c>
      <c r="C34">
        <v>6878</v>
      </c>
      <c r="D34">
        <v>2842</v>
      </c>
      <c r="E34">
        <v>0</v>
      </c>
      <c r="F34">
        <v>4029</v>
      </c>
      <c r="G34">
        <v>1694</v>
      </c>
      <c r="H34">
        <v>0</v>
      </c>
      <c r="I34">
        <v>2333</v>
      </c>
      <c r="J34">
        <v>559</v>
      </c>
      <c r="K34">
        <v>184</v>
      </c>
      <c r="L34">
        <v>1280</v>
      </c>
      <c r="M34">
        <v>198</v>
      </c>
      <c r="N34">
        <v>107</v>
      </c>
      <c r="O34">
        <v>684</v>
      </c>
      <c r="P34">
        <v>65</v>
      </c>
      <c r="Q34">
        <v>66</v>
      </c>
      <c r="R34">
        <v>293</v>
      </c>
      <c r="S34">
        <v>12</v>
      </c>
      <c r="T34">
        <v>59</v>
      </c>
    </row>
    <row r="35" spans="1:20" x14ac:dyDescent="0.2">
      <c r="A35" t="s">
        <v>30</v>
      </c>
      <c r="B35" t="s">
        <v>24</v>
      </c>
      <c r="C35">
        <v>7068</v>
      </c>
      <c r="D35">
        <v>5430</v>
      </c>
      <c r="E35">
        <v>0</v>
      </c>
      <c r="F35">
        <v>1633</v>
      </c>
      <c r="G35">
        <v>1109</v>
      </c>
      <c r="H35">
        <v>0</v>
      </c>
      <c r="I35">
        <v>524</v>
      </c>
      <c r="J35">
        <v>237</v>
      </c>
      <c r="K35">
        <v>59</v>
      </c>
      <c r="L35">
        <v>196</v>
      </c>
      <c r="M35">
        <v>49</v>
      </c>
      <c r="N35">
        <v>24</v>
      </c>
      <c r="O35">
        <v>92</v>
      </c>
      <c r="P35">
        <v>8</v>
      </c>
      <c r="Q35">
        <v>15</v>
      </c>
      <c r="R35">
        <v>38</v>
      </c>
      <c r="S35">
        <v>4</v>
      </c>
      <c r="T35">
        <v>7</v>
      </c>
    </row>
    <row r="36" spans="1:20" x14ac:dyDescent="0.2">
      <c r="A36" t="s">
        <v>30</v>
      </c>
      <c r="B36" t="s">
        <v>25</v>
      </c>
      <c r="C36">
        <v>2171</v>
      </c>
      <c r="D36">
        <v>1230</v>
      </c>
      <c r="E36">
        <v>0</v>
      </c>
      <c r="F36">
        <v>937</v>
      </c>
      <c r="G36">
        <v>316</v>
      </c>
      <c r="H36">
        <v>0</v>
      </c>
      <c r="I36">
        <v>621</v>
      </c>
      <c r="J36">
        <v>108</v>
      </c>
      <c r="K36">
        <v>31</v>
      </c>
      <c r="L36">
        <v>395</v>
      </c>
      <c r="M36">
        <v>49</v>
      </c>
      <c r="N36">
        <v>23</v>
      </c>
      <c r="O36">
        <v>228</v>
      </c>
      <c r="P36">
        <v>16</v>
      </c>
      <c r="Q36">
        <v>26</v>
      </c>
      <c r="R36">
        <v>104</v>
      </c>
      <c r="S36">
        <v>5</v>
      </c>
      <c r="T36">
        <v>13</v>
      </c>
    </row>
    <row r="37" spans="1:20" x14ac:dyDescent="0.2">
      <c r="A37" t="s">
        <v>31</v>
      </c>
      <c r="B37" t="s">
        <v>20</v>
      </c>
      <c r="C37">
        <v>74</v>
      </c>
      <c r="D37">
        <v>0</v>
      </c>
      <c r="E37">
        <v>0</v>
      </c>
      <c r="F37">
        <v>74</v>
      </c>
      <c r="G37">
        <v>5</v>
      </c>
      <c r="H37">
        <v>0</v>
      </c>
      <c r="I37">
        <v>69</v>
      </c>
      <c r="J37">
        <v>2</v>
      </c>
      <c r="K37">
        <v>0</v>
      </c>
      <c r="L37">
        <v>45</v>
      </c>
      <c r="M37">
        <v>1</v>
      </c>
      <c r="N37">
        <v>1</v>
      </c>
      <c r="O37">
        <v>24</v>
      </c>
      <c r="P37">
        <v>0</v>
      </c>
      <c r="Q37">
        <v>1</v>
      </c>
      <c r="R37">
        <v>13</v>
      </c>
      <c r="S37">
        <v>0</v>
      </c>
      <c r="T37">
        <v>2</v>
      </c>
    </row>
    <row r="38" spans="1:20" x14ac:dyDescent="0.2">
      <c r="A38" t="s">
        <v>31</v>
      </c>
      <c r="B38" t="s">
        <v>21</v>
      </c>
      <c r="C38">
        <v>4558</v>
      </c>
      <c r="D38">
        <v>106</v>
      </c>
      <c r="E38">
        <v>0</v>
      </c>
      <c r="F38">
        <v>4452</v>
      </c>
      <c r="G38">
        <v>107</v>
      </c>
      <c r="H38">
        <v>0</v>
      </c>
      <c r="I38">
        <v>4345</v>
      </c>
      <c r="J38">
        <v>115</v>
      </c>
      <c r="K38">
        <v>52</v>
      </c>
      <c r="L38">
        <v>3175</v>
      </c>
      <c r="M38">
        <v>63</v>
      </c>
      <c r="N38">
        <v>62</v>
      </c>
      <c r="O38">
        <v>2111</v>
      </c>
      <c r="P38">
        <v>55</v>
      </c>
      <c r="Q38">
        <v>82</v>
      </c>
      <c r="R38">
        <v>1023</v>
      </c>
      <c r="S38">
        <v>13</v>
      </c>
      <c r="T38">
        <v>93</v>
      </c>
    </row>
    <row r="39" spans="1:20" x14ac:dyDescent="0.2">
      <c r="A39" t="s">
        <v>31</v>
      </c>
      <c r="B39" t="s">
        <v>22</v>
      </c>
      <c r="C39">
        <v>1054</v>
      </c>
      <c r="D39">
        <v>77</v>
      </c>
      <c r="E39">
        <v>0</v>
      </c>
      <c r="F39">
        <v>977</v>
      </c>
      <c r="G39">
        <v>72</v>
      </c>
      <c r="H39">
        <v>0</v>
      </c>
      <c r="I39">
        <v>904</v>
      </c>
      <c r="J39">
        <v>52</v>
      </c>
      <c r="K39">
        <v>48</v>
      </c>
      <c r="L39">
        <v>634</v>
      </c>
      <c r="M39">
        <v>41</v>
      </c>
      <c r="N39">
        <v>37</v>
      </c>
      <c r="O39">
        <v>375</v>
      </c>
      <c r="P39">
        <v>22</v>
      </c>
      <c r="Q39">
        <v>36</v>
      </c>
      <c r="R39">
        <v>170</v>
      </c>
      <c r="S39">
        <v>15</v>
      </c>
      <c r="T39">
        <v>17</v>
      </c>
    </row>
    <row r="40" spans="1:20" x14ac:dyDescent="0.2">
      <c r="A40" t="s">
        <v>31</v>
      </c>
      <c r="B40" t="s">
        <v>23</v>
      </c>
      <c r="C40">
        <v>6434</v>
      </c>
      <c r="D40">
        <v>1410</v>
      </c>
      <c r="E40">
        <v>0</v>
      </c>
      <c r="F40">
        <v>5019</v>
      </c>
      <c r="G40">
        <v>1145</v>
      </c>
      <c r="H40">
        <v>0</v>
      </c>
      <c r="I40">
        <v>3872</v>
      </c>
      <c r="J40">
        <v>815</v>
      </c>
      <c r="K40">
        <v>364</v>
      </c>
      <c r="L40">
        <v>2233</v>
      </c>
      <c r="M40">
        <v>402</v>
      </c>
      <c r="N40">
        <v>269</v>
      </c>
      <c r="O40">
        <v>1152</v>
      </c>
      <c r="P40">
        <v>171</v>
      </c>
      <c r="Q40">
        <v>220</v>
      </c>
      <c r="R40">
        <v>421</v>
      </c>
      <c r="S40">
        <v>41</v>
      </c>
      <c r="T40">
        <v>109</v>
      </c>
    </row>
    <row r="41" spans="1:20" x14ac:dyDescent="0.2">
      <c r="A41" t="s">
        <v>31</v>
      </c>
      <c r="B41" t="s">
        <v>24</v>
      </c>
      <c r="C41">
        <v>3594</v>
      </c>
      <c r="D41">
        <v>1414</v>
      </c>
      <c r="E41">
        <v>0</v>
      </c>
      <c r="F41">
        <v>2178</v>
      </c>
      <c r="G41">
        <v>713</v>
      </c>
      <c r="H41">
        <v>0</v>
      </c>
      <c r="I41">
        <v>1463</v>
      </c>
      <c r="J41">
        <v>407</v>
      </c>
      <c r="K41">
        <v>160</v>
      </c>
      <c r="L41">
        <v>746</v>
      </c>
      <c r="M41">
        <v>151</v>
      </c>
      <c r="N41">
        <v>118</v>
      </c>
      <c r="O41">
        <v>367</v>
      </c>
      <c r="P41">
        <v>75</v>
      </c>
      <c r="Q41">
        <v>58</v>
      </c>
      <c r="R41">
        <v>142</v>
      </c>
      <c r="S41">
        <v>17</v>
      </c>
      <c r="T41">
        <v>44</v>
      </c>
    </row>
    <row r="42" spans="1:20" x14ac:dyDescent="0.2">
      <c r="A42" t="s">
        <v>31</v>
      </c>
      <c r="B42" t="s">
        <v>25</v>
      </c>
      <c r="C42">
        <v>2124</v>
      </c>
      <c r="D42">
        <v>807</v>
      </c>
      <c r="E42">
        <v>0</v>
      </c>
      <c r="F42">
        <v>1317</v>
      </c>
      <c r="G42">
        <v>194</v>
      </c>
      <c r="H42">
        <v>0</v>
      </c>
      <c r="I42">
        <v>1123</v>
      </c>
      <c r="J42">
        <v>104</v>
      </c>
      <c r="K42">
        <v>46</v>
      </c>
      <c r="L42">
        <v>762</v>
      </c>
      <c r="M42">
        <v>70</v>
      </c>
      <c r="N42">
        <v>32</v>
      </c>
      <c r="O42">
        <v>490</v>
      </c>
      <c r="P42">
        <v>24</v>
      </c>
      <c r="Q42">
        <v>34</v>
      </c>
      <c r="R42">
        <v>282</v>
      </c>
      <c r="S42">
        <v>12</v>
      </c>
      <c r="T42">
        <v>40</v>
      </c>
    </row>
    <row r="43" spans="1:20" x14ac:dyDescent="0.2">
      <c r="A43" t="s">
        <v>32</v>
      </c>
      <c r="B43" t="s">
        <v>20</v>
      </c>
      <c r="C43">
        <v>137</v>
      </c>
      <c r="D43">
        <v>24</v>
      </c>
      <c r="E43">
        <v>0</v>
      </c>
      <c r="F43">
        <v>113</v>
      </c>
      <c r="G43">
        <v>12</v>
      </c>
      <c r="H43">
        <v>0</v>
      </c>
      <c r="I43">
        <v>101</v>
      </c>
      <c r="J43">
        <v>6</v>
      </c>
      <c r="K43">
        <v>2</v>
      </c>
      <c r="L43">
        <v>65</v>
      </c>
      <c r="M43">
        <v>4</v>
      </c>
      <c r="N43">
        <v>2</v>
      </c>
      <c r="O43">
        <v>36</v>
      </c>
      <c r="P43">
        <v>1</v>
      </c>
      <c r="Q43">
        <v>3</v>
      </c>
      <c r="R43">
        <v>15</v>
      </c>
      <c r="S43">
        <v>1</v>
      </c>
      <c r="T43">
        <v>0</v>
      </c>
    </row>
    <row r="44" spans="1:20" x14ac:dyDescent="0.2">
      <c r="A44" t="s">
        <v>32</v>
      </c>
      <c r="B44" t="s">
        <v>21</v>
      </c>
      <c r="C44">
        <v>1128</v>
      </c>
      <c r="D44">
        <v>489</v>
      </c>
      <c r="E44">
        <v>0</v>
      </c>
      <c r="F44">
        <v>637</v>
      </c>
      <c r="G44">
        <v>207</v>
      </c>
      <c r="H44">
        <v>0</v>
      </c>
      <c r="I44">
        <v>430</v>
      </c>
      <c r="J44">
        <v>53</v>
      </c>
      <c r="K44">
        <v>30</v>
      </c>
      <c r="L44">
        <v>250</v>
      </c>
      <c r="M44">
        <v>11</v>
      </c>
      <c r="N44">
        <v>9</v>
      </c>
      <c r="O44">
        <v>149</v>
      </c>
      <c r="P44">
        <v>6</v>
      </c>
      <c r="Q44">
        <v>11</v>
      </c>
      <c r="R44">
        <v>74</v>
      </c>
      <c r="S44">
        <v>4</v>
      </c>
      <c r="T44">
        <v>9</v>
      </c>
    </row>
    <row r="45" spans="1:20" x14ac:dyDescent="0.2">
      <c r="A45" t="s">
        <v>32</v>
      </c>
      <c r="B45" t="s">
        <v>22</v>
      </c>
      <c r="C45">
        <v>2989</v>
      </c>
      <c r="D45">
        <v>1147</v>
      </c>
      <c r="E45">
        <v>0</v>
      </c>
      <c r="F45">
        <v>1838</v>
      </c>
      <c r="G45">
        <v>765</v>
      </c>
      <c r="H45">
        <v>0</v>
      </c>
      <c r="I45">
        <v>1073</v>
      </c>
      <c r="J45">
        <v>300</v>
      </c>
      <c r="K45">
        <v>100</v>
      </c>
      <c r="L45">
        <v>529</v>
      </c>
      <c r="M45">
        <v>103</v>
      </c>
      <c r="N45">
        <v>60</v>
      </c>
      <c r="O45">
        <v>253</v>
      </c>
      <c r="P45">
        <v>22</v>
      </c>
      <c r="Q45">
        <v>42</v>
      </c>
      <c r="R45">
        <v>102</v>
      </c>
      <c r="S45">
        <v>9</v>
      </c>
      <c r="T45">
        <v>26</v>
      </c>
    </row>
    <row r="46" spans="1:20" x14ac:dyDescent="0.2">
      <c r="A46" t="s">
        <v>32</v>
      </c>
      <c r="B46" t="s">
        <v>23</v>
      </c>
      <c r="C46">
        <v>2149</v>
      </c>
      <c r="D46">
        <v>1279</v>
      </c>
      <c r="E46">
        <v>0</v>
      </c>
      <c r="F46">
        <v>867</v>
      </c>
      <c r="G46">
        <v>507</v>
      </c>
      <c r="H46">
        <v>0</v>
      </c>
      <c r="I46">
        <v>360</v>
      </c>
      <c r="J46">
        <v>145</v>
      </c>
      <c r="K46">
        <v>37</v>
      </c>
      <c r="L46">
        <v>134</v>
      </c>
      <c r="M46">
        <v>27</v>
      </c>
      <c r="N46">
        <v>15</v>
      </c>
      <c r="O46">
        <v>53</v>
      </c>
      <c r="P46">
        <v>7</v>
      </c>
      <c r="Q46">
        <v>5</v>
      </c>
      <c r="R46">
        <v>28</v>
      </c>
      <c r="S46">
        <v>1</v>
      </c>
      <c r="T46">
        <v>9</v>
      </c>
    </row>
    <row r="47" spans="1:20" x14ac:dyDescent="0.2">
      <c r="A47" t="s">
        <v>32</v>
      </c>
      <c r="B47" t="s">
        <v>24</v>
      </c>
      <c r="C47">
        <v>11935</v>
      </c>
      <c r="D47">
        <v>10550</v>
      </c>
      <c r="E47">
        <v>0</v>
      </c>
      <c r="F47">
        <v>1381</v>
      </c>
      <c r="G47">
        <v>865</v>
      </c>
      <c r="H47">
        <v>0</v>
      </c>
      <c r="I47">
        <v>515</v>
      </c>
      <c r="J47">
        <v>176</v>
      </c>
      <c r="K47">
        <v>57</v>
      </c>
      <c r="L47">
        <v>228</v>
      </c>
      <c r="M47">
        <v>54</v>
      </c>
      <c r="N47">
        <v>19</v>
      </c>
      <c r="O47">
        <v>109</v>
      </c>
      <c r="P47">
        <v>14</v>
      </c>
      <c r="Q47">
        <v>13</v>
      </c>
      <c r="R47">
        <v>45</v>
      </c>
      <c r="S47">
        <v>3</v>
      </c>
      <c r="T47">
        <v>8</v>
      </c>
    </row>
    <row r="48" spans="1:20" x14ac:dyDescent="0.2">
      <c r="A48" t="s">
        <v>32</v>
      </c>
      <c r="B48" t="s">
        <v>25</v>
      </c>
      <c r="C48">
        <v>4090</v>
      </c>
      <c r="D48">
        <v>2752</v>
      </c>
      <c r="E48">
        <v>0</v>
      </c>
      <c r="F48">
        <v>1334</v>
      </c>
      <c r="G48">
        <v>584</v>
      </c>
      <c r="H48">
        <v>0</v>
      </c>
      <c r="I48">
        <v>749</v>
      </c>
      <c r="J48">
        <v>183</v>
      </c>
      <c r="K48">
        <v>61</v>
      </c>
      <c r="L48">
        <v>417</v>
      </c>
      <c r="M48">
        <v>56</v>
      </c>
      <c r="N48">
        <v>26</v>
      </c>
      <c r="O48">
        <v>255</v>
      </c>
      <c r="P48">
        <v>26</v>
      </c>
      <c r="Q48">
        <v>24</v>
      </c>
      <c r="R48">
        <v>115</v>
      </c>
      <c r="S48">
        <v>3</v>
      </c>
      <c r="T48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7E1A-D72C-6647-9A86-ABAC5DCE571F}">
  <dimension ref="A1:Y48"/>
  <sheetViews>
    <sheetView workbookViewId="0">
      <selection activeCell="I23" sqref="I23"/>
    </sheetView>
  </sheetViews>
  <sheetFormatPr baseColWidth="10" defaultColWidth="11.5" defaultRowHeight="15" x14ac:dyDescent="0.2"/>
  <cols>
    <col min="1" max="1" width="11.5" bestFit="1" customWidth="1"/>
    <col min="2" max="2" width="17.33203125" bestFit="1" customWidth="1"/>
    <col min="3" max="3" width="17.33203125" customWidth="1"/>
    <col min="4" max="4" width="17.5" bestFit="1" customWidth="1"/>
    <col min="5" max="5" width="21.6640625" bestFit="1" customWidth="1"/>
    <col min="6" max="7" width="21.6640625" customWidth="1"/>
    <col min="8" max="8" width="17.5" bestFit="1" customWidth="1"/>
    <col min="9" max="9" width="21.6640625" bestFit="1" customWidth="1"/>
    <col min="10" max="11" width="21.6640625" customWidth="1"/>
    <col min="12" max="12" width="17.5" bestFit="1" customWidth="1"/>
    <col min="13" max="13" width="21.6640625" bestFit="1" customWidth="1"/>
    <col min="14" max="15" width="21.6640625" customWidth="1"/>
    <col min="16" max="16" width="17.5" bestFit="1" customWidth="1"/>
    <col min="17" max="17" width="21.6640625" bestFit="1" customWidth="1"/>
    <col min="18" max="19" width="21.6640625" customWidth="1"/>
    <col min="20" max="20" width="17.5" bestFit="1" customWidth="1"/>
    <col min="21" max="21" width="21.6640625" bestFit="1" customWidth="1"/>
    <col min="22" max="23" width="21.6640625" customWidth="1"/>
    <col min="24" max="24" width="12.33203125" bestFit="1" customWidth="1"/>
    <col min="25" max="25" width="16.5" bestFit="1" customWidth="1"/>
  </cols>
  <sheetData>
    <row r="1" spans="1:25" x14ac:dyDescent="0.2">
      <c r="A1" t="s">
        <v>0</v>
      </c>
      <c r="B1" t="s">
        <v>1</v>
      </c>
      <c r="C1" t="s">
        <v>53</v>
      </c>
      <c r="D1" t="s">
        <v>33</v>
      </c>
      <c r="E1" t="s">
        <v>34</v>
      </c>
      <c r="F1" t="s">
        <v>59</v>
      </c>
      <c r="G1" t="s">
        <v>54</v>
      </c>
      <c r="H1" t="s">
        <v>35</v>
      </c>
      <c r="I1" t="s">
        <v>36</v>
      </c>
      <c r="J1" t="s">
        <v>59</v>
      </c>
      <c r="K1" t="s">
        <v>55</v>
      </c>
      <c r="L1" t="s">
        <v>37</v>
      </c>
      <c r="M1" t="s">
        <v>38</v>
      </c>
      <c r="N1" t="s">
        <v>59</v>
      </c>
      <c r="O1" t="s">
        <v>56</v>
      </c>
      <c r="P1" t="s">
        <v>39</v>
      </c>
      <c r="Q1" t="s">
        <v>40</v>
      </c>
      <c r="R1" t="s">
        <v>59</v>
      </c>
      <c r="S1" t="s">
        <v>57</v>
      </c>
      <c r="T1" t="s">
        <v>41</v>
      </c>
      <c r="U1" t="s">
        <v>42</v>
      </c>
      <c r="V1" t="s">
        <v>59</v>
      </c>
      <c r="W1" t="s">
        <v>58</v>
      </c>
      <c r="X1" t="s">
        <v>43</v>
      </c>
      <c r="Y1" t="s">
        <v>44</v>
      </c>
    </row>
    <row r="2" spans="1:25" x14ac:dyDescent="0.2">
      <c r="A2" t="s">
        <v>19</v>
      </c>
      <c r="B2" t="s">
        <v>20</v>
      </c>
      <c r="C2">
        <v>8546</v>
      </c>
      <c r="D2">
        <v>351</v>
      </c>
      <c r="E2">
        <v>0</v>
      </c>
      <c r="F2">
        <f>C2-D2-G2</f>
        <v>0</v>
      </c>
      <c r="G2">
        <v>8195</v>
      </c>
      <c r="H2">
        <v>257</v>
      </c>
      <c r="I2">
        <v>0</v>
      </c>
      <c r="J2">
        <f>G2-H2-K2</f>
        <v>0</v>
      </c>
      <c r="K2">
        <v>7938</v>
      </c>
      <c r="L2">
        <v>224</v>
      </c>
      <c r="M2">
        <v>179</v>
      </c>
      <c r="N2">
        <f>K2-L2-O2-M2</f>
        <v>1850</v>
      </c>
      <c r="O2">
        <v>5685</v>
      </c>
      <c r="P2">
        <v>152</v>
      </c>
      <c r="Q2">
        <v>173</v>
      </c>
      <c r="R2">
        <f>O2-P2-S2-Q2</f>
        <v>1851</v>
      </c>
      <c r="S2">
        <v>3509</v>
      </c>
      <c r="T2">
        <v>78</v>
      </c>
      <c r="U2">
        <v>149</v>
      </c>
      <c r="V2">
        <f>S2-T2-W2-U2</f>
        <v>1658</v>
      </c>
      <c r="W2">
        <v>1624</v>
      </c>
      <c r="X2">
        <v>26</v>
      </c>
      <c r="Y2">
        <v>157</v>
      </c>
    </row>
    <row r="3" spans="1:25" x14ac:dyDescent="0.2">
      <c r="A3" t="s">
        <v>19</v>
      </c>
      <c r="B3" t="s">
        <v>21</v>
      </c>
      <c r="C3">
        <v>15578</v>
      </c>
      <c r="D3">
        <v>530</v>
      </c>
      <c r="E3">
        <v>0</v>
      </c>
      <c r="F3">
        <f t="shared" ref="F3:F48" si="0">C3-D3-G3</f>
        <v>1</v>
      </c>
      <c r="G3">
        <v>15047</v>
      </c>
      <c r="H3">
        <v>452</v>
      </c>
      <c r="I3">
        <v>0</v>
      </c>
      <c r="J3">
        <f t="shared" ref="J3:J48" si="1">G3-H3-K3</f>
        <v>1</v>
      </c>
      <c r="K3">
        <v>14594</v>
      </c>
      <c r="L3">
        <v>411</v>
      </c>
      <c r="M3">
        <v>297</v>
      </c>
      <c r="N3">
        <f t="shared" ref="N3:N48" si="2">K3-L3-O3-M3</f>
        <v>3293</v>
      </c>
      <c r="O3">
        <v>10593</v>
      </c>
      <c r="P3">
        <v>263</v>
      </c>
      <c r="Q3">
        <v>357</v>
      </c>
      <c r="R3">
        <f t="shared" ref="R3:R48" si="3">O3-P3-S3-Q3</f>
        <v>3209</v>
      </c>
      <c r="S3">
        <v>6764</v>
      </c>
      <c r="T3">
        <v>188</v>
      </c>
      <c r="U3">
        <v>325</v>
      </c>
      <c r="V3">
        <f t="shared" ref="V3:V48" si="4">S3-T3-W3-U3</f>
        <v>3079</v>
      </c>
      <c r="W3">
        <v>3172</v>
      </c>
      <c r="X3">
        <v>60</v>
      </c>
      <c r="Y3">
        <v>295</v>
      </c>
    </row>
    <row r="4" spans="1:25" x14ac:dyDescent="0.2">
      <c r="A4" t="s">
        <v>19</v>
      </c>
      <c r="B4" t="s">
        <v>22</v>
      </c>
      <c r="C4">
        <v>20515</v>
      </c>
      <c r="D4">
        <v>1356</v>
      </c>
      <c r="E4">
        <v>0</v>
      </c>
      <c r="F4">
        <f t="shared" si="0"/>
        <v>2</v>
      </c>
      <c r="G4">
        <v>19157</v>
      </c>
      <c r="H4">
        <v>944</v>
      </c>
      <c r="I4">
        <v>0</v>
      </c>
      <c r="J4">
        <f t="shared" si="1"/>
        <v>3</v>
      </c>
      <c r="K4">
        <v>18210</v>
      </c>
      <c r="L4">
        <v>790</v>
      </c>
      <c r="M4">
        <v>534</v>
      </c>
      <c r="N4">
        <f t="shared" si="2"/>
        <v>3859</v>
      </c>
      <c r="O4">
        <v>13027</v>
      </c>
      <c r="P4">
        <v>527</v>
      </c>
      <c r="Q4">
        <v>527</v>
      </c>
      <c r="R4">
        <f t="shared" si="3"/>
        <v>3738</v>
      </c>
      <c r="S4">
        <v>8235</v>
      </c>
      <c r="T4">
        <v>278</v>
      </c>
      <c r="U4">
        <v>518</v>
      </c>
      <c r="V4">
        <f t="shared" si="4"/>
        <v>3583</v>
      </c>
      <c r="W4">
        <v>3856</v>
      </c>
      <c r="X4">
        <v>86</v>
      </c>
      <c r="Y4">
        <v>457</v>
      </c>
    </row>
    <row r="5" spans="1:25" x14ac:dyDescent="0.2">
      <c r="A5" t="s">
        <v>19</v>
      </c>
      <c r="B5" t="s">
        <v>23</v>
      </c>
      <c r="C5">
        <v>25148</v>
      </c>
      <c r="D5">
        <v>2503</v>
      </c>
      <c r="E5">
        <v>0</v>
      </c>
      <c r="F5">
        <f t="shared" si="0"/>
        <v>9</v>
      </c>
      <c r="G5">
        <v>22636</v>
      </c>
      <c r="H5">
        <v>2335</v>
      </c>
      <c r="I5">
        <v>0</v>
      </c>
      <c r="J5">
        <f t="shared" si="1"/>
        <v>9</v>
      </c>
      <c r="K5">
        <v>20292</v>
      </c>
      <c r="L5">
        <v>1624</v>
      </c>
      <c r="M5">
        <v>1006</v>
      </c>
      <c r="N5">
        <f t="shared" si="2"/>
        <v>3924</v>
      </c>
      <c r="O5">
        <v>13738</v>
      </c>
      <c r="P5">
        <v>910</v>
      </c>
      <c r="Q5">
        <v>689</v>
      </c>
      <c r="R5">
        <f t="shared" si="3"/>
        <v>3778</v>
      </c>
      <c r="S5">
        <v>8361</v>
      </c>
      <c r="T5">
        <v>409</v>
      </c>
      <c r="U5">
        <v>603</v>
      </c>
      <c r="V5">
        <f t="shared" si="4"/>
        <v>3591</v>
      </c>
      <c r="W5">
        <v>3758</v>
      </c>
      <c r="X5">
        <v>115</v>
      </c>
      <c r="Y5">
        <v>472</v>
      </c>
    </row>
    <row r="6" spans="1:25" x14ac:dyDescent="0.2">
      <c r="A6" t="s">
        <v>19</v>
      </c>
      <c r="B6" t="s">
        <v>24</v>
      </c>
      <c r="C6">
        <v>20473</v>
      </c>
      <c r="D6">
        <v>10725</v>
      </c>
      <c r="E6">
        <v>0</v>
      </c>
      <c r="F6">
        <f t="shared" si="0"/>
        <v>17</v>
      </c>
      <c r="G6">
        <v>9731</v>
      </c>
      <c r="H6">
        <v>3901</v>
      </c>
      <c r="I6">
        <v>0</v>
      </c>
      <c r="J6">
        <f t="shared" si="1"/>
        <v>9</v>
      </c>
      <c r="K6">
        <v>5821</v>
      </c>
      <c r="L6">
        <v>1833</v>
      </c>
      <c r="M6">
        <v>624</v>
      </c>
      <c r="N6">
        <f t="shared" si="2"/>
        <v>567</v>
      </c>
      <c r="O6">
        <v>2797</v>
      </c>
      <c r="P6">
        <v>626</v>
      </c>
      <c r="Q6">
        <v>333</v>
      </c>
      <c r="R6">
        <f t="shared" si="3"/>
        <v>495</v>
      </c>
      <c r="S6">
        <v>1343</v>
      </c>
      <c r="T6">
        <v>204</v>
      </c>
      <c r="U6">
        <v>184</v>
      </c>
      <c r="V6">
        <f t="shared" si="4"/>
        <v>415</v>
      </c>
      <c r="W6">
        <v>540</v>
      </c>
      <c r="X6">
        <v>42</v>
      </c>
      <c r="Y6">
        <v>129</v>
      </c>
    </row>
    <row r="7" spans="1:25" x14ac:dyDescent="0.2">
      <c r="A7" t="s">
        <v>19</v>
      </c>
      <c r="B7" t="s">
        <v>25</v>
      </c>
      <c r="C7">
        <v>6648</v>
      </c>
      <c r="D7">
        <v>2181</v>
      </c>
      <c r="E7">
        <v>0</v>
      </c>
      <c r="F7">
        <f t="shared" si="0"/>
        <v>3</v>
      </c>
      <c r="G7">
        <v>4464</v>
      </c>
      <c r="H7">
        <v>605</v>
      </c>
      <c r="I7">
        <v>0</v>
      </c>
      <c r="J7">
        <f t="shared" si="1"/>
        <v>0</v>
      </c>
      <c r="K7">
        <v>3859</v>
      </c>
      <c r="L7">
        <v>322</v>
      </c>
      <c r="M7">
        <v>145</v>
      </c>
      <c r="N7">
        <f t="shared" si="2"/>
        <v>706</v>
      </c>
      <c r="O7">
        <v>2686</v>
      </c>
      <c r="P7">
        <v>150</v>
      </c>
      <c r="Q7">
        <v>110</v>
      </c>
      <c r="R7">
        <f t="shared" si="3"/>
        <v>663</v>
      </c>
      <c r="S7">
        <v>1763</v>
      </c>
      <c r="T7">
        <v>68</v>
      </c>
      <c r="U7">
        <v>83</v>
      </c>
      <c r="V7">
        <f t="shared" si="4"/>
        <v>567</v>
      </c>
      <c r="W7">
        <v>1045</v>
      </c>
      <c r="X7">
        <v>27</v>
      </c>
      <c r="Y7">
        <v>133</v>
      </c>
    </row>
    <row r="8" spans="1:25" x14ac:dyDescent="0.2">
      <c r="A8" t="s">
        <v>26</v>
      </c>
      <c r="B8" t="s">
        <v>20</v>
      </c>
      <c r="C8">
        <v>1713</v>
      </c>
      <c r="D8">
        <v>57</v>
      </c>
      <c r="E8">
        <v>0</v>
      </c>
      <c r="F8">
        <f t="shared" si="0"/>
        <v>0</v>
      </c>
      <c r="G8">
        <v>1656</v>
      </c>
      <c r="H8">
        <v>72</v>
      </c>
      <c r="I8">
        <v>0</v>
      </c>
      <c r="J8">
        <f t="shared" si="1"/>
        <v>0</v>
      </c>
      <c r="K8">
        <v>1584</v>
      </c>
      <c r="L8">
        <v>60</v>
      </c>
      <c r="M8">
        <v>45</v>
      </c>
      <c r="N8">
        <f t="shared" si="2"/>
        <v>349</v>
      </c>
      <c r="O8">
        <v>1130</v>
      </c>
      <c r="P8">
        <v>36</v>
      </c>
      <c r="Q8">
        <v>45</v>
      </c>
      <c r="R8">
        <f t="shared" si="3"/>
        <v>333</v>
      </c>
      <c r="S8">
        <v>716</v>
      </c>
      <c r="T8">
        <v>32</v>
      </c>
      <c r="U8">
        <v>45</v>
      </c>
      <c r="V8">
        <f t="shared" si="4"/>
        <v>284</v>
      </c>
      <c r="W8">
        <v>355</v>
      </c>
      <c r="X8">
        <v>10</v>
      </c>
      <c r="Y8">
        <v>52</v>
      </c>
    </row>
    <row r="9" spans="1:25" x14ac:dyDescent="0.2">
      <c r="A9" t="s">
        <v>26</v>
      </c>
      <c r="B9" t="s">
        <v>21</v>
      </c>
      <c r="C9">
        <v>5126</v>
      </c>
      <c r="D9">
        <v>156</v>
      </c>
      <c r="E9">
        <v>0</v>
      </c>
      <c r="F9">
        <f t="shared" si="0"/>
        <v>1</v>
      </c>
      <c r="G9">
        <v>4969</v>
      </c>
      <c r="H9">
        <v>270</v>
      </c>
      <c r="I9">
        <v>0</v>
      </c>
      <c r="J9">
        <f t="shared" si="1"/>
        <v>0</v>
      </c>
      <c r="K9">
        <v>4699</v>
      </c>
      <c r="L9">
        <v>202</v>
      </c>
      <c r="M9">
        <v>149</v>
      </c>
      <c r="N9">
        <f t="shared" si="2"/>
        <v>1002</v>
      </c>
      <c r="O9">
        <v>3346</v>
      </c>
      <c r="P9">
        <v>127</v>
      </c>
      <c r="Q9">
        <v>141</v>
      </c>
      <c r="R9">
        <f t="shared" si="3"/>
        <v>949</v>
      </c>
      <c r="S9">
        <v>2129</v>
      </c>
      <c r="T9">
        <v>59</v>
      </c>
      <c r="U9">
        <v>147</v>
      </c>
      <c r="V9">
        <f t="shared" si="4"/>
        <v>936</v>
      </c>
      <c r="W9">
        <v>987</v>
      </c>
      <c r="X9">
        <v>25</v>
      </c>
      <c r="Y9">
        <v>155</v>
      </c>
    </row>
    <row r="10" spans="1:25" x14ac:dyDescent="0.2">
      <c r="A10" t="s">
        <v>26</v>
      </c>
      <c r="B10" t="s">
        <v>22</v>
      </c>
      <c r="C10">
        <v>3192</v>
      </c>
      <c r="D10">
        <v>260</v>
      </c>
      <c r="E10">
        <v>0</v>
      </c>
      <c r="F10">
        <f t="shared" si="0"/>
        <v>0</v>
      </c>
      <c r="G10">
        <v>2932</v>
      </c>
      <c r="H10">
        <v>285</v>
      </c>
      <c r="I10">
        <v>0</v>
      </c>
      <c r="J10">
        <f t="shared" si="1"/>
        <v>1</v>
      </c>
      <c r="K10">
        <v>2646</v>
      </c>
      <c r="L10">
        <v>181</v>
      </c>
      <c r="M10">
        <v>108</v>
      </c>
      <c r="N10">
        <f t="shared" si="2"/>
        <v>560</v>
      </c>
      <c r="O10">
        <v>1797</v>
      </c>
      <c r="P10">
        <v>101</v>
      </c>
      <c r="Q10">
        <v>112</v>
      </c>
      <c r="R10">
        <f t="shared" si="3"/>
        <v>523</v>
      </c>
      <c r="S10">
        <v>1061</v>
      </c>
      <c r="T10">
        <v>28</v>
      </c>
      <c r="U10">
        <v>87</v>
      </c>
      <c r="V10">
        <f t="shared" si="4"/>
        <v>464</v>
      </c>
      <c r="W10">
        <v>482</v>
      </c>
      <c r="X10">
        <v>14</v>
      </c>
      <c r="Y10">
        <v>76</v>
      </c>
    </row>
    <row r="11" spans="1:25" x14ac:dyDescent="0.2">
      <c r="A11" t="s">
        <v>26</v>
      </c>
      <c r="B11" t="s">
        <v>23</v>
      </c>
      <c r="C11">
        <v>3360</v>
      </c>
      <c r="D11">
        <v>443</v>
      </c>
      <c r="E11">
        <v>0</v>
      </c>
      <c r="F11">
        <f t="shared" si="0"/>
        <v>3</v>
      </c>
      <c r="G11">
        <v>2914</v>
      </c>
      <c r="H11">
        <v>366</v>
      </c>
      <c r="I11">
        <v>0</v>
      </c>
      <c r="J11">
        <f t="shared" si="1"/>
        <v>0</v>
      </c>
      <c r="K11">
        <v>2548</v>
      </c>
      <c r="L11">
        <v>187</v>
      </c>
      <c r="M11">
        <v>109</v>
      </c>
      <c r="N11">
        <f t="shared" si="2"/>
        <v>558</v>
      </c>
      <c r="O11">
        <v>1694</v>
      </c>
      <c r="P11">
        <v>102</v>
      </c>
      <c r="Q11">
        <v>77</v>
      </c>
      <c r="R11">
        <f t="shared" si="3"/>
        <v>476</v>
      </c>
      <c r="S11">
        <v>1039</v>
      </c>
      <c r="T11">
        <v>50</v>
      </c>
      <c r="U11">
        <v>103</v>
      </c>
      <c r="V11">
        <f t="shared" si="4"/>
        <v>441</v>
      </c>
      <c r="W11">
        <v>445</v>
      </c>
      <c r="X11">
        <v>13</v>
      </c>
      <c r="Y11">
        <v>67</v>
      </c>
    </row>
    <row r="12" spans="1:25" x14ac:dyDescent="0.2">
      <c r="A12" t="s">
        <v>26</v>
      </c>
      <c r="B12" t="s">
        <v>24</v>
      </c>
      <c r="C12">
        <v>13848</v>
      </c>
      <c r="D12">
        <v>3893</v>
      </c>
      <c r="E12">
        <v>0</v>
      </c>
      <c r="F12">
        <f t="shared" si="0"/>
        <v>13</v>
      </c>
      <c r="G12">
        <v>9942</v>
      </c>
      <c r="H12">
        <v>1834</v>
      </c>
      <c r="I12">
        <v>0</v>
      </c>
      <c r="J12">
        <f t="shared" si="1"/>
        <v>2</v>
      </c>
      <c r="K12">
        <v>8106</v>
      </c>
      <c r="L12">
        <v>784</v>
      </c>
      <c r="M12">
        <v>397</v>
      </c>
      <c r="N12">
        <f t="shared" si="2"/>
        <v>1684</v>
      </c>
      <c r="O12">
        <v>5241</v>
      </c>
      <c r="P12">
        <v>337</v>
      </c>
      <c r="Q12">
        <v>294</v>
      </c>
      <c r="R12">
        <f t="shared" si="3"/>
        <v>1535</v>
      </c>
      <c r="S12">
        <v>3075</v>
      </c>
      <c r="T12">
        <v>141</v>
      </c>
      <c r="U12">
        <v>255</v>
      </c>
      <c r="V12">
        <f t="shared" si="4"/>
        <v>1351</v>
      </c>
      <c r="W12">
        <v>1328</v>
      </c>
      <c r="X12">
        <v>35</v>
      </c>
      <c r="Y12">
        <v>194</v>
      </c>
    </row>
    <row r="13" spans="1:25" x14ac:dyDescent="0.2">
      <c r="A13" t="s">
        <v>26</v>
      </c>
      <c r="B13" t="s">
        <v>25</v>
      </c>
      <c r="C13">
        <v>3085</v>
      </c>
      <c r="D13">
        <v>819</v>
      </c>
      <c r="E13">
        <v>0</v>
      </c>
      <c r="F13">
        <f t="shared" si="0"/>
        <v>2</v>
      </c>
      <c r="G13">
        <v>2264</v>
      </c>
      <c r="H13">
        <v>234</v>
      </c>
      <c r="I13">
        <v>0</v>
      </c>
      <c r="J13">
        <f t="shared" si="1"/>
        <v>0</v>
      </c>
      <c r="K13">
        <v>2030</v>
      </c>
      <c r="L13">
        <v>143</v>
      </c>
      <c r="M13">
        <v>53</v>
      </c>
      <c r="N13">
        <f t="shared" si="2"/>
        <v>319</v>
      </c>
      <c r="O13">
        <v>1515</v>
      </c>
      <c r="P13">
        <v>75</v>
      </c>
      <c r="Q13">
        <v>53</v>
      </c>
      <c r="R13">
        <f t="shared" si="3"/>
        <v>316</v>
      </c>
      <c r="S13">
        <v>1071</v>
      </c>
      <c r="T13">
        <v>31</v>
      </c>
      <c r="U13">
        <v>56</v>
      </c>
      <c r="V13">
        <f t="shared" si="4"/>
        <v>362</v>
      </c>
      <c r="W13">
        <v>622</v>
      </c>
      <c r="X13">
        <v>20</v>
      </c>
      <c r="Y13">
        <v>88</v>
      </c>
    </row>
    <row r="14" spans="1:25" x14ac:dyDescent="0.2">
      <c r="A14" t="s">
        <v>27</v>
      </c>
      <c r="B14" t="s">
        <v>20</v>
      </c>
      <c r="C14">
        <v>11</v>
      </c>
      <c r="D14">
        <v>0</v>
      </c>
      <c r="E14">
        <v>0</v>
      </c>
      <c r="F14">
        <f t="shared" si="0"/>
        <v>0</v>
      </c>
      <c r="G14">
        <v>11</v>
      </c>
      <c r="H14">
        <v>0</v>
      </c>
      <c r="I14">
        <v>0</v>
      </c>
      <c r="J14">
        <f t="shared" si="1"/>
        <v>0</v>
      </c>
      <c r="K14">
        <v>11</v>
      </c>
      <c r="L14">
        <v>0</v>
      </c>
      <c r="M14">
        <v>1</v>
      </c>
      <c r="N14">
        <f t="shared" si="2"/>
        <v>3</v>
      </c>
      <c r="O14">
        <v>7</v>
      </c>
      <c r="P14">
        <v>0</v>
      </c>
      <c r="Q14">
        <v>0</v>
      </c>
      <c r="R14">
        <f t="shared" si="3"/>
        <v>1</v>
      </c>
      <c r="S14">
        <v>6</v>
      </c>
      <c r="T14">
        <v>0</v>
      </c>
      <c r="U14">
        <v>1</v>
      </c>
      <c r="V14">
        <f t="shared" si="4"/>
        <v>2</v>
      </c>
      <c r="W14">
        <v>3</v>
      </c>
      <c r="X14">
        <v>0</v>
      </c>
      <c r="Y14">
        <v>0</v>
      </c>
    </row>
    <row r="15" spans="1:25" x14ac:dyDescent="0.2">
      <c r="A15" t="s">
        <v>27</v>
      </c>
      <c r="B15" t="s">
        <v>21</v>
      </c>
      <c r="C15">
        <v>1060</v>
      </c>
      <c r="D15">
        <v>201</v>
      </c>
      <c r="E15">
        <v>0</v>
      </c>
      <c r="F15">
        <f t="shared" si="0"/>
        <v>0</v>
      </c>
      <c r="G15">
        <v>859</v>
      </c>
      <c r="H15">
        <v>161</v>
      </c>
      <c r="I15">
        <v>0</v>
      </c>
      <c r="J15">
        <f t="shared" si="1"/>
        <v>0</v>
      </c>
      <c r="K15">
        <v>698</v>
      </c>
      <c r="L15">
        <v>93</v>
      </c>
      <c r="M15">
        <v>67</v>
      </c>
      <c r="N15">
        <f t="shared" si="2"/>
        <v>154</v>
      </c>
      <c r="O15">
        <v>384</v>
      </c>
      <c r="P15">
        <v>35</v>
      </c>
      <c r="Q15">
        <v>33</v>
      </c>
      <c r="R15">
        <f t="shared" si="3"/>
        <v>99</v>
      </c>
      <c r="S15">
        <v>217</v>
      </c>
      <c r="T15">
        <v>25</v>
      </c>
      <c r="U15">
        <v>27</v>
      </c>
      <c r="V15">
        <f t="shared" si="4"/>
        <v>84</v>
      </c>
      <c r="W15">
        <v>81</v>
      </c>
      <c r="X15">
        <v>5</v>
      </c>
      <c r="Y15">
        <v>19</v>
      </c>
    </row>
    <row r="16" spans="1:25" x14ac:dyDescent="0.2">
      <c r="A16" t="s">
        <v>27</v>
      </c>
      <c r="B16" t="s">
        <v>22</v>
      </c>
      <c r="C16">
        <v>1230</v>
      </c>
      <c r="D16">
        <v>343</v>
      </c>
      <c r="E16">
        <v>0</v>
      </c>
      <c r="F16">
        <f t="shared" si="0"/>
        <v>0</v>
      </c>
      <c r="G16">
        <v>887</v>
      </c>
      <c r="H16">
        <v>224</v>
      </c>
      <c r="I16">
        <v>0</v>
      </c>
      <c r="J16">
        <f t="shared" si="1"/>
        <v>0</v>
      </c>
      <c r="K16">
        <v>663</v>
      </c>
      <c r="L16">
        <v>119</v>
      </c>
      <c r="M16">
        <v>74</v>
      </c>
      <c r="N16">
        <f t="shared" si="2"/>
        <v>108</v>
      </c>
      <c r="O16">
        <v>362</v>
      </c>
      <c r="P16">
        <v>54</v>
      </c>
      <c r="Q16">
        <v>46</v>
      </c>
      <c r="R16">
        <f t="shared" si="3"/>
        <v>87</v>
      </c>
      <c r="S16">
        <v>175</v>
      </c>
      <c r="T16">
        <v>13</v>
      </c>
      <c r="U16">
        <v>31</v>
      </c>
      <c r="V16">
        <f t="shared" si="4"/>
        <v>68</v>
      </c>
      <c r="W16">
        <v>63</v>
      </c>
      <c r="X16">
        <v>3</v>
      </c>
      <c r="Y16">
        <v>15</v>
      </c>
    </row>
    <row r="17" spans="1:25" x14ac:dyDescent="0.2">
      <c r="A17" t="s">
        <v>27</v>
      </c>
      <c r="B17" t="s">
        <v>23</v>
      </c>
      <c r="C17">
        <v>1010</v>
      </c>
      <c r="D17">
        <v>589</v>
      </c>
      <c r="E17">
        <v>0</v>
      </c>
      <c r="F17">
        <f t="shared" si="0"/>
        <v>0</v>
      </c>
      <c r="G17">
        <v>421</v>
      </c>
      <c r="H17">
        <v>174</v>
      </c>
      <c r="I17">
        <v>0</v>
      </c>
      <c r="J17">
        <f t="shared" si="1"/>
        <v>1</v>
      </c>
      <c r="K17">
        <v>246</v>
      </c>
      <c r="L17">
        <v>74</v>
      </c>
      <c r="M17">
        <v>36</v>
      </c>
      <c r="N17">
        <f t="shared" si="2"/>
        <v>25</v>
      </c>
      <c r="O17">
        <v>111</v>
      </c>
      <c r="P17">
        <v>18</v>
      </c>
      <c r="Q17">
        <v>17</v>
      </c>
      <c r="R17">
        <f t="shared" si="3"/>
        <v>23</v>
      </c>
      <c r="S17">
        <v>53</v>
      </c>
      <c r="T17">
        <v>10</v>
      </c>
      <c r="U17">
        <v>6</v>
      </c>
      <c r="V17">
        <f t="shared" si="4"/>
        <v>18</v>
      </c>
      <c r="W17">
        <v>19</v>
      </c>
      <c r="X17">
        <v>0</v>
      </c>
      <c r="Y17">
        <v>6</v>
      </c>
    </row>
    <row r="18" spans="1:25" x14ac:dyDescent="0.2">
      <c r="A18" t="s">
        <v>27</v>
      </c>
      <c r="B18" t="s">
        <v>24</v>
      </c>
      <c r="C18">
        <v>3801</v>
      </c>
      <c r="D18">
        <v>2983</v>
      </c>
      <c r="E18">
        <v>0</v>
      </c>
      <c r="F18">
        <f t="shared" si="0"/>
        <v>1</v>
      </c>
      <c r="G18">
        <v>817</v>
      </c>
      <c r="H18">
        <v>492</v>
      </c>
      <c r="I18">
        <v>0</v>
      </c>
      <c r="J18">
        <f t="shared" si="1"/>
        <v>0</v>
      </c>
      <c r="K18">
        <v>325</v>
      </c>
      <c r="L18">
        <v>130</v>
      </c>
      <c r="M18">
        <v>32</v>
      </c>
      <c r="N18">
        <f t="shared" si="2"/>
        <v>23</v>
      </c>
      <c r="O18">
        <v>140</v>
      </c>
      <c r="P18">
        <v>39</v>
      </c>
      <c r="Q18">
        <v>21</v>
      </c>
      <c r="R18">
        <f t="shared" si="3"/>
        <v>23</v>
      </c>
      <c r="S18">
        <v>57</v>
      </c>
      <c r="T18">
        <v>12</v>
      </c>
      <c r="U18">
        <v>14</v>
      </c>
      <c r="V18">
        <f t="shared" si="4"/>
        <v>12</v>
      </c>
      <c r="W18">
        <v>19</v>
      </c>
      <c r="X18">
        <v>1</v>
      </c>
      <c r="Y18">
        <v>4</v>
      </c>
    </row>
    <row r="19" spans="1:25" x14ac:dyDescent="0.2">
      <c r="A19" t="s">
        <v>27</v>
      </c>
      <c r="B19" t="s">
        <v>25</v>
      </c>
      <c r="C19">
        <v>6232</v>
      </c>
      <c r="D19">
        <v>3642</v>
      </c>
      <c r="E19">
        <v>0</v>
      </c>
      <c r="F19">
        <f t="shared" si="0"/>
        <v>0</v>
      </c>
      <c r="G19">
        <v>2590</v>
      </c>
      <c r="H19">
        <v>896</v>
      </c>
      <c r="I19">
        <v>0</v>
      </c>
      <c r="J19">
        <f t="shared" si="1"/>
        <v>3</v>
      </c>
      <c r="K19">
        <v>1691</v>
      </c>
      <c r="L19">
        <v>434</v>
      </c>
      <c r="M19">
        <v>151</v>
      </c>
      <c r="N19">
        <f t="shared" si="2"/>
        <v>143</v>
      </c>
      <c r="O19">
        <v>963</v>
      </c>
      <c r="P19">
        <v>188</v>
      </c>
      <c r="Q19">
        <v>98</v>
      </c>
      <c r="R19">
        <f t="shared" si="3"/>
        <v>151</v>
      </c>
      <c r="S19">
        <v>526</v>
      </c>
      <c r="T19">
        <v>62</v>
      </c>
      <c r="U19">
        <v>68</v>
      </c>
      <c r="V19">
        <f t="shared" si="4"/>
        <v>137</v>
      </c>
      <c r="W19">
        <v>259</v>
      </c>
      <c r="X19">
        <v>18</v>
      </c>
      <c r="Y19">
        <v>67</v>
      </c>
    </row>
    <row r="20" spans="1:25" x14ac:dyDescent="0.2">
      <c r="A20" t="s">
        <v>28</v>
      </c>
      <c r="B20" t="s">
        <v>20</v>
      </c>
      <c r="C20">
        <v>241</v>
      </c>
      <c r="D20">
        <v>23</v>
      </c>
      <c r="E20">
        <v>0</v>
      </c>
      <c r="F20">
        <f t="shared" si="0"/>
        <v>0</v>
      </c>
      <c r="G20">
        <v>218</v>
      </c>
      <c r="H20">
        <v>18</v>
      </c>
      <c r="I20">
        <v>0</v>
      </c>
      <c r="J20">
        <f t="shared" si="1"/>
        <v>0</v>
      </c>
      <c r="K20">
        <v>200</v>
      </c>
      <c r="L20">
        <v>14</v>
      </c>
      <c r="M20">
        <v>8</v>
      </c>
      <c r="N20">
        <f t="shared" si="2"/>
        <v>58</v>
      </c>
      <c r="O20">
        <v>120</v>
      </c>
      <c r="P20">
        <v>13</v>
      </c>
      <c r="Q20">
        <v>6</v>
      </c>
      <c r="R20">
        <f t="shared" si="3"/>
        <v>30</v>
      </c>
      <c r="S20">
        <v>71</v>
      </c>
      <c r="T20">
        <v>4</v>
      </c>
      <c r="U20">
        <v>3</v>
      </c>
      <c r="V20">
        <f t="shared" si="4"/>
        <v>33</v>
      </c>
      <c r="W20">
        <v>31</v>
      </c>
      <c r="X20">
        <v>2</v>
      </c>
      <c r="Y20">
        <v>6</v>
      </c>
    </row>
    <row r="21" spans="1:25" x14ac:dyDescent="0.2">
      <c r="A21" t="s">
        <v>28</v>
      </c>
      <c r="B21" t="s">
        <v>21</v>
      </c>
      <c r="C21">
        <v>18875</v>
      </c>
      <c r="D21">
        <v>2377</v>
      </c>
      <c r="E21">
        <v>0</v>
      </c>
      <c r="F21">
        <f t="shared" si="0"/>
        <v>4</v>
      </c>
      <c r="G21">
        <v>16494</v>
      </c>
      <c r="H21">
        <v>2307</v>
      </c>
      <c r="I21">
        <v>0</v>
      </c>
      <c r="J21">
        <f t="shared" si="1"/>
        <v>8</v>
      </c>
      <c r="K21">
        <v>14179</v>
      </c>
      <c r="L21">
        <v>1537</v>
      </c>
      <c r="M21">
        <v>937</v>
      </c>
      <c r="N21">
        <f t="shared" si="2"/>
        <v>2827</v>
      </c>
      <c r="O21">
        <v>8878</v>
      </c>
      <c r="P21">
        <v>762</v>
      </c>
      <c r="Q21">
        <v>754</v>
      </c>
      <c r="R21">
        <f t="shared" si="3"/>
        <v>2368</v>
      </c>
      <c r="S21">
        <v>4994</v>
      </c>
      <c r="T21">
        <v>349</v>
      </c>
      <c r="U21">
        <v>557</v>
      </c>
      <c r="V21">
        <f t="shared" si="4"/>
        <v>1920</v>
      </c>
      <c r="W21">
        <v>2168</v>
      </c>
      <c r="X21">
        <v>120</v>
      </c>
      <c r="Y21">
        <v>490</v>
      </c>
    </row>
    <row r="22" spans="1:25" x14ac:dyDescent="0.2">
      <c r="A22" t="s">
        <v>28</v>
      </c>
      <c r="B22" t="s">
        <v>22</v>
      </c>
      <c r="C22">
        <v>8176</v>
      </c>
      <c r="D22">
        <v>2170</v>
      </c>
      <c r="E22">
        <v>0</v>
      </c>
      <c r="F22">
        <f t="shared" si="0"/>
        <v>4</v>
      </c>
      <c r="G22">
        <v>6002</v>
      </c>
      <c r="H22">
        <v>1475</v>
      </c>
      <c r="I22">
        <v>0</v>
      </c>
      <c r="J22">
        <f t="shared" si="1"/>
        <v>5</v>
      </c>
      <c r="K22">
        <v>4522</v>
      </c>
      <c r="L22">
        <v>713</v>
      </c>
      <c r="M22">
        <v>357</v>
      </c>
      <c r="N22">
        <f t="shared" si="2"/>
        <v>699</v>
      </c>
      <c r="O22">
        <v>2753</v>
      </c>
      <c r="P22">
        <v>354</v>
      </c>
      <c r="Q22">
        <v>273</v>
      </c>
      <c r="R22">
        <f t="shared" si="3"/>
        <v>618</v>
      </c>
      <c r="S22">
        <v>1508</v>
      </c>
      <c r="T22">
        <v>146</v>
      </c>
      <c r="U22">
        <v>211</v>
      </c>
      <c r="V22">
        <f t="shared" si="4"/>
        <v>528</v>
      </c>
      <c r="W22">
        <v>623</v>
      </c>
      <c r="X22">
        <v>39</v>
      </c>
      <c r="Y22">
        <v>151</v>
      </c>
    </row>
    <row r="23" spans="1:25" x14ac:dyDescent="0.2">
      <c r="A23" t="s">
        <v>28</v>
      </c>
      <c r="B23" t="s">
        <v>23</v>
      </c>
      <c r="C23">
        <v>21649</v>
      </c>
      <c r="D23">
        <v>10704</v>
      </c>
      <c r="E23">
        <v>0</v>
      </c>
      <c r="F23">
        <f t="shared" si="0"/>
        <v>22</v>
      </c>
      <c r="G23">
        <v>10923</v>
      </c>
      <c r="H23">
        <v>4659</v>
      </c>
      <c r="I23">
        <v>0</v>
      </c>
      <c r="J23">
        <f t="shared" si="1"/>
        <v>6</v>
      </c>
      <c r="K23">
        <v>6258</v>
      </c>
      <c r="L23">
        <v>1621</v>
      </c>
      <c r="M23">
        <v>649</v>
      </c>
      <c r="N23">
        <f t="shared" si="2"/>
        <v>803</v>
      </c>
      <c r="O23">
        <v>3185</v>
      </c>
      <c r="P23">
        <v>584</v>
      </c>
      <c r="Q23">
        <v>412</v>
      </c>
      <c r="R23">
        <f t="shared" si="3"/>
        <v>630</v>
      </c>
      <c r="S23">
        <v>1559</v>
      </c>
      <c r="T23">
        <v>206</v>
      </c>
      <c r="U23">
        <v>252</v>
      </c>
      <c r="V23">
        <f t="shared" si="4"/>
        <v>495</v>
      </c>
      <c r="W23">
        <v>606</v>
      </c>
      <c r="X23">
        <v>44</v>
      </c>
      <c r="Y23">
        <v>156</v>
      </c>
    </row>
    <row r="24" spans="1:25" x14ac:dyDescent="0.2">
      <c r="A24" t="s">
        <v>28</v>
      </c>
      <c r="B24" t="s">
        <v>24</v>
      </c>
      <c r="C24">
        <v>52465</v>
      </c>
      <c r="D24">
        <v>41977</v>
      </c>
      <c r="E24">
        <v>0</v>
      </c>
      <c r="F24">
        <f t="shared" si="0"/>
        <v>25</v>
      </c>
      <c r="G24">
        <v>10463</v>
      </c>
      <c r="H24">
        <v>5903</v>
      </c>
      <c r="I24">
        <v>0</v>
      </c>
      <c r="J24">
        <f t="shared" si="1"/>
        <v>7</v>
      </c>
      <c r="K24">
        <v>4553</v>
      </c>
      <c r="L24">
        <v>1537</v>
      </c>
      <c r="M24">
        <v>577</v>
      </c>
      <c r="N24">
        <f t="shared" si="2"/>
        <v>506</v>
      </c>
      <c r="O24">
        <v>1933</v>
      </c>
      <c r="P24">
        <v>477</v>
      </c>
      <c r="Q24">
        <v>287</v>
      </c>
      <c r="R24">
        <f t="shared" si="3"/>
        <v>359</v>
      </c>
      <c r="S24">
        <v>810</v>
      </c>
      <c r="T24">
        <v>116</v>
      </c>
      <c r="U24">
        <v>140</v>
      </c>
      <c r="V24">
        <f t="shared" si="4"/>
        <v>213</v>
      </c>
      <c r="W24">
        <v>341</v>
      </c>
      <c r="X24">
        <v>28</v>
      </c>
      <c r="Y24">
        <v>92</v>
      </c>
    </row>
    <row r="25" spans="1:25" x14ac:dyDescent="0.2">
      <c r="A25" t="s">
        <v>28</v>
      </c>
      <c r="B25" t="s">
        <v>25</v>
      </c>
      <c r="C25">
        <v>5714</v>
      </c>
      <c r="D25">
        <v>3894</v>
      </c>
      <c r="E25">
        <v>0</v>
      </c>
      <c r="F25">
        <f t="shared" si="0"/>
        <v>1</v>
      </c>
      <c r="G25">
        <v>1819</v>
      </c>
      <c r="H25">
        <v>543</v>
      </c>
      <c r="I25">
        <v>0</v>
      </c>
      <c r="J25">
        <f t="shared" si="1"/>
        <v>0</v>
      </c>
      <c r="K25">
        <v>1276</v>
      </c>
      <c r="L25">
        <v>207</v>
      </c>
      <c r="M25">
        <v>95</v>
      </c>
      <c r="N25">
        <f t="shared" si="2"/>
        <v>154</v>
      </c>
      <c r="O25">
        <v>820</v>
      </c>
      <c r="P25">
        <v>96</v>
      </c>
      <c r="Q25">
        <v>61</v>
      </c>
      <c r="R25">
        <f t="shared" si="3"/>
        <v>149</v>
      </c>
      <c r="S25">
        <v>514</v>
      </c>
      <c r="T25">
        <v>57</v>
      </c>
      <c r="U25">
        <v>53</v>
      </c>
      <c r="V25">
        <f t="shared" si="4"/>
        <v>150</v>
      </c>
      <c r="W25">
        <v>254</v>
      </c>
      <c r="X25">
        <v>9</v>
      </c>
      <c r="Y25">
        <v>54</v>
      </c>
    </row>
    <row r="26" spans="1:25" x14ac:dyDescent="0.2">
      <c r="A26" t="s">
        <v>29</v>
      </c>
      <c r="B26" t="s">
        <v>21</v>
      </c>
      <c r="C26">
        <v>5534</v>
      </c>
      <c r="D26">
        <v>486</v>
      </c>
      <c r="E26">
        <v>0</v>
      </c>
      <c r="F26">
        <f t="shared" si="0"/>
        <v>1</v>
      </c>
      <c r="G26">
        <v>5047</v>
      </c>
      <c r="H26">
        <v>258</v>
      </c>
      <c r="I26">
        <v>0</v>
      </c>
      <c r="J26">
        <f t="shared" si="1"/>
        <v>0</v>
      </c>
      <c r="K26">
        <v>4789</v>
      </c>
      <c r="L26">
        <v>137</v>
      </c>
      <c r="M26">
        <v>134</v>
      </c>
      <c r="N26">
        <f t="shared" si="2"/>
        <v>1096</v>
      </c>
      <c r="O26">
        <v>3422</v>
      </c>
      <c r="P26">
        <v>104</v>
      </c>
      <c r="Q26">
        <v>108</v>
      </c>
      <c r="R26">
        <f t="shared" si="3"/>
        <v>980</v>
      </c>
      <c r="S26">
        <v>2230</v>
      </c>
      <c r="T26">
        <v>66</v>
      </c>
      <c r="U26">
        <v>144</v>
      </c>
      <c r="V26">
        <f t="shared" si="4"/>
        <v>988</v>
      </c>
      <c r="W26">
        <v>1032</v>
      </c>
      <c r="X26">
        <v>31</v>
      </c>
      <c r="Y26">
        <v>118</v>
      </c>
    </row>
    <row r="27" spans="1:25" x14ac:dyDescent="0.2">
      <c r="A27" t="s">
        <v>29</v>
      </c>
      <c r="B27" t="s">
        <v>22</v>
      </c>
      <c r="C27">
        <v>4107</v>
      </c>
      <c r="D27">
        <v>483</v>
      </c>
      <c r="E27">
        <v>0</v>
      </c>
      <c r="F27">
        <f t="shared" si="0"/>
        <v>1</v>
      </c>
      <c r="G27">
        <v>3623</v>
      </c>
      <c r="H27">
        <v>215</v>
      </c>
      <c r="I27">
        <v>0</v>
      </c>
      <c r="J27">
        <f t="shared" si="1"/>
        <v>1</v>
      </c>
      <c r="K27">
        <v>3407</v>
      </c>
      <c r="L27">
        <v>108</v>
      </c>
      <c r="M27">
        <v>84</v>
      </c>
      <c r="N27">
        <f t="shared" si="2"/>
        <v>696</v>
      </c>
      <c r="O27">
        <v>2519</v>
      </c>
      <c r="P27">
        <v>86</v>
      </c>
      <c r="Q27">
        <v>97</v>
      </c>
      <c r="R27">
        <f t="shared" si="3"/>
        <v>760</v>
      </c>
      <c r="S27">
        <v>1576</v>
      </c>
      <c r="T27">
        <v>48</v>
      </c>
      <c r="U27">
        <v>80</v>
      </c>
      <c r="V27">
        <f t="shared" si="4"/>
        <v>726</v>
      </c>
      <c r="W27">
        <v>722</v>
      </c>
      <c r="X27">
        <v>12</v>
      </c>
      <c r="Y27">
        <v>94</v>
      </c>
    </row>
    <row r="28" spans="1:25" x14ac:dyDescent="0.2">
      <c r="A28" t="s">
        <v>29</v>
      </c>
      <c r="B28" t="s">
        <v>23</v>
      </c>
      <c r="C28">
        <v>5908</v>
      </c>
      <c r="D28">
        <v>947</v>
      </c>
      <c r="E28">
        <v>0</v>
      </c>
      <c r="F28">
        <f t="shared" si="0"/>
        <v>3</v>
      </c>
      <c r="G28">
        <v>4958</v>
      </c>
      <c r="H28">
        <v>440</v>
      </c>
      <c r="I28">
        <v>0</v>
      </c>
      <c r="J28">
        <f t="shared" si="1"/>
        <v>2</v>
      </c>
      <c r="K28">
        <v>4516</v>
      </c>
      <c r="L28">
        <v>224</v>
      </c>
      <c r="M28">
        <v>160</v>
      </c>
      <c r="N28">
        <f t="shared" si="2"/>
        <v>1012</v>
      </c>
      <c r="O28">
        <v>3120</v>
      </c>
      <c r="P28">
        <v>113</v>
      </c>
      <c r="Q28">
        <v>160</v>
      </c>
      <c r="R28">
        <f t="shared" si="3"/>
        <v>957</v>
      </c>
      <c r="S28">
        <v>1890</v>
      </c>
      <c r="T28">
        <v>72</v>
      </c>
      <c r="U28">
        <v>138</v>
      </c>
      <c r="V28">
        <f t="shared" si="4"/>
        <v>838</v>
      </c>
      <c r="W28">
        <v>842</v>
      </c>
      <c r="X28">
        <v>26</v>
      </c>
      <c r="Y28">
        <v>118</v>
      </c>
    </row>
    <row r="29" spans="1:25" x14ac:dyDescent="0.2">
      <c r="A29" t="s">
        <v>29</v>
      </c>
      <c r="B29" t="s">
        <v>24</v>
      </c>
      <c r="C29">
        <v>13966</v>
      </c>
      <c r="D29">
        <v>3189</v>
      </c>
      <c r="E29">
        <v>0</v>
      </c>
      <c r="F29">
        <f t="shared" si="0"/>
        <v>6</v>
      </c>
      <c r="G29">
        <v>10771</v>
      </c>
      <c r="H29">
        <v>1021</v>
      </c>
      <c r="I29">
        <v>0</v>
      </c>
      <c r="J29">
        <f t="shared" si="1"/>
        <v>3</v>
      </c>
      <c r="K29">
        <v>9747</v>
      </c>
      <c r="L29">
        <v>536</v>
      </c>
      <c r="M29">
        <v>402</v>
      </c>
      <c r="N29">
        <f t="shared" si="2"/>
        <v>2130</v>
      </c>
      <c r="O29">
        <v>6679</v>
      </c>
      <c r="P29">
        <v>287</v>
      </c>
      <c r="Q29">
        <v>351</v>
      </c>
      <c r="R29">
        <f t="shared" si="3"/>
        <v>1959</v>
      </c>
      <c r="S29">
        <v>4082</v>
      </c>
      <c r="T29">
        <v>166</v>
      </c>
      <c r="U29">
        <v>294</v>
      </c>
      <c r="V29">
        <f t="shared" si="4"/>
        <v>1834</v>
      </c>
      <c r="W29">
        <v>1788</v>
      </c>
      <c r="X29">
        <v>50</v>
      </c>
      <c r="Y29">
        <v>256</v>
      </c>
    </row>
    <row r="30" spans="1:25" x14ac:dyDescent="0.2">
      <c r="A30" t="s">
        <v>29</v>
      </c>
      <c r="B30" t="s">
        <v>25</v>
      </c>
      <c r="C30">
        <v>5878</v>
      </c>
      <c r="D30">
        <v>1351</v>
      </c>
      <c r="E30">
        <v>0</v>
      </c>
      <c r="F30">
        <f t="shared" si="0"/>
        <v>3</v>
      </c>
      <c r="G30">
        <v>4524</v>
      </c>
      <c r="H30">
        <v>364</v>
      </c>
      <c r="I30">
        <v>0</v>
      </c>
      <c r="J30">
        <f t="shared" si="1"/>
        <v>1</v>
      </c>
      <c r="K30">
        <v>4159</v>
      </c>
      <c r="L30">
        <v>198</v>
      </c>
      <c r="M30">
        <v>121</v>
      </c>
      <c r="N30">
        <f t="shared" si="2"/>
        <v>723</v>
      </c>
      <c r="O30">
        <v>3117</v>
      </c>
      <c r="P30">
        <v>129</v>
      </c>
      <c r="Q30">
        <v>137</v>
      </c>
      <c r="R30">
        <f t="shared" si="3"/>
        <v>746</v>
      </c>
      <c r="S30">
        <v>2105</v>
      </c>
      <c r="T30">
        <v>75</v>
      </c>
      <c r="U30">
        <v>162</v>
      </c>
      <c r="V30">
        <f t="shared" si="4"/>
        <v>751</v>
      </c>
      <c r="W30">
        <v>1117</v>
      </c>
      <c r="X30">
        <v>30</v>
      </c>
      <c r="Y30">
        <v>162</v>
      </c>
    </row>
    <row r="31" spans="1:25" x14ac:dyDescent="0.2">
      <c r="A31" t="s">
        <v>30</v>
      </c>
      <c r="B31" t="s">
        <v>20</v>
      </c>
      <c r="C31">
        <v>1250</v>
      </c>
      <c r="D31">
        <v>85</v>
      </c>
      <c r="E31">
        <v>0</v>
      </c>
      <c r="F31">
        <f t="shared" si="0"/>
        <v>0</v>
      </c>
      <c r="G31">
        <v>1165</v>
      </c>
      <c r="H31">
        <v>74</v>
      </c>
      <c r="I31">
        <v>0</v>
      </c>
      <c r="J31">
        <f t="shared" si="1"/>
        <v>1</v>
      </c>
      <c r="K31">
        <v>1090</v>
      </c>
      <c r="L31">
        <v>48</v>
      </c>
      <c r="M31">
        <v>46</v>
      </c>
      <c r="N31">
        <f t="shared" si="2"/>
        <v>237</v>
      </c>
      <c r="O31">
        <v>759</v>
      </c>
      <c r="P31">
        <v>28</v>
      </c>
      <c r="Q31">
        <v>34</v>
      </c>
      <c r="R31">
        <f t="shared" si="3"/>
        <v>222</v>
      </c>
      <c r="S31">
        <v>475</v>
      </c>
      <c r="T31">
        <v>14</v>
      </c>
      <c r="U31">
        <v>37</v>
      </c>
      <c r="V31">
        <f t="shared" si="4"/>
        <v>201</v>
      </c>
      <c r="W31">
        <v>223</v>
      </c>
      <c r="X31">
        <v>7</v>
      </c>
      <c r="Y31">
        <v>35</v>
      </c>
    </row>
    <row r="32" spans="1:25" x14ac:dyDescent="0.2">
      <c r="A32" t="s">
        <v>30</v>
      </c>
      <c r="B32" t="s">
        <v>21</v>
      </c>
      <c r="C32">
        <v>2118</v>
      </c>
      <c r="D32">
        <v>317</v>
      </c>
      <c r="E32">
        <v>0</v>
      </c>
      <c r="F32">
        <f t="shared" si="0"/>
        <v>1</v>
      </c>
      <c r="G32">
        <v>1800</v>
      </c>
      <c r="H32">
        <v>277</v>
      </c>
      <c r="I32">
        <v>0</v>
      </c>
      <c r="J32">
        <f t="shared" si="1"/>
        <v>0</v>
      </c>
      <c r="K32">
        <v>1523</v>
      </c>
      <c r="L32">
        <v>170</v>
      </c>
      <c r="M32">
        <v>86</v>
      </c>
      <c r="N32">
        <f t="shared" si="2"/>
        <v>299</v>
      </c>
      <c r="O32">
        <v>968</v>
      </c>
      <c r="P32">
        <v>73</v>
      </c>
      <c r="Q32">
        <v>67</v>
      </c>
      <c r="R32">
        <f t="shared" si="3"/>
        <v>236</v>
      </c>
      <c r="S32">
        <v>592</v>
      </c>
      <c r="T32">
        <v>39</v>
      </c>
      <c r="U32">
        <v>48</v>
      </c>
      <c r="V32">
        <f t="shared" si="4"/>
        <v>238</v>
      </c>
      <c r="W32">
        <v>267</v>
      </c>
      <c r="X32">
        <v>11</v>
      </c>
      <c r="Y32">
        <v>44</v>
      </c>
    </row>
    <row r="33" spans="1:25" x14ac:dyDescent="0.2">
      <c r="A33" t="s">
        <v>30</v>
      </c>
      <c r="B33" t="s">
        <v>22</v>
      </c>
      <c r="C33">
        <v>2789</v>
      </c>
      <c r="D33">
        <v>749</v>
      </c>
      <c r="E33">
        <v>0</v>
      </c>
      <c r="F33">
        <f t="shared" si="0"/>
        <v>2</v>
      </c>
      <c r="G33">
        <v>2038</v>
      </c>
      <c r="H33">
        <v>602</v>
      </c>
      <c r="I33">
        <v>0</v>
      </c>
      <c r="J33">
        <f t="shared" si="1"/>
        <v>1</v>
      </c>
      <c r="K33">
        <v>1435</v>
      </c>
      <c r="L33">
        <v>266</v>
      </c>
      <c r="M33">
        <v>101</v>
      </c>
      <c r="N33">
        <f t="shared" si="2"/>
        <v>225</v>
      </c>
      <c r="O33">
        <v>843</v>
      </c>
      <c r="P33">
        <v>104</v>
      </c>
      <c r="Q33">
        <v>62</v>
      </c>
      <c r="R33">
        <f t="shared" si="3"/>
        <v>184</v>
      </c>
      <c r="S33">
        <v>493</v>
      </c>
      <c r="T33">
        <v>36</v>
      </c>
      <c r="U33">
        <v>40</v>
      </c>
      <c r="V33">
        <f t="shared" si="4"/>
        <v>199</v>
      </c>
      <c r="W33">
        <v>218</v>
      </c>
      <c r="X33">
        <v>9</v>
      </c>
      <c r="Y33">
        <v>34</v>
      </c>
    </row>
    <row r="34" spans="1:25" x14ac:dyDescent="0.2">
      <c r="A34" t="s">
        <v>30</v>
      </c>
      <c r="B34" t="s">
        <v>23</v>
      </c>
      <c r="C34">
        <v>6878</v>
      </c>
      <c r="D34">
        <v>2842</v>
      </c>
      <c r="E34">
        <v>0</v>
      </c>
      <c r="F34">
        <f t="shared" si="0"/>
        <v>7</v>
      </c>
      <c r="G34">
        <v>4029</v>
      </c>
      <c r="H34">
        <v>1694</v>
      </c>
      <c r="I34">
        <v>0</v>
      </c>
      <c r="J34">
        <f t="shared" si="1"/>
        <v>2</v>
      </c>
      <c r="K34">
        <v>2333</v>
      </c>
      <c r="L34">
        <v>559</v>
      </c>
      <c r="M34">
        <v>184</v>
      </c>
      <c r="N34">
        <f t="shared" si="2"/>
        <v>310</v>
      </c>
      <c r="O34">
        <v>1280</v>
      </c>
      <c r="P34">
        <v>198</v>
      </c>
      <c r="Q34">
        <v>107</v>
      </c>
      <c r="R34">
        <f t="shared" si="3"/>
        <v>291</v>
      </c>
      <c r="S34">
        <v>684</v>
      </c>
      <c r="T34">
        <v>65</v>
      </c>
      <c r="U34">
        <v>66</v>
      </c>
      <c r="V34">
        <f t="shared" si="4"/>
        <v>260</v>
      </c>
      <c r="W34">
        <v>293</v>
      </c>
      <c r="X34">
        <v>12</v>
      </c>
      <c r="Y34">
        <v>59</v>
      </c>
    </row>
    <row r="35" spans="1:25" x14ac:dyDescent="0.2">
      <c r="A35" t="s">
        <v>30</v>
      </c>
      <c r="B35" t="s">
        <v>24</v>
      </c>
      <c r="C35">
        <v>7068</v>
      </c>
      <c r="D35">
        <v>5430</v>
      </c>
      <c r="E35">
        <v>0</v>
      </c>
      <c r="F35">
        <f t="shared" si="0"/>
        <v>5</v>
      </c>
      <c r="G35">
        <v>1633</v>
      </c>
      <c r="H35">
        <v>1109</v>
      </c>
      <c r="I35">
        <v>0</v>
      </c>
      <c r="J35">
        <f t="shared" si="1"/>
        <v>0</v>
      </c>
      <c r="K35">
        <v>524</v>
      </c>
      <c r="L35">
        <v>237</v>
      </c>
      <c r="M35">
        <v>59</v>
      </c>
      <c r="N35">
        <f t="shared" si="2"/>
        <v>32</v>
      </c>
      <c r="O35">
        <v>196</v>
      </c>
      <c r="P35">
        <v>49</v>
      </c>
      <c r="Q35">
        <v>24</v>
      </c>
      <c r="R35">
        <f t="shared" si="3"/>
        <v>31</v>
      </c>
      <c r="S35">
        <v>92</v>
      </c>
      <c r="T35">
        <v>8</v>
      </c>
      <c r="U35">
        <v>15</v>
      </c>
      <c r="V35">
        <f t="shared" si="4"/>
        <v>31</v>
      </c>
      <c r="W35">
        <v>38</v>
      </c>
      <c r="X35">
        <v>4</v>
      </c>
      <c r="Y35">
        <v>7</v>
      </c>
    </row>
    <row r="36" spans="1:25" x14ac:dyDescent="0.2">
      <c r="A36" t="s">
        <v>30</v>
      </c>
      <c r="B36" t="s">
        <v>25</v>
      </c>
      <c r="C36">
        <v>2171</v>
      </c>
      <c r="D36">
        <v>1230</v>
      </c>
      <c r="E36">
        <v>0</v>
      </c>
      <c r="F36">
        <f t="shared" si="0"/>
        <v>4</v>
      </c>
      <c r="G36">
        <v>937</v>
      </c>
      <c r="H36">
        <v>316</v>
      </c>
      <c r="I36">
        <v>0</v>
      </c>
      <c r="J36">
        <f t="shared" si="1"/>
        <v>0</v>
      </c>
      <c r="K36">
        <v>621</v>
      </c>
      <c r="L36">
        <v>108</v>
      </c>
      <c r="M36">
        <v>31</v>
      </c>
      <c r="N36">
        <f t="shared" si="2"/>
        <v>87</v>
      </c>
      <c r="O36">
        <v>395</v>
      </c>
      <c r="P36">
        <v>49</v>
      </c>
      <c r="Q36">
        <v>23</v>
      </c>
      <c r="R36">
        <f t="shared" si="3"/>
        <v>95</v>
      </c>
      <c r="S36">
        <v>228</v>
      </c>
      <c r="T36">
        <v>16</v>
      </c>
      <c r="U36">
        <v>26</v>
      </c>
      <c r="V36">
        <f t="shared" si="4"/>
        <v>82</v>
      </c>
      <c r="W36">
        <v>104</v>
      </c>
      <c r="X36">
        <v>5</v>
      </c>
      <c r="Y36">
        <v>13</v>
      </c>
    </row>
    <row r="37" spans="1:25" x14ac:dyDescent="0.2">
      <c r="A37" t="s">
        <v>31</v>
      </c>
      <c r="B37" t="s">
        <v>20</v>
      </c>
      <c r="C37">
        <v>74</v>
      </c>
      <c r="D37">
        <v>0</v>
      </c>
      <c r="E37">
        <v>0</v>
      </c>
      <c r="F37">
        <f t="shared" si="0"/>
        <v>0</v>
      </c>
      <c r="G37">
        <v>74</v>
      </c>
      <c r="H37">
        <v>5</v>
      </c>
      <c r="I37">
        <v>0</v>
      </c>
      <c r="J37">
        <f t="shared" si="1"/>
        <v>0</v>
      </c>
      <c r="K37">
        <v>69</v>
      </c>
      <c r="L37">
        <v>2</v>
      </c>
      <c r="M37">
        <v>0</v>
      </c>
      <c r="N37">
        <f t="shared" si="2"/>
        <v>22</v>
      </c>
      <c r="O37">
        <v>45</v>
      </c>
      <c r="P37">
        <v>1</v>
      </c>
      <c r="Q37">
        <v>1</v>
      </c>
      <c r="R37">
        <f t="shared" si="3"/>
        <v>19</v>
      </c>
      <c r="S37">
        <v>24</v>
      </c>
      <c r="T37">
        <v>0</v>
      </c>
      <c r="U37">
        <v>1</v>
      </c>
      <c r="V37">
        <f t="shared" si="4"/>
        <v>10</v>
      </c>
      <c r="W37">
        <v>13</v>
      </c>
      <c r="X37">
        <v>0</v>
      </c>
      <c r="Y37">
        <v>2</v>
      </c>
    </row>
    <row r="38" spans="1:25" x14ac:dyDescent="0.2">
      <c r="A38" t="s">
        <v>31</v>
      </c>
      <c r="B38" t="s">
        <v>21</v>
      </c>
      <c r="C38">
        <v>4558</v>
      </c>
      <c r="D38">
        <v>106</v>
      </c>
      <c r="E38">
        <v>0</v>
      </c>
      <c r="F38">
        <f t="shared" si="0"/>
        <v>0</v>
      </c>
      <c r="G38">
        <v>4452</v>
      </c>
      <c r="H38">
        <v>107</v>
      </c>
      <c r="I38">
        <v>0</v>
      </c>
      <c r="J38">
        <f t="shared" si="1"/>
        <v>0</v>
      </c>
      <c r="K38">
        <v>4345</v>
      </c>
      <c r="L38">
        <v>115</v>
      </c>
      <c r="M38">
        <v>52</v>
      </c>
      <c r="N38">
        <f t="shared" si="2"/>
        <v>1003</v>
      </c>
      <c r="O38">
        <v>3175</v>
      </c>
      <c r="P38">
        <v>63</v>
      </c>
      <c r="Q38">
        <v>62</v>
      </c>
      <c r="R38">
        <f t="shared" si="3"/>
        <v>939</v>
      </c>
      <c r="S38">
        <v>2111</v>
      </c>
      <c r="T38">
        <v>55</v>
      </c>
      <c r="U38">
        <v>82</v>
      </c>
      <c r="V38">
        <f t="shared" si="4"/>
        <v>951</v>
      </c>
      <c r="W38">
        <v>1023</v>
      </c>
      <c r="X38">
        <v>13</v>
      </c>
      <c r="Y38">
        <v>93</v>
      </c>
    </row>
    <row r="39" spans="1:25" x14ac:dyDescent="0.2">
      <c r="A39" t="s">
        <v>31</v>
      </c>
      <c r="B39" t="s">
        <v>22</v>
      </c>
      <c r="C39">
        <v>1054</v>
      </c>
      <c r="D39">
        <v>77</v>
      </c>
      <c r="E39">
        <v>0</v>
      </c>
      <c r="F39">
        <f t="shared" si="0"/>
        <v>0</v>
      </c>
      <c r="G39">
        <v>977</v>
      </c>
      <c r="H39">
        <v>72</v>
      </c>
      <c r="I39">
        <v>0</v>
      </c>
      <c r="J39">
        <f t="shared" si="1"/>
        <v>1</v>
      </c>
      <c r="K39">
        <v>904</v>
      </c>
      <c r="L39">
        <v>52</v>
      </c>
      <c r="M39">
        <v>48</v>
      </c>
      <c r="N39">
        <f t="shared" si="2"/>
        <v>170</v>
      </c>
      <c r="O39">
        <v>634</v>
      </c>
      <c r="P39">
        <v>41</v>
      </c>
      <c r="Q39">
        <v>37</v>
      </c>
      <c r="R39">
        <f t="shared" si="3"/>
        <v>181</v>
      </c>
      <c r="S39">
        <v>375</v>
      </c>
      <c r="T39">
        <v>22</v>
      </c>
      <c r="U39">
        <v>36</v>
      </c>
      <c r="V39">
        <f t="shared" si="4"/>
        <v>147</v>
      </c>
      <c r="W39">
        <v>170</v>
      </c>
      <c r="X39">
        <v>15</v>
      </c>
      <c r="Y39">
        <v>17</v>
      </c>
    </row>
    <row r="40" spans="1:25" x14ac:dyDescent="0.2">
      <c r="A40" t="s">
        <v>31</v>
      </c>
      <c r="B40" t="s">
        <v>23</v>
      </c>
      <c r="C40">
        <v>6434</v>
      </c>
      <c r="D40">
        <v>1410</v>
      </c>
      <c r="E40">
        <v>0</v>
      </c>
      <c r="F40">
        <f t="shared" si="0"/>
        <v>5</v>
      </c>
      <c r="G40">
        <v>5019</v>
      </c>
      <c r="H40">
        <v>1145</v>
      </c>
      <c r="I40">
        <v>0</v>
      </c>
      <c r="J40">
        <f t="shared" si="1"/>
        <v>2</v>
      </c>
      <c r="K40">
        <v>3872</v>
      </c>
      <c r="L40">
        <v>815</v>
      </c>
      <c r="M40">
        <v>364</v>
      </c>
      <c r="N40">
        <f t="shared" si="2"/>
        <v>460</v>
      </c>
      <c r="O40">
        <v>2233</v>
      </c>
      <c r="P40">
        <v>402</v>
      </c>
      <c r="Q40">
        <v>269</v>
      </c>
      <c r="R40">
        <f t="shared" si="3"/>
        <v>410</v>
      </c>
      <c r="S40">
        <v>1152</v>
      </c>
      <c r="T40">
        <v>171</v>
      </c>
      <c r="U40">
        <v>220</v>
      </c>
      <c r="V40">
        <f t="shared" si="4"/>
        <v>340</v>
      </c>
      <c r="W40">
        <v>421</v>
      </c>
      <c r="X40">
        <v>41</v>
      </c>
      <c r="Y40">
        <v>109</v>
      </c>
    </row>
    <row r="41" spans="1:25" x14ac:dyDescent="0.2">
      <c r="A41" t="s">
        <v>31</v>
      </c>
      <c r="B41" t="s">
        <v>24</v>
      </c>
      <c r="C41">
        <v>3594</v>
      </c>
      <c r="D41">
        <v>1414</v>
      </c>
      <c r="E41">
        <v>0</v>
      </c>
      <c r="F41">
        <f t="shared" si="0"/>
        <v>2</v>
      </c>
      <c r="G41">
        <v>2178</v>
      </c>
      <c r="H41">
        <v>713</v>
      </c>
      <c r="I41">
        <v>0</v>
      </c>
      <c r="J41">
        <f t="shared" si="1"/>
        <v>2</v>
      </c>
      <c r="K41">
        <v>1463</v>
      </c>
      <c r="L41">
        <v>407</v>
      </c>
      <c r="M41">
        <v>160</v>
      </c>
      <c r="N41">
        <f t="shared" si="2"/>
        <v>150</v>
      </c>
      <c r="O41">
        <v>746</v>
      </c>
      <c r="P41">
        <v>151</v>
      </c>
      <c r="Q41">
        <v>118</v>
      </c>
      <c r="R41">
        <f t="shared" si="3"/>
        <v>110</v>
      </c>
      <c r="S41">
        <v>367</v>
      </c>
      <c r="T41">
        <v>75</v>
      </c>
      <c r="U41">
        <v>58</v>
      </c>
      <c r="V41">
        <f t="shared" si="4"/>
        <v>92</v>
      </c>
      <c r="W41">
        <v>142</v>
      </c>
      <c r="X41">
        <v>17</v>
      </c>
      <c r="Y41">
        <v>44</v>
      </c>
    </row>
    <row r="42" spans="1:25" x14ac:dyDescent="0.2">
      <c r="A42" t="s">
        <v>31</v>
      </c>
      <c r="B42" t="s">
        <v>25</v>
      </c>
      <c r="C42">
        <v>2124</v>
      </c>
      <c r="D42">
        <v>807</v>
      </c>
      <c r="E42">
        <v>0</v>
      </c>
      <c r="F42">
        <f t="shared" si="0"/>
        <v>0</v>
      </c>
      <c r="G42">
        <v>1317</v>
      </c>
      <c r="H42">
        <v>194</v>
      </c>
      <c r="I42">
        <v>0</v>
      </c>
      <c r="J42">
        <f t="shared" si="1"/>
        <v>0</v>
      </c>
      <c r="K42">
        <v>1123</v>
      </c>
      <c r="L42">
        <v>104</v>
      </c>
      <c r="M42">
        <v>46</v>
      </c>
      <c r="N42">
        <f t="shared" si="2"/>
        <v>211</v>
      </c>
      <c r="O42">
        <v>762</v>
      </c>
      <c r="P42">
        <v>70</v>
      </c>
      <c r="Q42">
        <v>32</v>
      </c>
      <c r="R42">
        <f t="shared" si="3"/>
        <v>170</v>
      </c>
      <c r="S42">
        <v>490</v>
      </c>
      <c r="T42">
        <v>24</v>
      </c>
      <c r="U42">
        <v>34</v>
      </c>
      <c r="V42">
        <f t="shared" si="4"/>
        <v>150</v>
      </c>
      <c r="W42">
        <v>282</v>
      </c>
      <c r="X42">
        <v>12</v>
      </c>
      <c r="Y42">
        <v>40</v>
      </c>
    </row>
    <row r="43" spans="1:25" x14ac:dyDescent="0.2">
      <c r="A43" t="s">
        <v>32</v>
      </c>
      <c r="B43" t="s">
        <v>20</v>
      </c>
      <c r="C43">
        <v>137</v>
      </c>
      <c r="D43">
        <v>24</v>
      </c>
      <c r="E43">
        <v>0</v>
      </c>
      <c r="F43">
        <f t="shared" si="0"/>
        <v>0</v>
      </c>
      <c r="G43">
        <v>113</v>
      </c>
      <c r="H43">
        <v>12</v>
      </c>
      <c r="I43">
        <v>0</v>
      </c>
      <c r="J43">
        <f t="shared" si="1"/>
        <v>0</v>
      </c>
      <c r="K43">
        <v>101</v>
      </c>
      <c r="L43">
        <v>6</v>
      </c>
      <c r="M43">
        <v>2</v>
      </c>
      <c r="N43">
        <f t="shared" si="2"/>
        <v>28</v>
      </c>
      <c r="O43">
        <v>65</v>
      </c>
      <c r="P43">
        <v>4</v>
      </c>
      <c r="Q43">
        <v>2</v>
      </c>
      <c r="R43">
        <f t="shared" si="3"/>
        <v>23</v>
      </c>
      <c r="S43">
        <v>36</v>
      </c>
      <c r="T43">
        <v>1</v>
      </c>
      <c r="U43">
        <v>3</v>
      </c>
      <c r="V43">
        <f t="shared" si="4"/>
        <v>17</v>
      </c>
      <c r="W43">
        <v>15</v>
      </c>
      <c r="X43">
        <v>1</v>
      </c>
      <c r="Y43">
        <v>0</v>
      </c>
    </row>
    <row r="44" spans="1:25" x14ac:dyDescent="0.2">
      <c r="A44" t="s">
        <v>32</v>
      </c>
      <c r="B44" t="s">
        <v>21</v>
      </c>
      <c r="C44">
        <v>1128</v>
      </c>
      <c r="D44">
        <v>489</v>
      </c>
      <c r="E44">
        <v>0</v>
      </c>
      <c r="F44">
        <f t="shared" si="0"/>
        <v>2</v>
      </c>
      <c r="G44">
        <v>637</v>
      </c>
      <c r="H44">
        <v>207</v>
      </c>
      <c r="I44">
        <v>0</v>
      </c>
      <c r="J44">
        <f t="shared" si="1"/>
        <v>0</v>
      </c>
      <c r="K44">
        <v>430</v>
      </c>
      <c r="L44">
        <v>53</v>
      </c>
      <c r="M44">
        <v>30</v>
      </c>
      <c r="N44">
        <f t="shared" si="2"/>
        <v>97</v>
      </c>
      <c r="O44">
        <v>250</v>
      </c>
      <c r="P44">
        <v>11</v>
      </c>
      <c r="Q44">
        <v>9</v>
      </c>
      <c r="R44">
        <f t="shared" si="3"/>
        <v>81</v>
      </c>
      <c r="S44">
        <v>149</v>
      </c>
      <c r="T44">
        <v>6</v>
      </c>
      <c r="U44">
        <v>11</v>
      </c>
      <c r="V44">
        <f t="shared" si="4"/>
        <v>58</v>
      </c>
      <c r="W44">
        <v>74</v>
      </c>
      <c r="X44">
        <v>4</v>
      </c>
      <c r="Y44">
        <v>9</v>
      </c>
    </row>
    <row r="45" spans="1:25" x14ac:dyDescent="0.2">
      <c r="A45" t="s">
        <v>32</v>
      </c>
      <c r="B45" t="s">
        <v>22</v>
      </c>
      <c r="C45">
        <v>2989</v>
      </c>
      <c r="D45">
        <v>1147</v>
      </c>
      <c r="E45">
        <v>0</v>
      </c>
      <c r="F45">
        <f t="shared" si="0"/>
        <v>4</v>
      </c>
      <c r="G45">
        <v>1838</v>
      </c>
      <c r="H45">
        <v>765</v>
      </c>
      <c r="I45">
        <v>0</v>
      </c>
      <c r="J45">
        <f t="shared" si="1"/>
        <v>0</v>
      </c>
      <c r="K45">
        <v>1073</v>
      </c>
      <c r="L45">
        <v>300</v>
      </c>
      <c r="M45">
        <v>100</v>
      </c>
      <c r="N45">
        <f t="shared" si="2"/>
        <v>144</v>
      </c>
      <c r="O45">
        <v>529</v>
      </c>
      <c r="P45">
        <v>103</v>
      </c>
      <c r="Q45">
        <v>60</v>
      </c>
      <c r="R45">
        <f t="shared" si="3"/>
        <v>113</v>
      </c>
      <c r="S45">
        <v>253</v>
      </c>
      <c r="T45">
        <v>22</v>
      </c>
      <c r="U45">
        <v>42</v>
      </c>
      <c r="V45">
        <f t="shared" si="4"/>
        <v>87</v>
      </c>
      <c r="W45">
        <v>102</v>
      </c>
      <c r="X45">
        <v>9</v>
      </c>
      <c r="Y45">
        <v>26</v>
      </c>
    </row>
    <row r="46" spans="1:25" x14ac:dyDescent="0.2">
      <c r="A46" t="s">
        <v>32</v>
      </c>
      <c r="B46" t="s">
        <v>23</v>
      </c>
      <c r="C46">
        <v>2149</v>
      </c>
      <c r="D46">
        <v>1279</v>
      </c>
      <c r="E46">
        <v>0</v>
      </c>
      <c r="F46">
        <f t="shared" si="0"/>
        <v>3</v>
      </c>
      <c r="G46">
        <v>867</v>
      </c>
      <c r="H46">
        <v>507</v>
      </c>
      <c r="I46">
        <v>0</v>
      </c>
      <c r="J46">
        <f t="shared" si="1"/>
        <v>0</v>
      </c>
      <c r="K46">
        <v>360</v>
      </c>
      <c r="L46">
        <v>145</v>
      </c>
      <c r="M46">
        <v>37</v>
      </c>
      <c r="N46">
        <f t="shared" si="2"/>
        <v>44</v>
      </c>
      <c r="O46">
        <v>134</v>
      </c>
      <c r="P46">
        <v>27</v>
      </c>
      <c r="Q46">
        <v>15</v>
      </c>
      <c r="R46">
        <f t="shared" si="3"/>
        <v>39</v>
      </c>
      <c r="S46">
        <v>53</v>
      </c>
      <c r="T46">
        <v>7</v>
      </c>
      <c r="U46">
        <v>5</v>
      </c>
      <c r="V46">
        <f t="shared" si="4"/>
        <v>13</v>
      </c>
      <c r="W46">
        <v>28</v>
      </c>
      <c r="X46">
        <v>1</v>
      </c>
      <c r="Y46">
        <v>9</v>
      </c>
    </row>
    <row r="47" spans="1:25" x14ac:dyDescent="0.2">
      <c r="A47" t="s">
        <v>32</v>
      </c>
      <c r="B47" t="s">
        <v>24</v>
      </c>
      <c r="C47">
        <v>11935</v>
      </c>
      <c r="D47">
        <v>10550</v>
      </c>
      <c r="E47">
        <v>0</v>
      </c>
      <c r="F47">
        <f t="shared" si="0"/>
        <v>4</v>
      </c>
      <c r="G47">
        <v>1381</v>
      </c>
      <c r="H47">
        <v>865</v>
      </c>
      <c r="I47">
        <v>0</v>
      </c>
      <c r="J47">
        <f t="shared" si="1"/>
        <v>1</v>
      </c>
      <c r="K47">
        <v>515</v>
      </c>
      <c r="L47">
        <v>176</v>
      </c>
      <c r="M47">
        <v>57</v>
      </c>
      <c r="N47">
        <f t="shared" si="2"/>
        <v>54</v>
      </c>
      <c r="O47">
        <v>228</v>
      </c>
      <c r="P47">
        <v>54</v>
      </c>
      <c r="Q47">
        <v>19</v>
      </c>
      <c r="R47">
        <f t="shared" si="3"/>
        <v>46</v>
      </c>
      <c r="S47">
        <v>109</v>
      </c>
      <c r="T47">
        <v>14</v>
      </c>
      <c r="U47">
        <v>13</v>
      </c>
      <c r="V47">
        <f t="shared" si="4"/>
        <v>37</v>
      </c>
      <c r="W47">
        <v>45</v>
      </c>
      <c r="X47">
        <v>3</v>
      </c>
      <c r="Y47">
        <v>8</v>
      </c>
    </row>
    <row r="48" spans="1:25" x14ac:dyDescent="0.2">
      <c r="A48" t="s">
        <v>32</v>
      </c>
      <c r="B48" t="s">
        <v>25</v>
      </c>
      <c r="C48">
        <v>4090</v>
      </c>
      <c r="D48">
        <v>2752</v>
      </c>
      <c r="E48">
        <v>0</v>
      </c>
      <c r="F48">
        <f t="shared" si="0"/>
        <v>4</v>
      </c>
      <c r="G48">
        <v>1334</v>
      </c>
      <c r="H48">
        <v>584</v>
      </c>
      <c r="I48">
        <v>0</v>
      </c>
      <c r="J48">
        <f t="shared" si="1"/>
        <v>1</v>
      </c>
      <c r="K48">
        <v>749</v>
      </c>
      <c r="L48">
        <v>183</v>
      </c>
      <c r="M48">
        <v>61</v>
      </c>
      <c r="N48">
        <f t="shared" si="2"/>
        <v>88</v>
      </c>
      <c r="O48">
        <v>417</v>
      </c>
      <c r="P48">
        <v>56</v>
      </c>
      <c r="Q48">
        <v>26</v>
      </c>
      <c r="R48">
        <f t="shared" si="3"/>
        <v>80</v>
      </c>
      <c r="S48">
        <v>255</v>
      </c>
      <c r="T48">
        <v>26</v>
      </c>
      <c r="U48">
        <v>24</v>
      </c>
      <c r="V48">
        <f t="shared" si="4"/>
        <v>90</v>
      </c>
      <c r="W48">
        <v>115</v>
      </c>
      <c r="X48">
        <v>3</v>
      </c>
      <c r="Y48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C832-72A9-CC4C-9DC0-A1AFA70DF61C}">
  <dimension ref="A1:Y48"/>
  <sheetViews>
    <sheetView topLeftCell="D1" workbookViewId="0">
      <selection activeCell="K2" sqref="K2:O7"/>
    </sheetView>
  </sheetViews>
  <sheetFormatPr baseColWidth="10" defaultColWidth="11.5" defaultRowHeight="15" x14ac:dyDescent="0.2"/>
  <cols>
    <col min="1" max="1" width="11.5" bestFit="1" customWidth="1"/>
    <col min="2" max="2" width="17.33203125" bestFit="1" customWidth="1"/>
    <col min="3" max="3" width="22.33203125" customWidth="1"/>
    <col min="4" max="4" width="17.5" bestFit="1" customWidth="1"/>
    <col min="5" max="5" width="21.6640625" bestFit="1" customWidth="1"/>
    <col min="6" max="6" width="21.6640625" customWidth="1"/>
    <col min="7" max="7" width="22.5" customWidth="1"/>
    <col min="8" max="8" width="17.5" bestFit="1" customWidth="1"/>
    <col min="9" max="9" width="21.6640625" bestFit="1" customWidth="1"/>
    <col min="10" max="11" width="21.6640625" customWidth="1"/>
    <col min="12" max="12" width="17.5" bestFit="1" customWidth="1"/>
    <col min="13" max="13" width="21.6640625" bestFit="1" customWidth="1"/>
    <col min="14" max="15" width="21.6640625" customWidth="1"/>
    <col min="16" max="16" width="17.5" bestFit="1" customWidth="1"/>
    <col min="17" max="17" width="21.6640625" bestFit="1" customWidth="1"/>
    <col min="18" max="19" width="21.6640625" customWidth="1"/>
    <col min="20" max="20" width="17.5" bestFit="1" customWidth="1"/>
    <col min="21" max="21" width="21.6640625" bestFit="1" customWidth="1"/>
    <col min="22" max="23" width="21.6640625" customWidth="1"/>
    <col min="24" max="24" width="12.33203125" bestFit="1" customWidth="1"/>
    <col min="25" max="25" width="16.5" bestFit="1" customWidth="1"/>
  </cols>
  <sheetData>
    <row r="1" spans="1:25" ht="19" x14ac:dyDescent="0.25">
      <c r="A1" s="1" t="s">
        <v>0</v>
      </c>
      <c r="B1" s="1" t="s">
        <v>1</v>
      </c>
      <c r="C1" s="1" t="s">
        <v>62</v>
      </c>
      <c r="D1" s="1" t="s">
        <v>60</v>
      </c>
      <c r="E1" s="1" t="s">
        <v>61</v>
      </c>
      <c r="F1" s="1" t="s">
        <v>59</v>
      </c>
      <c r="G1" s="1" t="s">
        <v>63</v>
      </c>
      <c r="H1" t="s">
        <v>35</v>
      </c>
      <c r="I1" t="s">
        <v>36</v>
      </c>
      <c r="J1" t="s">
        <v>59</v>
      </c>
      <c r="K1" s="2" t="s">
        <v>55</v>
      </c>
      <c r="L1" s="2" t="s">
        <v>37</v>
      </c>
      <c r="M1" s="2" t="s">
        <v>38</v>
      </c>
      <c r="N1" s="2" t="s">
        <v>59</v>
      </c>
      <c r="O1" s="2" t="s">
        <v>56</v>
      </c>
      <c r="P1" t="s">
        <v>39</v>
      </c>
      <c r="Q1" t="s">
        <v>40</v>
      </c>
      <c r="R1" t="s">
        <v>59</v>
      </c>
      <c r="S1" t="s">
        <v>57</v>
      </c>
      <c r="T1" t="s">
        <v>41</v>
      </c>
      <c r="U1" t="s">
        <v>42</v>
      </c>
      <c r="V1" t="s">
        <v>59</v>
      </c>
      <c r="W1" t="s">
        <v>58</v>
      </c>
      <c r="X1" t="s">
        <v>43</v>
      </c>
      <c r="Y1" t="s">
        <v>44</v>
      </c>
    </row>
    <row r="2" spans="1:25" ht="19" x14ac:dyDescent="0.25">
      <c r="A2" s="1" t="s">
        <v>19</v>
      </c>
      <c r="B2" s="1" t="s">
        <v>20</v>
      </c>
      <c r="C2" s="1">
        <v>8546</v>
      </c>
      <c r="D2" s="1">
        <v>351</v>
      </c>
      <c r="E2" s="1">
        <v>0</v>
      </c>
      <c r="F2" s="1">
        <f>C2-D2-G2</f>
        <v>0</v>
      </c>
      <c r="G2" s="1">
        <v>8195</v>
      </c>
      <c r="H2">
        <v>257</v>
      </c>
      <c r="I2">
        <v>0</v>
      </c>
      <c r="J2">
        <f>G2-H2-K2</f>
        <v>0</v>
      </c>
      <c r="K2" s="2">
        <v>7938</v>
      </c>
      <c r="L2" s="2">
        <v>224</v>
      </c>
      <c r="M2" s="2">
        <v>179</v>
      </c>
      <c r="N2" s="2">
        <f>K2-L2-O2-M2</f>
        <v>1850</v>
      </c>
      <c r="O2" s="2">
        <v>5685</v>
      </c>
      <c r="P2">
        <v>152</v>
      </c>
      <c r="Q2">
        <v>173</v>
      </c>
      <c r="R2">
        <f>O2-P2-S2-Q2</f>
        <v>1851</v>
      </c>
      <c r="S2">
        <v>3509</v>
      </c>
      <c r="T2">
        <v>78</v>
      </c>
      <c r="U2">
        <v>149</v>
      </c>
      <c r="V2">
        <f>S2-T2-W2-U2</f>
        <v>1658</v>
      </c>
      <c r="W2">
        <v>1624</v>
      </c>
      <c r="X2">
        <v>26</v>
      </c>
      <c r="Y2">
        <v>157</v>
      </c>
    </row>
    <row r="3" spans="1:25" ht="19" x14ac:dyDescent="0.25">
      <c r="A3" s="1" t="s">
        <v>19</v>
      </c>
      <c r="B3" s="1" t="s">
        <v>21</v>
      </c>
      <c r="C3" s="1">
        <v>15578</v>
      </c>
      <c r="D3" s="1">
        <v>530</v>
      </c>
      <c r="E3" s="1">
        <v>0</v>
      </c>
      <c r="F3" s="1">
        <f t="shared" ref="F3:F48" si="0">C3-D3-G3</f>
        <v>1</v>
      </c>
      <c r="G3" s="1">
        <v>15047</v>
      </c>
      <c r="H3">
        <v>452</v>
      </c>
      <c r="I3">
        <v>0</v>
      </c>
      <c r="J3">
        <f t="shared" ref="J3:J48" si="1">G3-H3-K3</f>
        <v>1</v>
      </c>
      <c r="K3" s="2">
        <v>14594</v>
      </c>
      <c r="L3" s="2">
        <v>411</v>
      </c>
      <c r="M3" s="2">
        <v>297</v>
      </c>
      <c r="N3" s="2">
        <f t="shared" ref="N3:N48" si="2">K3-L3-O3-M3</f>
        <v>3293</v>
      </c>
      <c r="O3" s="2">
        <v>10593</v>
      </c>
      <c r="P3">
        <v>263</v>
      </c>
      <c r="Q3">
        <v>357</v>
      </c>
      <c r="R3">
        <f t="shared" ref="R3:R48" si="3">O3-P3-S3-Q3</f>
        <v>3209</v>
      </c>
      <c r="S3">
        <v>6764</v>
      </c>
      <c r="T3">
        <v>188</v>
      </c>
      <c r="U3">
        <v>325</v>
      </c>
      <c r="V3">
        <f t="shared" ref="V3:V48" si="4">S3-T3-W3-U3</f>
        <v>3079</v>
      </c>
      <c r="W3">
        <v>3172</v>
      </c>
      <c r="X3">
        <v>60</v>
      </c>
      <c r="Y3">
        <v>295</v>
      </c>
    </row>
    <row r="4" spans="1:25" ht="19" x14ac:dyDescent="0.25">
      <c r="A4" s="1" t="s">
        <v>19</v>
      </c>
      <c r="B4" s="1" t="s">
        <v>22</v>
      </c>
      <c r="C4" s="1">
        <v>20515</v>
      </c>
      <c r="D4" s="1">
        <v>1356</v>
      </c>
      <c r="E4" s="1">
        <v>0</v>
      </c>
      <c r="F4" s="1">
        <f t="shared" si="0"/>
        <v>2</v>
      </c>
      <c r="G4" s="1">
        <v>19157</v>
      </c>
      <c r="H4">
        <v>944</v>
      </c>
      <c r="I4">
        <v>0</v>
      </c>
      <c r="J4">
        <f t="shared" si="1"/>
        <v>3</v>
      </c>
      <c r="K4" s="2">
        <v>18210</v>
      </c>
      <c r="L4" s="2">
        <v>790</v>
      </c>
      <c r="M4" s="2">
        <v>534</v>
      </c>
      <c r="N4" s="2">
        <f t="shared" si="2"/>
        <v>3859</v>
      </c>
      <c r="O4" s="2">
        <v>13027</v>
      </c>
      <c r="P4">
        <v>527</v>
      </c>
      <c r="Q4">
        <v>527</v>
      </c>
      <c r="R4">
        <f t="shared" si="3"/>
        <v>3738</v>
      </c>
      <c r="S4">
        <v>8235</v>
      </c>
      <c r="T4">
        <v>278</v>
      </c>
      <c r="U4">
        <v>518</v>
      </c>
      <c r="V4">
        <f t="shared" si="4"/>
        <v>3583</v>
      </c>
      <c r="W4">
        <v>3856</v>
      </c>
      <c r="X4">
        <v>86</v>
      </c>
      <c r="Y4">
        <v>457</v>
      </c>
    </row>
    <row r="5" spans="1:25" ht="19" x14ac:dyDescent="0.25">
      <c r="A5" s="1" t="s">
        <v>19</v>
      </c>
      <c r="B5" s="1" t="s">
        <v>23</v>
      </c>
      <c r="C5" s="1">
        <v>25148</v>
      </c>
      <c r="D5" s="1">
        <v>2503</v>
      </c>
      <c r="E5" s="1">
        <v>0</v>
      </c>
      <c r="F5" s="1">
        <f t="shared" si="0"/>
        <v>9</v>
      </c>
      <c r="G5" s="1">
        <v>22636</v>
      </c>
      <c r="H5">
        <v>2335</v>
      </c>
      <c r="I5">
        <v>0</v>
      </c>
      <c r="J5">
        <f t="shared" si="1"/>
        <v>9</v>
      </c>
      <c r="K5" s="2">
        <v>20292</v>
      </c>
      <c r="L5" s="2">
        <v>1624</v>
      </c>
      <c r="M5" s="2">
        <v>1006</v>
      </c>
      <c r="N5" s="2">
        <f t="shared" si="2"/>
        <v>3924</v>
      </c>
      <c r="O5" s="2">
        <v>13738</v>
      </c>
      <c r="P5">
        <v>910</v>
      </c>
      <c r="Q5">
        <v>689</v>
      </c>
      <c r="R5">
        <f t="shared" si="3"/>
        <v>3778</v>
      </c>
      <c r="S5">
        <v>8361</v>
      </c>
      <c r="T5">
        <v>409</v>
      </c>
      <c r="U5">
        <v>603</v>
      </c>
      <c r="V5">
        <f t="shared" si="4"/>
        <v>3591</v>
      </c>
      <c r="W5">
        <v>3758</v>
      </c>
      <c r="X5">
        <v>115</v>
      </c>
      <c r="Y5">
        <v>472</v>
      </c>
    </row>
    <row r="6" spans="1:25" ht="19" x14ac:dyDescent="0.25">
      <c r="A6" s="1" t="s">
        <v>19</v>
      </c>
      <c r="B6" s="1" t="s">
        <v>24</v>
      </c>
      <c r="C6" s="1">
        <v>20473</v>
      </c>
      <c r="D6" s="1">
        <v>10725</v>
      </c>
      <c r="E6" s="1">
        <v>0</v>
      </c>
      <c r="F6" s="1">
        <f t="shared" si="0"/>
        <v>17</v>
      </c>
      <c r="G6" s="1">
        <v>9731</v>
      </c>
      <c r="H6">
        <v>3901</v>
      </c>
      <c r="I6">
        <v>0</v>
      </c>
      <c r="J6">
        <f t="shared" si="1"/>
        <v>9</v>
      </c>
      <c r="K6" s="2">
        <v>5821</v>
      </c>
      <c r="L6" s="2">
        <v>1833</v>
      </c>
      <c r="M6" s="2">
        <v>624</v>
      </c>
      <c r="N6" s="2">
        <f t="shared" si="2"/>
        <v>567</v>
      </c>
      <c r="O6" s="2">
        <v>2797</v>
      </c>
      <c r="P6">
        <v>626</v>
      </c>
      <c r="Q6">
        <v>333</v>
      </c>
      <c r="R6">
        <f t="shared" si="3"/>
        <v>495</v>
      </c>
      <c r="S6">
        <v>1343</v>
      </c>
      <c r="T6">
        <v>204</v>
      </c>
      <c r="U6">
        <v>184</v>
      </c>
      <c r="V6">
        <f t="shared" si="4"/>
        <v>415</v>
      </c>
      <c r="W6">
        <v>540</v>
      </c>
      <c r="X6">
        <v>42</v>
      </c>
      <c r="Y6">
        <v>129</v>
      </c>
    </row>
    <row r="7" spans="1:25" ht="19" x14ac:dyDescent="0.25">
      <c r="A7" s="1" t="s">
        <v>19</v>
      </c>
      <c r="B7" s="1" t="s">
        <v>25</v>
      </c>
      <c r="C7" s="1">
        <v>6648</v>
      </c>
      <c r="D7" s="1">
        <v>2181</v>
      </c>
      <c r="E7" s="1">
        <v>0</v>
      </c>
      <c r="F7" s="1">
        <f t="shared" si="0"/>
        <v>3</v>
      </c>
      <c r="G7" s="1">
        <v>4464</v>
      </c>
      <c r="H7">
        <v>605</v>
      </c>
      <c r="I7">
        <v>0</v>
      </c>
      <c r="J7">
        <f t="shared" si="1"/>
        <v>0</v>
      </c>
      <c r="K7" s="2">
        <v>3859</v>
      </c>
      <c r="L7" s="2">
        <v>322</v>
      </c>
      <c r="M7" s="2">
        <v>145</v>
      </c>
      <c r="N7" s="2">
        <f t="shared" si="2"/>
        <v>706</v>
      </c>
      <c r="O7" s="2">
        <v>2686</v>
      </c>
      <c r="P7">
        <v>150</v>
      </c>
      <c r="Q7">
        <v>110</v>
      </c>
      <c r="R7">
        <f t="shared" si="3"/>
        <v>663</v>
      </c>
      <c r="S7">
        <v>1763</v>
      </c>
      <c r="T7">
        <v>68</v>
      </c>
      <c r="U7">
        <v>83</v>
      </c>
      <c r="V7">
        <f t="shared" si="4"/>
        <v>567</v>
      </c>
      <c r="W7">
        <v>1045</v>
      </c>
      <c r="X7">
        <v>27</v>
      </c>
      <c r="Y7">
        <v>133</v>
      </c>
    </row>
    <row r="8" spans="1:25" x14ac:dyDescent="0.2">
      <c r="A8" t="s">
        <v>26</v>
      </c>
      <c r="B8" t="s">
        <v>20</v>
      </c>
      <c r="C8">
        <v>1713</v>
      </c>
      <c r="D8">
        <v>57</v>
      </c>
      <c r="E8">
        <v>0</v>
      </c>
      <c r="F8">
        <f t="shared" si="0"/>
        <v>0</v>
      </c>
      <c r="G8">
        <v>1656</v>
      </c>
      <c r="H8">
        <v>72</v>
      </c>
      <c r="I8">
        <v>0</v>
      </c>
      <c r="J8">
        <f t="shared" si="1"/>
        <v>0</v>
      </c>
      <c r="K8">
        <v>1584</v>
      </c>
      <c r="L8">
        <v>60</v>
      </c>
      <c r="M8">
        <v>45</v>
      </c>
      <c r="N8">
        <f t="shared" si="2"/>
        <v>349</v>
      </c>
      <c r="O8">
        <v>1130</v>
      </c>
      <c r="P8">
        <v>36</v>
      </c>
      <c r="Q8">
        <v>45</v>
      </c>
      <c r="R8">
        <f t="shared" si="3"/>
        <v>333</v>
      </c>
      <c r="S8">
        <v>716</v>
      </c>
      <c r="T8">
        <v>32</v>
      </c>
      <c r="U8">
        <v>45</v>
      </c>
      <c r="V8">
        <f t="shared" si="4"/>
        <v>284</v>
      </c>
      <c r="W8">
        <v>355</v>
      </c>
      <c r="X8">
        <v>10</v>
      </c>
      <c r="Y8">
        <v>52</v>
      </c>
    </row>
    <row r="9" spans="1:25" x14ac:dyDescent="0.2">
      <c r="A9" t="s">
        <v>26</v>
      </c>
      <c r="B9" t="s">
        <v>21</v>
      </c>
      <c r="C9">
        <v>5126</v>
      </c>
      <c r="D9">
        <v>156</v>
      </c>
      <c r="E9">
        <v>0</v>
      </c>
      <c r="F9">
        <f t="shared" si="0"/>
        <v>1</v>
      </c>
      <c r="G9">
        <v>4969</v>
      </c>
      <c r="H9">
        <v>270</v>
      </c>
      <c r="I9">
        <v>0</v>
      </c>
      <c r="J9">
        <f t="shared" si="1"/>
        <v>0</v>
      </c>
      <c r="K9">
        <v>4699</v>
      </c>
      <c r="L9">
        <v>202</v>
      </c>
      <c r="M9">
        <v>149</v>
      </c>
      <c r="N9">
        <f t="shared" si="2"/>
        <v>1002</v>
      </c>
      <c r="O9">
        <v>3346</v>
      </c>
      <c r="P9">
        <v>127</v>
      </c>
      <c r="Q9">
        <v>141</v>
      </c>
      <c r="R9">
        <f t="shared" si="3"/>
        <v>949</v>
      </c>
      <c r="S9">
        <v>2129</v>
      </c>
      <c r="T9">
        <v>59</v>
      </c>
      <c r="U9">
        <v>147</v>
      </c>
      <c r="V9">
        <f t="shared" si="4"/>
        <v>936</v>
      </c>
      <c r="W9">
        <v>987</v>
      </c>
      <c r="X9">
        <v>25</v>
      </c>
      <c r="Y9">
        <v>155</v>
      </c>
    </row>
    <row r="10" spans="1:25" x14ac:dyDescent="0.2">
      <c r="A10" t="s">
        <v>26</v>
      </c>
      <c r="B10" t="s">
        <v>22</v>
      </c>
      <c r="C10">
        <v>3192</v>
      </c>
      <c r="D10">
        <v>260</v>
      </c>
      <c r="E10">
        <v>0</v>
      </c>
      <c r="F10">
        <f t="shared" si="0"/>
        <v>0</v>
      </c>
      <c r="G10">
        <v>2932</v>
      </c>
      <c r="H10">
        <v>285</v>
      </c>
      <c r="I10">
        <v>0</v>
      </c>
      <c r="J10">
        <f t="shared" si="1"/>
        <v>1</v>
      </c>
      <c r="K10">
        <v>2646</v>
      </c>
      <c r="L10">
        <v>181</v>
      </c>
      <c r="M10">
        <v>108</v>
      </c>
      <c r="N10">
        <f t="shared" si="2"/>
        <v>560</v>
      </c>
      <c r="O10">
        <v>1797</v>
      </c>
      <c r="P10">
        <v>101</v>
      </c>
      <c r="Q10">
        <v>112</v>
      </c>
      <c r="R10">
        <f t="shared" si="3"/>
        <v>523</v>
      </c>
      <c r="S10">
        <v>1061</v>
      </c>
      <c r="T10">
        <v>28</v>
      </c>
      <c r="U10">
        <v>87</v>
      </c>
      <c r="V10">
        <f t="shared" si="4"/>
        <v>464</v>
      </c>
      <c r="W10">
        <v>482</v>
      </c>
      <c r="X10">
        <v>14</v>
      </c>
      <c r="Y10">
        <v>76</v>
      </c>
    </row>
    <row r="11" spans="1:25" x14ac:dyDescent="0.2">
      <c r="A11" t="s">
        <v>26</v>
      </c>
      <c r="B11" t="s">
        <v>23</v>
      </c>
      <c r="C11">
        <v>3360</v>
      </c>
      <c r="D11">
        <v>443</v>
      </c>
      <c r="E11">
        <v>0</v>
      </c>
      <c r="F11">
        <f t="shared" si="0"/>
        <v>3</v>
      </c>
      <c r="G11">
        <v>2914</v>
      </c>
      <c r="H11">
        <v>366</v>
      </c>
      <c r="I11">
        <v>0</v>
      </c>
      <c r="J11">
        <f t="shared" si="1"/>
        <v>0</v>
      </c>
      <c r="K11">
        <v>2548</v>
      </c>
      <c r="L11">
        <v>187</v>
      </c>
      <c r="M11">
        <v>109</v>
      </c>
      <c r="N11">
        <f t="shared" si="2"/>
        <v>558</v>
      </c>
      <c r="O11">
        <v>1694</v>
      </c>
      <c r="P11">
        <v>102</v>
      </c>
      <c r="Q11">
        <v>77</v>
      </c>
      <c r="R11">
        <f t="shared" si="3"/>
        <v>476</v>
      </c>
      <c r="S11">
        <v>1039</v>
      </c>
      <c r="T11">
        <v>50</v>
      </c>
      <c r="U11">
        <v>103</v>
      </c>
      <c r="V11">
        <f t="shared" si="4"/>
        <v>441</v>
      </c>
      <c r="W11">
        <v>445</v>
      </c>
      <c r="X11">
        <v>13</v>
      </c>
      <c r="Y11">
        <v>67</v>
      </c>
    </row>
    <row r="12" spans="1:25" x14ac:dyDescent="0.2">
      <c r="A12" t="s">
        <v>26</v>
      </c>
      <c r="B12" t="s">
        <v>24</v>
      </c>
      <c r="C12">
        <v>13848</v>
      </c>
      <c r="D12">
        <v>3893</v>
      </c>
      <c r="E12">
        <v>0</v>
      </c>
      <c r="F12">
        <f t="shared" si="0"/>
        <v>13</v>
      </c>
      <c r="G12">
        <v>9942</v>
      </c>
      <c r="H12">
        <v>1834</v>
      </c>
      <c r="I12">
        <v>0</v>
      </c>
      <c r="J12">
        <f t="shared" si="1"/>
        <v>2</v>
      </c>
      <c r="K12">
        <v>8106</v>
      </c>
      <c r="L12">
        <v>784</v>
      </c>
      <c r="M12">
        <v>397</v>
      </c>
      <c r="N12">
        <f t="shared" si="2"/>
        <v>1684</v>
      </c>
      <c r="O12">
        <v>5241</v>
      </c>
      <c r="P12">
        <v>337</v>
      </c>
      <c r="Q12">
        <v>294</v>
      </c>
      <c r="R12">
        <f t="shared" si="3"/>
        <v>1535</v>
      </c>
      <c r="S12">
        <v>3075</v>
      </c>
      <c r="T12">
        <v>141</v>
      </c>
      <c r="U12">
        <v>255</v>
      </c>
      <c r="V12">
        <f t="shared" si="4"/>
        <v>1351</v>
      </c>
      <c r="W12">
        <v>1328</v>
      </c>
      <c r="X12">
        <v>35</v>
      </c>
      <c r="Y12">
        <v>194</v>
      </c>
    </row>
    <row r="13" spans="1:25" x14ac:dyDescent="0.2">
      <c r="A13" t="s">
        <v>26</v>
      </c>
      <c r="B13" t="s">
        <v>25</v>
      </c>
      <c r="C13">
        <v>3085</v>
      </c>
      <c r="D13">
        <v>819</v>
      </c>
      <c r="E13">
        <v>0</v>
      </c>
      <c r="F13">
        <f t="shared" si="0"/>
        <v>2</v>
      </c>
      <c r="G13">
        <v>2264</v>
      </c>
      <c r="H13">
        <v>234</v>
      </c>
      <c r="I13">
        <v>0</v>
      </c>
      <c r="J13">
        <f t="shared" si="1"/>
        <v>0</v>
      </c>
      <c r="K13">
        <v>2030</v>
      </c>
      <c r="L13">
        <v>143</v>
      </c>
      <c r="M13">
        <v>53</v>
      </c>
      <c r="N13">
        <f t="shared" si="2"/>
        <v>319</v>
      </c>
      <c r="O13">
        <v>1515</v>
      </c>
      <c r="P13">
        <v>75</v>
      </c>
      <c r="Q13">
        <v>53</v>
      </c>
      <c r="R13">
        <f t="shared" si="3"/>
        <v>316</v>
      </c>
      <c r="S13">
        <v>1071</v>
      </c>
      <c r="T13">
        <v>31</v>
      </c>
      <c r="U13">
        <v>56</v>
      </c>
      <c r="V13">
        <f t="shared" si="4"/>
        <v>362</v>
      </c>
      <c r="W13">
        <v>622</v>
      </c>
      <c r="X13">
        <v>20</v>
      </c>
      <c r="Y13">
        <v>88</v>
      </c>
    </row>
    <row r="14" spans="1:25" x14ac:dyDescent="0.2">
      <c r="A14" t="s">
        <v>27</v>
      </c>
      <c r="B14" t="s">
        <v>20</v>
      </c>
      <c r="C14">
        <v>11</v>
      </c>
      <c r="D14">
        <v>0</v>
      </c>
      <c r="E14">
        <v>0</v>
      </c>
      <c r="F14">
        <f t="shared" si="0"/>
        <v>0</v>
      </c>
      <c r="G14">
        <v>11</v>
      </c>
      <c r="H14">
        <v>0</v>
      </c>
      <c r="I14">
        <v>0</v>
      </c>
      <c r="J14">
        <f t="shared" si="1"/>
        <v>0</v>
      </c>
      <c r="K14">
        <v>11</v>
      </c>
      <c r="L14">
        <v>0</v>
      </c>
      <c r="M14">
        <v>1</v>
      </c>
      <c r="N14">
        <f t="shared" si="2"/>
        <v>3</v>
      </c>
      <c r="O14">
        <v>7</v>
      </c>
      <c r="P14">
        <v>0</v>
      </c>
      <c r="Q14">
        <v>0</v>
      </c>
      <c r="R14">
        <f t="shared" si="3"/>
        <v>1</v>
      </c>
      <c r="S14">
        <v>6</v>
      </c>
      <c r="T14">
        <v>0</v>
      </c>
      <c r="U14">
        <v>1</v>
      </c>
      <c r="V14">
        <f t="shared" si="4"/>
        <v>2</v>
      </c>
      <c r="W14">
        <v>3</v>
      </c>
      <c r="X14">
        <v>0</v>
      </c>
      <c r="Y14">
        <v>0</v>
      </c>
    </row>
    <row r="15" spans="1:25" x14ac:dyDescent="0.2">
      <c r="A15" t="s">
        <v>27</v>
      </c>
      <c r="B15" t="s">
        <v>21</v>
      </c>
      <c r="C15">
        <v>1060</v>
      </c>
      <c r="D15">
        <v>201</v>
      </c>
      <c r="E15">
        <v>0</v>
      </c>
      <c r="F15">
        <f t="shared" si="0"/>
        <v>0</v>
      </c>
      <c r="G15">
        <v>859</v>
      </c>
      <c r="H15">
        <v>161</v>
      </c>
      <c r="I15">
        <v>0</v>
      </c>
      <c r="J15">
        <f t="shared" si="1"/>
        <v>0</v>
      </c>
      <c r="K15">
        <v>698</v>
      </c>
      <c r="L15">
        <v>93</v>
      </c>
      <c r="M15">
        <v>67</v>
      </c>
      <c r="N15">
        <f t="shared" si="2"/>
        <v>154</v>
      </c>
      <c r="O15">
        <v>384</v>
      </c>
      <c r="P15">
        <v>35</v>
      </c>
      <c r="Q15">
        <v>33</v>
      </c>
      <c r="R15">
        <f t="shared" si="3"/>
        <v>99</v>
      </c>
      <c r="S15">
        <v>217</v>
      </c>
      <c r="T15">
        <v>25</v>
      </c>
      <c r="U15">
        <v>27</v>
      </c>
      <c r="V15">
        <f t="shared" si="4"/>
        <v>84</v>
      </c>
      <c r="W15">
        <v>81</v>
      </c>
      <c r="X15">
        <v>5</v>
      </c>
      <c r="Y15">
        <v>19</v>
      </c>
    </row>
    <row r="16" spans="1:25" x14ac:dyDescent="0.2">
      <c r="A16" t="s">
        <v>27</v>
      </c>
      <c r="B16" t="s">
        <v>22</v>
      </c>
      <c r="C16">
        <v>1230</v>
      </c>
      <c r="D16">
        <v>343</v>
      </c>
      <c r="E16">
        <v>0</v>
      </c>
      <c r="F16">
        <f t="shared" si="0"/>
        <v>0</v>
      </c>
      <c r="G16">
        <v>887</v>
      </c>
      <c r="H16">
        <v>224</v>
      </c>
      <c r="I16">
        <v>0</v>
      </c>
      <c r="J16">
        <f t="shared" si="1"/>
        <v>0</v>
      </c>
      <c r="K16">
        <v>663</v>
      </c>
      <c r="L16">
        <v>119</v>
      </c>
      <c r="M16">
        <v>74</v>
      </c>
      <c r="N16">
        <f t="shared" si="2"/>
        <v>108</v>
      </c>
      <c r="O16">
        <v>362</v>
      </c>
      <c r="P16">
        <v>54</v>
      </c>
      <c r="Q16">
        <v>46</v>
      </c>
      <c r="R16">
        <f t="shared" si="3"/>
        <v>87</v>
      </c>
      <c r="S16">
        <v>175</v>
      </c>
      <c r="T16">
        <v>13</v>
      </c>
      <c r="U16">
        <v>31</v>
      </c>
      <c r="V16">
        <f t="shared" si="4"/>
        <v>68</v>
      </c>
      <c r="W16">
        <v>63</v>
      </c>
      <c r="X16">
        <v>3</v>
      </c>
      <c r="Y16">
        <v>15</v>
      </c>
    </row>
    <row r="17" spans="1:25" x14ac:dyDescent="0.2">
      <c r="A17" t="s">
        <v>27</v>
      </c>
      <c r="B17" t="s">
        <v>23</v>
      </c>
      <c r="C17">
        <v>1010</v>
      </c>
      <c r="D17">
        <v>589</v>
      </c>
      <c r="E17">
        <v>0</v>
      </c>
      <c r="F17">
        <f t="shared" si="0"/>
        <v>0</v>
      </c>
      <c r="G17">
        <v>421</v>
      </c>
      <c r="H17">
        <v>174</v>
      </c>
      <c r="I17">
        <v>0</v>
      </c>
      <c r="J17">
        <f t="shared" si="1"/>
        <v>1</v>
      </c>
      <c r="K17">
        <v>246</v>
      </c>
      <c r="L17">
        <v>74</v>
      </c>
      <c r="M17">
        <v>36</v>
      </c>
      <c r="N17">
        <f t="shared" si="2"/>
        <v>25</v>
      </c>
      <c r="O17">
        <v>111</v>
      </c>
      <c r="P17">
        <v>18</v>
      </c>
      <c r="Q17">
        <v>17</v>
      </c>
      <c r="R17">
        <f t="shared" si="3"/>
        <v>23</v>
      </c>
      <c r="S17">
        <v>53</v>
      </c>
      <c r="T17">
        <v>10</v>
      </c>
      <c r="U17">
        <v>6</v>
      </c>
      <c r="V17">
        <f t="shared" si="4"/>
        <v>18</v>
      </c>
      <c r="W17">
        <v>19</v>
      </c>
      <c r="X17">
        <v>0</v>
      </c>
      <c r="Y17">
        <v>6</v>
      </c>
    </row>
    <row r="18" spans="1:25" x14ac:dyDescent="0.2">
      <c r="A18" t="s">
        <v>27</v>
      </c>
      <c r="B18" t="s">
        <v>24</v>
      </c>
      <c r="C18">
        <v>3801</v>
      </c>
      <c r="D18">
        <v>2983</v>
      </c>
      <c r="E18">
        <v>0</v>
      </c>
      <c r="F18">
        <f t="shared" si="0"/>
        <v>1</v>
      </c>
      <c r="G18">
        <v>817</v>
      </c>
      <c r="H18">
        <v>492</v>
      </c>
      <c r="I18">
        <v>0</v>
      </c>
      <c r="J18">
        <f t="shared" si="1"/>
        <v>0</v>
      </c>
      <c r="K18">
        <v>325</v>
      </c>
      <c r="L18">
        <v>130</v>
      </c>
      <c r="M18">
        <v>32</v>
      </c>
      <c r="N18">
        <f t="shared" si="2"/>
        <v>23</v>
      </c>
      <c r="O18">
        <v>140</v>
      </c>
      <c r="P18">
        <v>39</v>
      </c>
      <c r="Q18">
        <v>21</v>
      </c>
      <c r="R18">
        <f t="shared" si="3"/>
        <v>23</v>
      </c>
      <c r="S18">
        <v>57</v>
      </c>
      <c r="T18">
        <v>12</v>
      </c>
      <c r="U18">
        <v>14</v>
      </c>
      <c r="V18">
        <f t="shared" si="4"/>
        <v>12</v>
      </c>
      <c r="W18">
        <v>19</v>
      </c>
      <c r="X18">
        <v>1</v>
      </c>
      <c r="Y18">
        <v>4</v>
      </c>
    </row>
    <row r="19" spans="1:25" x14ac:dyDescent="0.2">
      <c r="A19" t="s">
        <v>27</v>
      </c>
      <c r="B19" t="s">
        <v>25</v>
      </c>
      <c r="C19">
        <v>6232</v>
      </c>
      <c r="D19">
        <v>3642</v>
      </c>
      <c r="E19">
        <v>0</v>
      </c>
      <c r="F19">
        <f t="shared" si="0"/>
        <v>0</v>
      </c>
      <c r="G19">
        <v>2590</v>
      </c>
      <c r="H19">
        <v>896</v>
      </c>
      <c r="I19">
        <v>0</v>
      </c>
      <c r="J19">
        <f t="shared" si="1"/>
        <v>3</v>
      </c>
      <c r="K19">
        <v>1691</v>
      </c>
      <c r="L19">
        <v>434</v>
      </c>
      <c r="M19">
        <v>151</v>
      </c>
      <c r="N19">
        <f t="shared" si="2"/>
        <v>143</v>
      </c>
      <c r="O19">
        <v>963</v>
      </c>
      <c r="P19">
        <v>188</v>
      </c>
      <c r="Q19">
        <v>98</v>
      </c>
      <c r="R19">
        <f t="shared" si="3"/>
        <v>151</v>
      </c>
      <c r="S19">
        <v>526</v>
      </c>
      <c r="T19">
        <v>62</v>
      </c>
      <c r="U19">
        <v>68</v>
      </c>
      <c r="V19">
        <f t="shared" si="4"/>
        <v>137</v>
      </c>
      <c r="W19">
        <v>259</v>
      </c>
      <c r="X19">
        <v>18</v>
      </c>
      <c r="Y19">
        <v>67</v>
      </c>
    </row>
    <row r="20" spans="1:25" x14ac:dyDescent="0.2">
      <c r="A20" t="s">
        <v>28</v>
      </c>
      <c r="B20" t="s">
        <v>20</v>
      </c>
      <c r="C20">
        <v>241</v>
      </c>
      <c r="D20">
        <v>23</v>
      </c>
      <c r="E20">
        <v>0</v>
      </c>
      <c r="F20">
        <f t="shared" si="0"/>
        <v>0</v>
      </c>
      <c r="G20">
        <v>218</v>
      </c>
      <c r="H20">
        <v>18</v>
      </c>
      <c r="I20">
        <v>0</v>
      </c>
      <c r="J20">
        <f t="shared" si="1"/>
        <v>0</v>
      </c>
      <c r="K20">
        <v>200</v>
      </c>
      <c r="L20">
        <v>14</v>
      </c>
      <c r="M20">
        <v>8</v>
      </c>
      <c r="N20">
        <f t="shared" si="2"/>
        <v>58</v>
      </c>
      <c r="O20">
        <v>120</v>
      </c>
      <c r="P20">
        <v>13</v>
      </c>
      <c r="Q20">
        <v>6</v>
      </c>
      <c r="R20">
        <f t="shared" si="3"/>
        <v>30</v>
      </c>
      <c r="S20">
        <v>71</v>
      </c>
      <c r="T20">
        <v>4</v>
      </c>
      <c r="U20">
        <v>3</v>
      </c>
      <c r="V20">
        <f t="shared" si="4"/>
        <v>33</v>
      </c>
      <c r="W20">
        <v>31</v>
      </c>
      <c r="X20">
        <v>2</v>
      </c>
      <c r="Y20">
        <v>6</v>
      </c>
    </row>
    <row r="21" spans="1:25" x14ac:dyDescent="0.2">
      <c r="A21" t="s">
        <v>28</v>
      </c>
      <c r="B21" t="s">
        <v>21</v>
      </c>
      <c r="C21">
        <v>18875</v>
      </c>
      <c r="D21">
        <v>2377</v>
      </c>
      <c r="E21">
        <v>0</v>
      </c>
      <c r="F21">
        <f t="shared" si="0"/>
        <v>4</v>
      </c>
      <c r="G21">
        <v>16494</v>
      </c>
      <c r="H21">
        <v>2307</v>
      </c>
      <c r="I21">
        <v>0</v>
      </c>
      <c r="J21">
        <f t="shared" si="1"/>
        <v>8</v>
      </c>
      <c r="K21">
        <v>14179</v>
      </c>
      <c r="L21">
        <v>1537</v>
      </c>
      <c r="M21">
        <v>937</v>
      </c>
      <c r="N21">
        <f t="shared" si="2"/>
        <v>2827</v>
      </c>
      <c r="O21">
        <v>8878</v>
      </c>
      <c r="P21">
        <v>762</v>
      </c>
      <c r="Q21">
        <v>754</v>
      </c>
      <c r="R21">
        <f t="shared" si="3"/>
        <v>2368</v>
      </c>
      <c r="S21">
        <v>4994</v>
      </c>
      <c r="T21">
        <v>349</v>
      </c>
      <c r="U21">
        <v>557</v>
      </c>
      <c r="V21">
        <f t="shared" si="4"/>
        <v>1920</v>
      </c>
      <c r="W21">
        <v>2168</v>
      </c>
      <c r="X21">
        <v>120</v>
      </c>
      <c r="Y21">
        <v>490</v>
      </c>
    </row>
    <row r="22" spans="1:25" x14ac:dyDescent="0.2">
      <c r="A22" t="s">
        <v>28</v>
      </c>
      <c r="B22" t="s">
        <v>22</v>
      </c>
      <c r="C22">
        <v>8176</v>
      </c>
      <c r="D22">
        <v>2170</v>
      </c>
      <c r="E22">
        <v>0</v>
      </c>
      <c r="F22">
        <f t="shared" si="0"/>
        <v>4</v>
      </c>
      <c r="G22">
        <v>6002</v>
      </c>
      <c r="H22">
        <v>1475</v>
      </c>
      <c r="I22">
        <v>0</v>
      </c>
      <c r="J22">
        <f t="shared" si="1"/>
        <v>5</v>
      </c>
      <c r="K22">
        <v>4522</v>
      </c>
      <c r="L22">
        <v>713</v>
      </c>
      <c r="M22">
        <v>357</v>
      </c>
      <c r="N22">
        <f t="shared" si="2"/>
        <v>699</v>
      </c>
      <c r="O22">
        <v>2753</v>
      </c>
      <c r="P22">
        <v>354</v>
      </c>
      <c r="Q22">
        <v>273</v>
      </c>
      <c r="R22">
        <f t="shared" si="3"/>
        <v>618</v>
      </c>
      <c r="S22">
        <v>1508</v>
      </c>
      <c r="T22">
        <v>146</v>
      </c>
      <c r="U22">
        <v>211</v>
      </c>
      <c r="V22">
        <f t="shared" si="4"/>
        <v>528</v>
      </c>
      <c r="W22">
        <v>623</v>
      </c>
      <c r="X22">
        <v>39</v>
      </c>
      <c r="Y22">
        <v>151</v>
      </c>
    </row>
    <row r="23" spans="1:25" x14ac:dyDescent="0.2">
      <c r="A23" t="s">
        <v>28</v>
      </c>
      <c r="B23" t="s">
        <v>23</v>
      </c>
      <c r="C23">
        <v>21649</v>
      </c>
      <c r="D23">
        <v>10704</v>
      </c>
      <c r="E23">
        <v>0</v>
      </c>
      <c r="F23">
        <f t="shared" si="0"/>
        <v>22</v>
      </c>
      <c r="G23">
        <v>10923</v>
      </c>
      <c r="H23">
        <v>4659</v>
      </c>
      <c r="I23">
        <v>0</v>
      </c>
      <c r="J23">
        <f t="shared" si="1"/>
        <v>6</v>
      </c>
      <c r="K23">
        <v>6258</v>
      </c>
      <c r="L23">
        <v>1621</v>
      </c>
      <c r="M23">
        <v>649</v>
      </c>
      <c r="N23">
        <f t="shared" si="2"/>
        <v>803</v>
      </c>
      <c r="O23">
        <v>3185</v>
      </c>
      <c r="P23">
        <v>584</v>
      </c>
      <c r="Q23">
        <v>412</v>
      </c>
      <c r="R23">
        <f t="shared" si="3"/>
        <v>630</v>
      </c>
      <c r="S23">
        <v>1559</v>
      </c>
      <c r="T23">
        <v>206</v>
      </c>
      <c r="U23">
        <v>252</v>
      </c>
      <c r="V23">
        <f t="shared" si="4"/>
        <v>495</v>
      </c>
      <c r="W23">
        <v>606</v>
      </c>
      <c r="X23">
        <v>44</v>
      </c>
      <c r="Y23">
        <v>156</v>
      </c>
    </row>
    <row r="24" spans="1:25" x14ac:dyDescent="0.2">
      <c r="A24" t="s">
        <v>28</v>
      </c>
      <c r="B24" t="s">
        <v>24</v>
      </c>
      <c r="C24">
        <v>52465</v>
      </c>
      <c r="D24">
        <v>41977</v>
      </c>
      <c r="E24">
        <v>0</v>
      </c>
      <c r="F24">
        <f t="shared" si="0"/>
        <v>25</v>
      </c>
      <c r="G24">
        <v>10463</v>
      </c>
      <c r="H24">
        <v>5903</v>
      </c>
      <c r="I24">
        <v>0</v>
      </c>
      <c r="J24">
        <f t="shared" si="1"/>
        <v>7</v>
      </c>
      <c r="K24">
        <v>4553</v>
      </c>
      <c r="L24">
        <v>1537</v>
      </c>
      <c r="M24">
        <v>577</v>
      </c>
      <c r="N24">
        <f t="shared" si="2"/>
        <v>506</v>
      </c>
      <c r="O24">
        <v>1933</v>
      </c>
      <c r="P24">
        <v>477</v>
      </c>
      <c r="Q24">
        <v>287</v>
      </c>
      <c r="R24">
        <f t="shared" si="3"/>
        <v>359</v>
      </c>
      <c r="S24">
        <v>810</v>
      </c>
      <c r="T24">
        <v>116</v>
      </c>
      <c r="U24">
        <v>140</v>
      </c>
      <c r="V24">
        <f t="shared" si="4"/>
        <v>213</v>
      </c>
      <c r="W24">
        <v>341</v>
      </c>
      <c r="X24">
        <v>28</v>
      </c>
      <c r="Y24">
        <v>92</v>
      </c>
    </row>
    <row r="25" spans="1:25" x14ac:dyDescent="0.2">
      <c r="A25" t="s">
        <v>28</v>
      </c>
      <c r="B25" t="s">
        <v>25</v>
      </c>
      <c r="C25">
        <v>5714</v>
      </c>
      <c r="D25">
        <v>3894</v>
      </c>
      <c r="E25">
        <v>0</v>
      </c>
      <c r="F25">
        <f t="shared" si="0"/>
        <v>1</v>
      </c>
      <c r="G25">
        <v>1819</v>
      </c>
      <c r="H25">
        <v>543</v>
      </c>
      <c r="I25">
        <v>0</v>
      </c>
      <c r="J25">
        <f t="shared" si="1"/>
        <v>0</v>
      </c>
      <c r="K25">
        <v>1276</v>
      </c>
      <c r="L25">
        <v>207</v>
      </c>
      <c r="M25">
        <v>95</v>
      </c>
      <c r="N25">
        <f t="shared" si="2"/>
        <v>154</v>
      </c>
      <c r="O25">
        <v>820</v>
      </c>
      <c r="P25">
        <v>96</v>
      </c>
      <c r="Q25">
        <v>61</v>
      </c>
      <c r="R25">
        <f t="shared" si="3"/>
        <v>149</v>
      </c>
      <c r="S25">
        <v>514</v>
      </c>
      <c r="T25">
        <v>57</v>
      </c>
      <c r="U25">
        <v>53</v>
      </c>
      <c r="V25">
        <f t="shared" si="4"/>
        <v>150</v>
      </c>
      <c r="W25">
        <v>254</v>
      </c>
      <c r="X25">
        <v>9</v>
      </c>
      <c r="Y25">
        <v>54</v>
      </c>
    </row>
    <row r="26" spans="1:25" x14ac:dyDescent="0.2">
      <c r="A26" t="s">
        <v>29</v>
      </c>
      <c r="B26" t="s">
        <v>21</v>
      </c>
      <c r="C26">
        <v>5534</v>
      </c>
      <c r="D26">
        <v>486</v>
      </c>
      <c r="E26">
        <v>0</v>
      </c>
      <c r="F26">
        <f t="shared" si="0"/>
        <v>1</v>
      </c>
      <c r="G26">
        <v>5047</v>
      </c>
      <c r="H26">
        <v>258</v>
      </c>
      <c r="I26">
        <v>0</v>
      </c>
      <c r="J26">
        <f t="shared" si="1"/>
        <v>0</v>
      </c>
      <c r="K26">
        <v>4789</v>
      </c>
      <c r="L26">
        <v>137</v>
      </c>
      <c r="M26">
        <v>134</v>
      </c>
      <c r="N26">
        <f t="shared" si="2"/>
        <v>1096</v>
      </c>
      <c r="O26">
        <v>3422</v>
      </c>
      <c r="P26">
        <v>104</v>
      </c>
      <c r="Q26">
        <v>108</v>
      </c>
      <c r="R26">
        <f t="shared" si="3"/>
        <v>980</v>
      </c>
      <c r="S26">
        <v>2230</v>
      </c>
      <c r="T26">
        <v>66</v>
      </c>
      <c r="U26">
        <v>144</v>
      </c>
      <c r="V26">
        <f t="shared" si="4"/>
        <v>988</v>
      </c>
      <c r="W26">
        <v>1032</v>
      </c>
      <c r="X26">
        <v>31</v>
      </c>
      <c r="Y26">
        <v>118</v>
      </c>
    </row>
    <row r="27" spans="1:25" x14ac:dyDescent="0.2">
      <c r="A27" t="s">
        <v>29</v>
      </c>
      <c r="B27" t="s">
        <v>22</v>
      </c>
      <c r="C27">
        <v>4107</v>
      </c>
      <c r="D27">
        <v>483</v>
      </c>
      <c r="E27">
        <v>0</v>
      </c>
      <c r="F27">
        <f t="shared" si="0"/>
        <v>1</v>
      </c>
      <c r="G27">
        <v>3623</v>
      </c>
      <c r="H27">
        <v>215</v>
      </c>
      <c r="I27">
        <v>0</v>
      </c>
      <c r="J27">
        <f t="shared" si="1"/>
        <v>1</v>
      </c>
      <c r="K27">
        <v>3407</v>
      </c>
      <c r="L27">
        <v>108</v>
      </c>
      <c r="M27">
        <v>84</v>
      </c>
      <c r="N27">
        <f t="shared" si="2"/>
        <v>696</v>
      </c>
      <c r="O27">
        <v>2519</v>
      </c>
      <c r="P27">
        <v>86</v>
      </c>
      <c r="Q27">
        <v>97</v>
      </c>
      <c r="R27">
        <f t="shared" si="3"/>
        <v>760</v>
      </c>
      <c r="S27">
        <v>1576</v>
      </c>
      <c r="T27">
        <v>48</v>
      </c>
      <c r="U27">
        <v>80</v>
      </c>
      <c r="V27">
        <f t="shared" si="4"/>
        <v>726</v>
      </c>
      <c r="W27">
        <v>722</v>
      </c>
      <c r="X27">
        <v>12</v>
      </c>
      <c r="Y27">
        <v>94</v>
      </c>
    </row>
    <row r="28" spans="1:25" x14ac:dyDescent="0.2">
      <c r="A28" t="s">
        <v>29</v>
      </c>
      <c r="B28" t="s">
        <v>23</v>
      </c>
      <c r="C28">
        <v>5908</v>
      </c>
      <c r="D28">
        <v>947</v>
      </c>
      <c r="E28">
        <v>0</v>
      </c>
      <c r="F28">
        <f t="shared" si="0"/>
        <v>3</v>
      </c>
      <c r="G28">
        <v>4958</v>
      </c>
      <c r="H28">
        <v>440</v>
      </c>
      <c r="I28">
        <v>0</v>
      </c>
      <c r="J28">
        <f t="shared" si="1"/>
        <v>2</v>
      </c>
      <c r="K28">
        <v>4516</v>
      </c>
      <c r="L28">
        <v>224</v>
      </c>
      <c r="M28">
        <v>160</v>
      </c>
      <c r="N28">
        <f t="shared" si="2"/>
        <v>1012</v>
      </c>
      <c r="O28">
        <v>3120</v>
      </c>
      <c r="P28">
        <v>113</v>
      </c>
      <c r="Q28">
        <v>160</v>
      </c>
      <c r="R28">
        <f t="shared" si="3"/>
        <v>957</v>
      </c>
      <c r="S28">
        <v>1890</v>
      </c>
      <c r="T28">
        <v>72</v>
      </c>
      <c r="U28">
        <v>138</v>
      </c>
      <c r="V28">
        <f t="shared" si="4"/>
        <v>838</v>
      </c>
      <c r="W28">
        <v>842</v>
      </c>
      <c r="X28">
        <v>26</v>
      </c>
      <c r="Y28">
        <v>118</v>
      </c>
    </row>
    <row r="29" spans="1:25" x14ac:dyDescent="0.2">
      <c r="A29" t="s">
        <v>29</v>
      </c>
      <c r="B29" t="s">
        <v>24</v>
      </c>
      <c r="C29">
        <v>13966</v>
      </c>
      <c r="D29">
        <v>3189</v>
      </c>
      <c r="E29">
        <v>0</v>
      </c>
      <c r="F29">
        <f t="shared" si="0"/>
        <v>6</v>
      </c>
      <c r="G29">
        <v>10771</v>
      </c>
      <c r="H29">
        <v>1021</v>
      </c>
      <c r="I29">
        <v>0</v>
      </c>
      <c r="J29">
        <f t="shared" si="1"/>
        <v>3</v>
      </c>
      <c r="K29">
        <v>9747</v>
      </c>
      <c r="L29">
        <v>536</v>
      </c>
      <c r="M29">
        <v>402</v>
      </c>
      <c r="N29">
        <f t="shared" si="2"/>
        <v>2130</v>
      </c>
      <c r="O29">
        <v>6679</v>
      </c>
      <c r="P29">
        <v>287</v>
      </c>
      <c r="Q29">
        <v>351</v>
      </c>
      <c r="R29">
        <f t="shared" si="3"/>
        <v>1959</v>
      </c>
      <c r="S29">
        <v>4082</v>
      </c>
      <c r="T29">
        <v>166</v>
      </c>
      <c r="U29">
        <v>294</v>
      </c>
      <c r="V29">
        <f t="shared" si="4"/>
        <v>1834</v>
      </c>
      <c r="W29">
        <v>1788</v>
      </c>
      <c r="X29">
        <v>50</v>
      </c>
      <c r="Y29">
        <v>256</v>
      </c>
    </row>
    <row r="30" spans="1:25" x14ac:dyDescent="0.2">
      <c r="A30" t="s">
        <v>29</v>
      </c>
      <c r="B30" t="s">
        <v>25</v>
      </c>
      <c r="C30">
        <v>5878</v>
      </c>
      <c r="D30">
        <v>1351</v>
      </c>
      <c r="E30">
        <v>0</v>
      </c>
      <c r="F30">
        <f t="shared" si="0"/>
        <v>3</v>
      </c>
      <c r="G30">
        <v>4524</v>
      </c>
      <c r="H30">
        <v>364</v>
      </c>
      <c r="I30">
        <v>0</v>
      </c>
      <c r="J30">
        <f t="shared" si="1"/>
        <v>1</v>
      </c>
      <c r="K30">
        <v>4159</v>
      </c>
      <c r="L30">
        <v>198</v>
      </c>
      <c r="M30">
        <v>121</v>
      </c>
      <c r="N30">
        <f t="shared" si="2"/>
        <v>723</v>
      </c>
      <c r="O30">
        <v>3117</v>
      </c>
      <c r="P30">
        <v>129</v>
      </c>
      <c r="Q30">
        <v>137</v>
      </c>
      <c r="R30">
        <f t="shared" si="3"/>
        <v>746</v>
      </c>
      <c r="S30">
        <v>2105</v>
      </c>
      <c r="T30">
        <v>75</v>
      </c>
      <c r="U30">
        <v>162</v>
      </c>
      <c r="V30">
        <f t="shared" si="4"/>
        <v>751</v>
      </c>
      <c r="W30">
        <v>1117</v>
      </c>
      <c r="X30">
        <v>30</v>
      </c>
      <c r="Y30">
        <v>162</v>
      </c>
    </row>
    <row r="31" spans="1:25" x14ac:dyDescent="0.2">
      <c r="A31" t="s">
        <v>30</v>
      </c>
      <c r="B31" t="s">
        <v>20</v>
      </c>
      <c r="C31">
        <v>1250</v>
      </c>
      <c r="D31">
        <v>85</v>
      </c>
      <c r="E31">
        <v>0</v>
      </c>
      <c r="F31">
        <f t="shared" si="0"/>
        <v>0</v>
      </c>
      <c r="G31">
        <v>1165</v>
      </c>
      <c r="H31">
        <v>74</v>
      </c>
      <c r="I31">
        <v>0</v>
      </c>
      <c r="J31">
        <f t="shared" si="1"/>
        <v>1</v>
      </c>
      <c r="K31">
        <v>1090</v>
      </c>
      <c r="L31">
        <v>48</v>
      </c>
      <c r="M31">
        <v>46</v>
      </c>
      <c r="N31">
        <f t="shared" si="2"/>
        <v>237</v>
      </c>
      <c r="O31">
        <v>759</v>
      </c>
      <c r="P31">
        <v>28</v>
      </c>
      <c r="Q31">
        <v>34</v>
      </c>
      <c r="R31">
        <f t="shared" si="3"/>
        <v>222</v>
      </c>
      <c r="S31">
        <v>475</v>
      </c>
      <c r="T31">
        <v>14</v>
      </c>
      <c r="U31">
        <v>37</v>
      </c>
      <c r="V31">
        <f t="shared" si="4"/>
        <v>201</v>
      </c>
      <c r="W31">
        <v>223</v>
      </c>
      <c r="X31">
        <v>7</v>
      </c>
      <c r="Y31">
        <v>35</v>
      </c>
    </row>
    <row r="32" spans="1:25" x14ac:dyDescent="0.2">
      <c r="A32" t="s">
        <v>30</v>
      </c>
      <c r="B32" t="s">
        <v>21</v>
      </c>
      <c r="C32">
        <v>2118</v>
      </c>
      <c r="D32">
        <v>317</v>
      </c>
      <c r="E32">
        <v>0</v>
      </c>
      <c r="F32">
        <f t="shared" si="0"/>
        <v>1</v>
      </c>
      <c r="G32">
        <v>1800</v>
      </c>
      <c r="H32">
        <v>277</v>
      </c>
      <c r="I32">
        <v>0</v>
      </c>
      <c r="J32">
        <f t="shared" si="1"/>
        <v>0</v>
      </c>
      <c r="K32">
        <v>1523</v>
      </c>
      <c r="L32">
        <v>170</v>
      </c>
      <c r="M32">
        <v>86</v>
      </c>
      <c r="N32">
        <f t="shared" si="2"/>
        <v>299</v>
      </c>
      <c r="O32">
        <v>968</v>
      </c>
      <c r="P32">
        <v>73</v>
      </c>
      <c r="Q32">
        <v>67</v>
      </c>
      <c r="R32">
        <f t="shared" si="3"/>
        <v>236</v>
      </c>
      <c r="S32">
        <v>592</v>
      </c>
      <c r="T32">
        <v>39</v>
      </c>
      <c r="U32">
        <v>48</v>
      </c>
      <c r="V32">
        <f t="shared" si="4"/>
        <v>238</v>
      </c>
      <c r="W32">
        <v>267</v>
      </c>
      <c r="X32">
        <v>11</v>
      </c>
      <c r="Y32">
        <v>44</v>
      </c>
    </row>
    <row r="33" spans="1:25" x14ac:dyDescent="0.2">
      <c r="A33" t="s">
        <v>30</v>
      </c>
      <c r="B33" t="s">
        <v>22</v>
      </c>
      <c r="C33">
        <v>2789</v>
      </c>
      <c r="D33">
        <v>749</v>
      </c>
      <c r="E33">
        <v>0</v>
      </c>
      <c r="F33">
        <f t="shared" si="0"/>
        <v>2</v>
      </c>
      <c r="G33">
        <v>2038</v>
      </c>
      <c r="H33">
        <v>602</v>
      </c>
      <c r="I33">
        <v>0</v>
      </c>
      <c r="J33">
        <f t="shared" si="1"/>
        <v>1</v>
      </c>
      <c r="K33">
        <v>1435</v>
      </c>
      <c r="L33">
        <v>266</v>
      </c>
      <c r="M33">
        <v>101</v>
      </c>
      <c r="N33">
        <f t="shared" si="2"/>
        <v>225</v>
      </c>
      <c r="O33">
        <v>843</v>
      </c>
      <c r="P33">
        <v>104</v>
      </c>
      <c r="Q33">
        <v>62</v>
      </c>
      <c r="R33">
        <f t="shared" si="3"/>
        <v>184</v>
      </c>
      <c r="S33">
        <v>493</v>
      </c>
      <c r="T33">
        <v>36</v>
      </c>
      <c r="U33">
        <v>40</v>
      </c>
      <c r="V33">
        <f t="shared" si="4"/>
        <v>199</v>
      </c>
      <c r="W33">
        <v>218</v>
      </c>
      <c r="X33">
        <v>9</v>
      </c>
      <c r="Y33">
        <v>34</v>
      </c>
    </row>
    <row r="34" spans="1:25" x14ac:dyDescent="0.2">
      <c r="A34" t="s">
        <v>30</v>
      </c>
      <c r="B34" t="s">
        <v>23</v>
      </c>
      <c r="C34">
        <v>6878</v>
      </c>
      <c r="D34">
        <v>2842</v>
      </c>
      <c r="E34">
        <v>0</v>
      </c>
      <c r="F34">
        <f t="shared" si="0"/>
        <v>7</v>
      </c>
      <c r="G34">
        <v>4029</v>
      </c>
      <c r="H34">
        <v>1694</v>
      </c>
      <c r="I34">
        <v>0</v>
      </c>
      <c r="J34">
        <f t="shared" si="1"/>
        <v>2</v>
      </c>
      <c r="K34">
        <v>2333</v>
      </c>
      <c r="L34">
        <v>559</v>
      </c>
      <c r="M34">
        <v>184</v>
      </c>
      <c r="N34">
        <f t="shared" si="2"/>
        <v>310</v>
      </c>
      <c r="O34">
        <v>1280</v>
      </c>
      <c r="P34">
        <v>198</v>
      </c>
      <c r="Q34">
        <v>107</v>
      </c>
      <c r="R34">
        <f t="shared" si="3"/>
        <v>291</v>
      </c>
      <c r="S34">
        <v>684</v>
      </c>
      <c r="T34">
        <v>65</v>
      </c>
      <c r="U34">
        <v>66</v>
      </c>
      <c r="V34">
        <f t="shared" si="4"/>
        <v>260</v>
      </c>
      <c r="W34">
        <v>293</v>
      </c>
      <c r="X34">
        <v>12</v>
      </c>
      <c r="Y34">
        <v>59</v>
      </c>
    </row>
    <row r="35" spans="1:25" x14ac:dyDescent="0.2">
      <c r="A35" t="s">
        <v>30</v>
      </c>
      <c r="B35" t="s">
        <v>24</v>
      </c>
      <c r="C35">
        <v>7068</v>
      </c>
      <c r="D35">
        <v>5430</v>
      </c>
      <c r="E35">
        <v>0</v>
      </c>
      <c r="F35">
        <f t="shared" si="0"/>
        <v>5</v>
      </c>
      <c r="G35">
        <v>1633</v>
      </c>
      <c r="H35">
        <v>1109</v>
      </c>
      <c r="I35">
        <v>0</v>
      </c>
      <c r="J35">
        <f t="shared" si="1"/>
        <v>0</v>
      </c>
      <c r="K35">
        <v>524</v>
      </c>
      <c r="L35">
        <v>237</v>
      </c>
      <c r="M35">
        <v>59</v>
      </c>
      <c r="N35">
        <f t="shared" si="2"/>
        <v>32</v>
      </c>
      <c r="O35">
        <v>196</v>
      </c>
      <c r="P35">
        <v>49</v>
      </c>
      <c r="Q35">
        <v>24</v>
      </c>
      <c r="R35">
        <f t="shared" si="3"/>
        <v>31</v>
      </c>
      <c r="S35">
        <v>92</v>
      </c>
      <c r="T35">
        <v>8</v>
      </c>
      <c r="U35">
        <v>15</v>
      </c>
      <c r="V35">
        <f t="shared" si="4"/>
        <v>31</v>
      </c>
      <c r="W35">
        <v>38</v>
      </c>
      <c r="X35">
        <v>4</v>
      </c>
      <c r="Y35">
        <v>7</v>
      </c>
    </row>
    <row r="36" spans="1:25" x14ac:dyDescent="0.2">
      <c r="A36" t="s">
        <v>30</v>
      </c>
      <c r="B36" t="s">
        <v>25</v>
      </c>
      <c r="C36">
        <v>2171</v>
      </c>
      <c r="D36">
        <v>1230</v>
      </c>
      <c r="E36">
        <v>0</v>
      </c>
      <c r="F36">
        <f t="shared" si="0"/>
        <v>4</v>
      </c>
      <c r="G36">
        <v>937</v>
      </c>
      <c r="H36">
        <v>316</v>
      </c>
      <c r="I36">
        <v>0</v>
      </c>
      <c r="J36">
        <f t="shared" si="1"/>
        <v>0</v>
      </c>
      <c r="K36">
        <v>621</v>
      </c>
      <c r="L36">
        <v>108</v>
      </c>
      <c r="M36">
        <v>31</v>
      </c>
      <c r="N36">
        <f t="shared" si="2"/>
        <v>87</v>
      </c>
      <c r="O36">
        <v>395</v>
      </c>
      <c r="P36">
        <v>49</v>
      </c>
      <c r="Q36">
        <v>23</v>
      </c>
      <c r="R36">
        <f t="shared" si="3"/>
        <v>95</v>
      </c>
      <c r="S36">
        <v>228</v>
      </c>
      <c r="T36">
        <v>16</v>
      </c>
      <c r="U36">
        <v>26</v>
      </c>
      <c r="V36">
        <f t="shared" si="4"/>
        <v>82</v>
      </c>
      <c r="W36">
        <v>104</v>
      </c>
      <c r="X36">
        <v>5</v>
      </c>
      <c r="Y36">
        <v>13</v>
      </c>
    </row>
    <row r="37" spans="1:25" x14ac:dyDescent="0.2">
      <c r="A37" t="s">
        <v>31</v>
      </c>
      <c r="B37" t="s">
        <v>20</v>
      </c>
      <c r="C37">
        <v>74</v>
      </c>
      <c r="D37">
        <v>0</v>
      </c>
      <c r="E37">
        <v>0</v>
      </c>
      <c r="F37">
        <f t="shared" si="0"/>
        <v>0</v>
      </c>
      <c r="G37">
        <v>74</v>
      </c>
      <c r="H37">
        <v>5</v>
      </c>
      <c r="I37">
        <v>0</v>
      </c>
      <c r="J37">
        <f t="shared" si="1"/>
        <v>0</v>
      </c>
      <c r="K37">
        <v>69</v>
      </c>
      <c r="L37">
        <v>2</v>
      </c>
      <c r="M37">
        <v>0</v>
      </c>
      <c r="N37">
        <f t="shared" si="2"/>
        <v>22</v>
      </c>
      <c r="O37">
        <v>45</v>
      </c>
      <c r="P37">
        <v>1</v>
      </c>
      <c r="Q37">
        <v>1</v>
      </c>
      <c r="R37">
        <f t="shared" si="3"/>
        <v>19</v>
      </c>
      <c r="S37">
        <v>24</v>
      </c>
      <c r="T37">
        <v>0</v>
      </c>
      <c r="U37">
        <v>1</v>
      </c>
      <c r="V37">
        <f t="shared" si="4"/>
        <v>10</v>
      </c>
      <c r="W37">
        <v>13</v>
      </c>
      <c r="X37">
        <v>0</v>
      </c>
      <c r="Y37">
        <v>2</v>
      </c>
    </row>
    <row r="38" spans="1:25" x14ac:dyDescent="0.2">
      <c r="A38" t="s">
        <v>31</v>
      </c>
      <c r="B38" t="s">
        <v>21</v>
      </c>
      <c r="C38">
        <v>4558</v>
      </c>
      <c r="D38">
        <v>106</v>
      </c>
      <c r="E38">
        <v>0</v>
      </c>
      <c r="F38">
        <f t="shared" si="0"/>
        <v>0</v>
      </c>
      <c r="G38">
        <v>4452</v>
      </c>
      <c r="H38">
        <v>107</v>
      </c>
      <c r="I38">
        <v>0</v>
      </c>
      <c r="J38">
        <f t="shared" si="1"/>
        <v>0</v>
      </c>
      <c r="K38">
        <v>4345</v>
      </c>
      <c r="L38">
        <v>115</v>
      </c>
      <c r="M38">
        <v>52</v>
      </c>
      <c r="N38">
        <f t="shared" si="2"/>
        <v>1003</v>
      </c>
      <c r="O38">
        <v>3175</v>
      </c>
      <c r="P38">
        <v>63</v>
      </c>
      <c r="Q38">
        <v>62</v>
      </c>
      <c r="R38">
        <f t="shared" si="3"/>
        <v>939</v>
      </c>
      <c r="S38">
        <v>2111</v>
      </c>
      <c r="T38">
        <v>55</v>
      </c>
      <c r="U38">
        <v>82</v>
      </c>
      <c r="V38">
        <f t="shared" si="4"/>
        <v>951</v>
      </c>
      <c r="W38">
        <v>1023</v>
      </c>
      <c r="X38">
        <v>13</v>
      </c>
      <c r="Y38">
        <v>93</v>
      </c>
    </row>
    <row r="39" spans="1:25" x14ac:dyDescent="0.2">
      <c r="A39" t="s">
        <v>31</v>
      </c>
      <c r="B39" t="s">
        <v>22</v>
      </c>
      <c r="C39">
        <v>1054</v>
      </c>
      <c r="D39">
        <v>77</v>
      </c>
      <c r="E39">
        <v>0</v>
      </c>
      <c r="F39">
        <f t="shared" si="0"/>
        <v>0</v>
      </c>
      <c r="G39">
        <v>977</v>
      </c>
      <c r="H39">
        <v>72</v>
      </c>
      <c r="I39">
        <v>0</v>
      </c>
      <c r="J39">
        <f t="shared" si="1"/>
        <v>1</v>
      </c>
      <c r="K39">
        <v>904</v>
      </c>
      <c r="L39">
        <v>52</v>
      </c>
      <c r="M39">
        <v>48</v>
      </c>
      <c r="N39">
        <f t="shared" si="2"/>
        <v>170</v>
      </c>
      <c r="O39">
        <v>634</v>
      </c>
      <c r="P39">
        <v>41</v>
      </c>
      <c r="Q39">
        <v>37</v>
      </c>
      <c r="R39">
        <f t="shared" si="3"/>
        <v>181</v>
      </c>
      <c r="S39">
        <v>375</v>
      </c>
      <c r="T39">
        <v>22</v>
      </c>
      <c r="U39">
        <v>36</v>
      </c>
      <c r="V39">
        <f t="shared" si="4"/>
        <v>147</v>
      </c>
      <c r="W39">
        <v>170</v>
      </c>
      <c r="X39">
        <v>15</v>
      </c>
      <c r="Y39">
        <v>17</v>
      </c>
    </row>
    <row r="40" spans="1:25" x14ac:dyDescent="0.2">
      <c r="A40" t="s">
        <v>31</v>
      </c>
      <c r="B40" t="s">
        <v>23</v>
      </c>
      <c r="C40">
        <v>6434</v>
      </c>
      <c r="D40">
        <v>1410</v>
      </c>
      <c r="E40">
        <v>0</v>
      </c>
      <c r="F40">
        <f t="shared" si="0"/>
        <v>5</v>
      </c>
      <c r="G40">
        <v>5019</v>
      </c>
      <c r="H40">
        <v>1145</v>
      </c>
      <c r="I40">
        <v>0</v>
      </c>
      <c r="J40">
        <f t="shared" si="1"/>
        <v>2</v>
      </c>
      <c r="K40">
        <v>3872</v>
      </c>
      <c r="L40">
        <v>815</v>
      </c>
      <c r="M40">
        <v>364</v>
      </c>
      <c r="N40">
        <f t="shared" si="2"/>
        <v>460</v>
      </c>
      <c r="O40">
        <v>2233</v>
      </c>
      <c r="P40">
        <v>402</v>
      </c>
      <c r="Q40">
        <v>269</v>
      </c>
      <c r="R40">
        <f t="shared" si="3"/>
        <v>410</v>
      </c>
      <c r="S40">
        <v>1152</v>
      </c>
      <c r="T40">
        <v>171</v>
      </c>
      <c r="U40">
        <v>220</v>
      </c>
      <c r="V40">
        <f t="shared" si="4"/>
        <v>340</v>
      </c>
      <c r="W40">
        <v>421</v>
      </c>
      <c r="X40">
        <v>41</v>
      </c>
      <c r="Y40">
        <v>109</v>
      </c>
    </row>
    <row r="41" spans="1:25" x14ac:dyDescent="0.2">
      <c r="A41" t="s">
        <v>31</v>
      </c>
      <c r="B41" t="s">
        <v>24</v>
      </c>
      <c r="C41">
        <v>3594</v>
      </c>
      <c r="D41">
        <v>1414</v>
      </c>
      <c r="E41">
        <v>0</v>
      </c>
      <c r="F41">
        <f t="shared" si="0"/>
        <v>2</v>
      </c>
      <c r="G41">
        <v>2178</v>
      </c>
      <c r="H41">
        <v>713</v>
      </c>
      <c r="I41">
        <v>0</v>
      </c>
      <c r="J41">
        <f t="shared" si="1"/>
        <v>2</v>
      </c>
      <c r="K41">
        <v>1463</v>
      </c>
      <c r="L41">
        <v>407</v>
      </c>
      <c r="M41">
        <v>160</v>
      </c>
      <c r="N41">
        <f t="shared" si="2"/>
        <v>150</v>
      </c>
      <c r="O41">
        <v>746</v>
      </c>
      <c r="P41">
        <v>151</v>
      </c>
      <c r="Q41">
        <v>118</v>
      </c>
      <c r="R41">
        <f t="shared" si="3"/>
        <v>110</v>
      </c>
      <c r="S41">
        <v>367</v>
      </c>
      <c r="T41">
        <v>75</v>
      </c>
      <c r="U41">
        <v>58</v>
      </c>
      <c r="V41">
        <f t="shared" si="4"/>
        <v>92</v>
      </c>
      <c r="W41">
        <v>142</v>
      </c>
      <c r="X41">
        <v>17</v>
      </c>
      <c r="Y41">
        <v>44</v>
      </c>
    </row>
    <row r="42" spans="1:25" x14ac:dyDescent="0.2">
      <c r="A42" t="s">
        <v>31</v>
      </c>
      <c r="B42" t="s">
        <v>25</v>
      </c>
      <c r="C42">
        <v>2124</v>
      </c>
      <c r="D42">
        <v>807</v>
      </c>
      <c r="E42">
        <v>0</v>
      </c>
      <c r="F42">
        <f t="shared" si="0"/>
        <v>0</v>
      </c>
      <c r="G42">
        <v>1317</v>
      </c>
      <c r="H42">
        <v>194</v>
      </c>
      <c r="I42">
        <v>0</v>
      </c>
      <c r="J42">
        <f t="shared" si="1"/>
        <v>0</v>
      </c>
      <c r="K42">
        <v>1123</v>
      </c>
      <c r="L42">
        <v>104</v>
      </c>
      <c r="M42">
        <v>46</v>
      </c>
      <c r="N42">
        <f t="shared" si="2"/>
        <v>211</v>
      </c>
      <c r="O42">
        <v>762</v>
      </c>
      <c r="P42">
        <v>70</v>
      </c>
      <c r="Q42">
        <v>32</v>
      </c>
      <c r="R42">
        <f t="shared" si="3"/>
        <v>170</v>
      </c>
      <c r="S42">
        <v>490</v>
      </c>
      <c r="T42">
        <v>24</v>
      </c>
      <c r="U42">
        <v>34</v>
      </c>
      <c r="V42">
        <f t="shared" si="4"/>
        <v>150</v>
      </c>
      <c r="W42">
        <v>282</v>
      </c>
      <c r="X42">
        <v>12</v>
      </c>
      <c r="Y42">
        <v>40</v>
      </c>
    </row>
    <row r="43" spans="1:25" x14ac:dyDescent="0.2">
      <c r="A43" t="s">
        <v>32</v>
      </c>
      <c r="B43" t="s">
        <v>20</v>
      </c>
      <c r="C43">
        <v>137</v>
      </c>
      <c r="D43">
        <v>24</v>
      </c>
      <c r="E43">
        <v>0</v>
      </c>
      <c r="F43">
        <f t="shared" si="0"/>
        <v>0</v>
      </c>
      <c r="G43">
        <v>113</v>
      </c>
      <c r="H43">
        <v>12</v>
      </c>
      <c r="I43">
        <v>0</v>
      </c>
      <c r="J43">
        <f t="shared" si="1"/>
        <v>0</v>
      </c>
      <c r="K43">
        <v>101</v>
      </c>
      <c r="L43">
        <v>6</v>
      </c>
      <c r="M43">
        <v>2</v>
      </c>
      <c r="N43">
        <f t="shared" si="2"/>
        <v>28</v>
      </c>
      <c r="O43">
        <v>65</v>
      </c>
      <c r="P43">
        <v>4</v>
      </c>
      <c r="Q43">
        <v>2</v>
      </c>
      <c r="R43">
        <f t="shared" si="3"/>
        <v>23</v>
      </c>
      <c r="S43">
        <v>36</v>
      </c>
      <c r="T43">
        <v>1</v>
      </c>
      <c r="U43">
        <v>3</v>
      </c>
      <c r="V43">
        <f t="shared" si="4"/>
        <v>17</v>
      </c>
      <c r="W43">
        <v>15</v>
      </c>
      <c r="X43">
        <v>1</v>
      </c>
      <c r="Y43">
        <v>0</v>
      </c>
    </row>
    <row r="44" spans="1:25" x14ac:dyDescent="0.2">
      <c r="A44" t="s">
        <v>32</v>
      </c>
      <c r="B44" t="s">
        <v>21</v>
      </c>
      <c r="C44">
        <v>1128</v>
      </c>
      <c r="D44">
        <v>489</v>
      </c>
      <c r="E44">
        <v>0</v>
      </c>
      <c r="F44">
        <f t="shared" si="0"/>
        <v>2</v>
      </c>
      <c r="G44">
        <v>637</v>
      </c>
      <c r="H44">
        <v>207</v>
      </c>
      <c r="I44">
        <v>0</v>
      </c>
      <c r="J44">
        <f t="shared" si="1"/>
        <v>0</v>
      </c>
      <c r="K44">
        <v>430</v>
      </c>
      <c r="L44">
        <v>53</v>
      </c>
      <c r="M44">
        <v>30</v>
      </c>
      <c r="N44">
        <f t="shared" si="2"/>
        <v>97</v>
      </c>
      <c r="O44">
        <v>250</v>
      </c>
      <c r="P44">
        <v>11</v>
      </c>
      <c r="Q44">
        <v>9</v>
      </c>
      <c r="R44">
        <f t="shared" si="3"/>
        <v>81</v>
      </c>
      <c r="S44">
        <v>149</v>
      </c>
      <c r="T44">
        <v>6</v>
      </c>
      <c r="U44">
        <v>11</v>
      </c>
      <c r="V44">
        <f t="shared" si="4"/>
        <v>58</v>
      </c>
      <c r="W44">
        <v>74</v>
      </c>
      <c r="X44">
        <v>4</v>
      </c>
      <c r="Y44">
        <v>9</v>
      </c>
    </row>
    <row r="45" spans="1:25" x14ac:dyDescent="0.2">
      <c r="A45" t="s">
        <v>32</v>
      </c>
      <c r="B45" t="s">
        <v>22</v>
      </c>
      <c r="C45">
        <v>2989</v>
      </c>
      <c r="D45">
        <v>1147</v>
      </c>
      <c r="E45">
        <v>0</v>
      </c>
      <c r="F45">
        <f t="shared" si="0"/>
        <v>4</v>
      </c>
      <c r="G45">
        <v>1838</v>
      </c>
      <c r="H45">
        <v>765</v>
      </c>
      <c r="I45">
        <v>0</v>
      </c>
      <c r="J45">
        <f t="shared" si="1"/>
        <v>0</v>
      </c>
      <c r="K45">
        <v>1073</v>
      </c>
      <c r="L45">
        <v>300</v>
      </c>
      <c r="M45">
        <v>100</v>
      </c>
      <c r="N45">
        <f t="shared" si="2"/>
        <v>144</v>
      </c>
      <c r="O45">
        <v>529</v>
      </c>
      <c r="P45">
        <v>103</v>
      </c>
      <c r="Q45">
        <v>60</v>
      </c>
      <c r="R45">
        <f t="shared" si="3"/>
        <v>113</v>
      </c>
      <c r="S45">
        <v>253</v>
      </c>
      <c r="T45">
        <v>22</v>
      </c>
      <c r="U45">
        <v>42</v>
      </c>
      <c r="V45">
        <f t="shared" si="4"/>
        <v>87</v>
      </c>
      <c r="W45">
        <v>102</v>
      </c>
      <c r="X45">
        <v>9</v>
      </c>
      <c r="Y45">
        <v>26</v>
      </c>
    </row>
    <row r="46" spans="1:25" x14ac:dyDescent="0.2">
      <c r="A46" t="s">
        <v>32</v>
      </c>
      <c r="B46" t="s">
        <v>23</v>
      </c>
      <c r="C46">
        <v>2149</v>
      </c>
      <c r="D46">
        <v>1279</v>
      </c>
      <c r="E46">
        <v>0</v>
      </c>
      <c r="F46">
        <f t="shared" si="0"/>
        <v>3</v>
      </c>
      <c r="G46">
        <v>867</v>
      </c>
      <c r="H46">
        <v>507</v>
      </c>
      <c r="I46">
        <v>0</v>
      </c>
      <c r="J46">
        <f t="shared" si="1"/>
        <v>0</v>
      </c>
      <c r="K46">
        <v>360</v>
      </c>
      <c r="L46">
        <v>145</v>
      </c>
      <c r="M46">
        <v>37</v>
      </c>
      <c r="N46">
        <f t="shared" si="2"/>
        <v>44</v>
      </c>
      <c r="O46">
        <v>134</v>
      </c>
      <c r="P46">
        <v>27</v>
      </c>
      <c r="Q46">
        <v>15</v>
      </c>
      <c r="R46">
        <f t="shared" si="3"/>
        <v>39</v>
      </c>
      <c r="S46">
        <v>53</v>
      </c>
      <c r="T46">
        <v>7</v>
      </c>
      <c r="U46">
        <v>5</v>
      </c>
      <c r="V46">
        <f t="shared" si="4"/>
        <v>13</v>
      </c>
      <c r="W46">
        <v>28</v>
      </c>
      <c r="X46">
        <v>1</v>
      </c>
      <c r="Y46">
        <v>9</v>
      </c>
    </row>
    <row r="47" spans="1:25" x14ac:dyDescent="0.2">
      <c r="A47" t="s">
        <v>32</v>
      </c>
      <c r="B47" t="s">
        <v>24</v>
      </c>
      <c r="C47">
        <v>11935</v>
      </c>
      <c r="D47">
        <v>10550</v>
      </c>
      <c r="E47">
        <v>0</v>
      </c>
      <c r="F47">
        <f t="shared" si="0"/>
        <v>4</v>
      </c>
      <c r="G47">
        <v>1381</v>
      </c>
      <c r="H47">
        <v>865</v>
      </c>
      <c r="I47">
        <v>0</v>
      </c>
      <c r="J47">
        <f t="shared" si="1"/>
        <v>1</v>
      </c>
      <c r="K47">
        <v>515</v>
      </c>
      <c r="L47">
        <v>176</v>
      </c>
      <c r="M47">
        <v>57</v>
      </c>
      <c r="N47">
        <f t="shared" si="2"/>
        <v>54</v>
      </c>
      <c r="O47">
        <v>228</v>
      </c>
      <c r="P47">
        <v>54</v>
      </c>
      <c r="Q47">
        <v>19</v>
      </c>
      <c r="R47">
        <f t="shared" si="3"/>
        <v>46</v>
      </c>
      <c r="S47">
        <v>109</v>
      </c>
      <c r="T47">
        <v>14</v>
      </c>
      <c r="U47">
        <v>13</v>
      </c>
      <c r="V47">
        <f t="shared" si="4"/>
        <v>37</v>
      </c>
      <c r="W47">
        <v>45</v>
      </c>
      <c r="X47">
        <v>3</v>
      </c>
      <c r="Y47">
        <v>8</v>
      </c>
    </row>
    <row r="48" spans="1:25" x14ac:dyDescent="0.2">
      <c r="A48" t="s">
        <v>32</v>
      </c>
      <c r="B48" t="s">
        <v>25</v>
      </c>
      <c r="C48">
        <v>4090</v>
      </c>
      <c r="D48">
        <v>2752</v>
      </c>
      <c r="E48">
        <v>0</v>
      </c>
      <c r="F48">
        <f t="shared" si="0"/>
        <v>4</v>
      </c>
      <c r="G48">
        <v>1334</v>
      </c>
      <c r="H48">
        <v>584</v>
      </c>
      <c r="I48">
        <v>0</v>
      </c>
      <c r="J48">
        <f t="shared" si="1"/>
        <v>1</v>
      </c>
      <c r="K48">
        <v>749</v>
      </c>
      <c r="L48">
        <v>183</v>
      </c>
      <c r="M48">
        <v>61</v>
      </c>
      <c r="N48">
        <f t="shared" si="2"/>
        <v>88</v>
      </c>
      <c r="O48">
        <v>417</v>
      </c>
      <c r="P48">
        <v>56</v>
      </c>
      <c r="Q48">
        <v>26</v>
      </c>
      <c r="R48">
        <f t="shared" si="3"/>
        <v>80</v>
      </c>
      <c r="S48">
        <v>255</v>
      </c>
      <c r="T48">
        <v>26</v>
      </c>
      <c r="U48">
        <v>24</v>
      </c>
      <c r="V48">
        <f t="shared" si="4"/>
        <v>90</v>
      </c>
      <c r="W48">
        <v>115</v>
      </c>
      <c r="X48">
        <v>3</v>
      </c>
      <c r="Y48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N_censored_phase</vt:lpstr>
      <vt:lpstr>N_censored_annual</vt:lpstr>
      <vt:lpstr>N_censored_check</vt:lpstr>
      <vt:lpstr>N_censored_check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CLPE2</dc:creator>
  <cp:lastModifiedBy>David Jones</cp:lastModifiedBy>
  <dcterms:created xsi:type="dcterms:W3CDTF">2025-09-22T06:27:53Z</dcterms:created>
  <dcterms:modified xsi:type="dcterms:W3CDTF">2025-09-26T14:37:28Z</dcterms:modified>
</cp:coreProperties>
</file>