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jones/GalleriCEmodel/analyses/NICE_modifier/Excel model/Lung cancer results/"/>
    </mc:Choice>
  </mc:AlternateContent>
  <xr:revisionPtr revIDLastSave="0" documentId="8_{AE0B1A88-2326-A04E-A128-A9B848F24667}" xr6:coauthVersionLast="47" xr6:coauthVersionMax="47" xr10:uidLastSave="{00000000-0000-0000-0000-000000000000}"/>
  <bookViews>
    <workbookView xWindow="-29580" yWindow="-1260" windowWidth="28200" windowHeight="18380" activeTab="2" xr2:uid="{270BFCFA-21E3-C24A-82A0-8DDA04FE4EAD}"/>
  </bookViews>
  <sheets>
    <sheet name="Raw Lung Inc&amp;Surv" sheetId="11" r:id="rId1"/>
    <sheet name="Corrected Inc&amp;Surv" sheetId="12" r:id="rId2"/>
    <sheet name="AW calculator" sheetId="15" r:id="rId3"/>
    <sheet name="QALYsForUndiagnosedCancer" sheetId="13" r:id="rId4"/>
    <sheet name="Stage4to1" sheetId="1" r:id="rId5"/>
    <sheet name="Stage3to1" sheetId="2" r:id="rId6"/>
    <sheet name="Stage2to1" sheetId="3" r:id="rId7"/>
    <sheet name="Stage1to1" sheetId="4" r:id="rId8"/>
    <sheet name="Stage4to2" sheetId="5" r:id="rId9"/>
    <sheet name="Stage3to2" sheetId="6" r:id="rId10"/>
    <sheet name="Stage2to2" sheetId="7" r:id="rId11"/>
    <sheet name="Stage4to3" sheetId="8" r:id="rId12"/>
    <sheet name="Stage3to3" sheetId="9" r:id="rId13"/>
    <sheet name="Stage4to4" sheetId="10" r:id="rId14"/>
  </sheets>
  <externalReferences>
    <externalReference r:id="rId15"/>
    <externalReference r:id="rId16"/>
  </externalReferences>
  <definedNames>
    <definedName name="Age" localSheetId="2">'AW calculator'!$B$5</definedName>
    <definedName name="Age">'[2]AW calculator'!$B$5</definedName>
    <definedName name="cohortSize">[1]Parameters!$E$15</definedName>
    <definedName name="compliance">[1]Parameters!$E$112:$E$117</definedName>
    <definedName name="compliance.PostDiag">[1]Parameters!$E$118:$E$123</definedName>
    <definedName name="Disc" localSheetId="2">'AW calculator'!$B$3</definedName>
    <definedName name="Disc">'[2]AW calculator'!$B$3</definedName>
    <definedName name="discCost">[1]Parameters!$E$9</definedName>
    <definedName name="discHealth">[1]Parameters!$E$8</definedName>
    <definedName name="endAge">[1]Parameters!$E$12</definedName>
    <definedName name="Female" localSheetId="2">'AW calculator'!$B$4</definedName>
    <definedName name="Female">'[2]AW calculator'!$B$4</definedName>
    <definedName name="genPopUtility">[1]Parameters!$E$1783:$E$1792</definedName>
    <definedName name="iatrogenicHarmUtility">[1]Parameters!$E$1793</definedName>
    <definedName name="incidenceStage1">'[1]Intermediate Calcs'!$F$18:$AA$68</definedName>
    <definedName name="incidenceStage2">'[1]Intermediate Calcs'!$F$76:$AA$126</definedName>
    <definedName name="incidenceStage3">'[1]Intermediate Calcs'!$F$134:$AA$184</definedName>
    <definedName name="incidenceStage4">'[1]Intermediate Calcs'!$F$192:$AA$242</definedName>
    <definedName name="IncludeCancer">[1]Settings!$F$38:$F$59</definedName>
    <definedName name="lifetable" localSheetId="2">'AW calculator'!$A$9:$E$109</definedName>
    <definedName name="lifetable">'[2]AW calculator'!$A$9:$E$109</definedName>
    <definedName name="minAgeBand">[1]Parameters!$E$92:$E$101</definedName>
    <definedName name="percFemale">[1]Parameters!$E$14</definedName>
    <definedName name="rngPercIatrogenic">'[1]Survival Table'!$F$106:$CO$115</definedName>
    <definedName name="socCompliance">[1]Parameters!$E$46:$E$67</definedName>
    <definedName name="socSpecificity">[1]Parameters!$E$68:$E$89</definedName>
    <definedName name="socTestCosts">[1]Parameters!$E$24:$E$45</definedName>
    <definedName name="socTestEligibility">'[1]Intermediate Calcs'!$G$248:$G$269</definedName>
    <definedName name="startAge">[1]Parameters!$E$11</definedName>
    <definedName name="tblDeaths5y">'[1]Survival Table'!$F$25:$CO$34</definedName>
    <definedName name="tblSurvival">'[1]Survival Table'!$F$10:$CO$19</definedName>
    <definedName name="testCosts">[1]Parameters!$E$1118:$E$1121</definedName>
    <definedName name="testSpecificity">[1]Parameters!$E$90</definedName>
    <definedName name="timeHorizon">[1]Parameters!$E$13</definedName>
    <definedName name="timeIatrogenicHarm">[1]Parameters!$E$19</definedName>
    <definedName name="timeShift3To1">'[1]Time Shift Lookup'!$F$29:$Y$50</definedName>
    <definedName name="timeShift4To1">'[1]Time Shift Lookup'!$F$55:$Y$76</definedName>
    <definedName name="timeShift4To2">'[1]Time Shift Lookup'!$F$81:$Y$102</definedName>
    <definedName name="timeShiftDist">'[1]Time Shift Lookup'!$F$10:$Y$21</definedName>
    <definedName name="timeShiftDistMean">'[1]Time Shift Lookup'!$E$10:$E$21</definedName>
    <definedName name="util" localSheetId="2">'AW calculator'!$E$3</definedName>
    <definedName name="util">'[2]AW calculator'!$E$3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4" i="13" l="1"/>
  <c r="S34" i="13"/>
  <c r="S4" i="13"/>
  <c r="S5" i="13"/>
  <c r="S17" i="13"/>
  <c r="W21" i="13"/>
  <c r="W5" i="13"/>
  <c r="W6" i="13"/>
  <c r="W7" i="13"/>
  <c r="W8" i="13"/>
  <c r="X8" i="13" s="1"/>
  <c r="W9" i="13"/>
  <c r="X9" i="13" s="1"/>
  <c r="W10" i="13"/>
  <c r="X10" i="13" s="1"/>
  <c r="W11" i="13"/>
  <c r="X11" i="13" s="1"/>
  <c r="W12" i="13"/>
  <c r="X12" i="13" s="1"/>
  <c r="W13" i="13"/>
  <c r="W14" i="13"/>
  <c r="W15" i="13"/>
  <c r="W16" i="13"/>
  <c r="X16" i="13" s="1"/>
  <c r="W17" i="13"/>
  <c r="X17" i="13" s="1"/>
  <c r="W18" i="13"/>
  <c r="X18" i="13" s="1"/>
  <c r="W19" i="13"/>
  <c r="X19" i="13" s="1"/>
  <c r="W20" i="13"/>
  <c r="X20" i="13" s="1"/>
  <c r="W22" i="13"/>
  <c r="W23" i="13"/>
  <c r="W24" i="13"/>
  <c r="X24" i="13" s="1"/>
  <c r="W25" i="13"/>
  <c r="X25" i="13" s="1"/>
  <c r="W26" i="13"/>
  <c r="X26" i="13" s="1"/>
  <c r="W27" i="13"/>
  <c r="X27" i="13" s="1"/>
  <c r="W28" i="13"/>
  <c r="X28" i="13" s="1"/>
  <c r="W29" i="13"/>
  <c r="W30" i="13"/>
  <c r="W31" i="13"/>
  <c r="W32" i="13"/>
  <c r="X32" i="13" s="1"/>
  <c r="W33" i="13"/>
  <c r="X33" i="13" s="1"/>
  <c r="W34" i="13"/>
  <c r="X34" i="13" s="1"/>
  <c r="W4" i="13"/>
  <c r="V5" i="13"/>
  <c r="V6" i="13"/>
  <c r="V7" i="13"/>
  <c r="V8" i="13"/>
  <c r="V9" i="13"/>
  <c r="V10" i="13"/>
  <c r="V11" i="13"/>
  <c r="V12" i="13"/>
  <c r="V13" i="13"/>
  <c r="V14" i="13"/>
  <c r="V15" i="13"/>
  <c r="V16" i="13"/>
  <c r="V17" i="13"/>
  <c r="V18" i="13"/>
  <c r="V19" i="13"/>
  <c r="V20" i="13"/>
  <c r="V21" i="13"/>
  <c r="V22" i="13"/>
  <c r="V23" i="13"/>
  <c r="V24" i="13"/>
  <c r="V25" i="13"/>
  <c r="V26" i="13"/>
  <c r="V27" i="13"/>
  <c r="V28" i="13"/>
  <c r="V29" i="13"/>
  <c r="V30" i="13"/>
  <c r="V31" i="13"/>
  <c r="V32" i="13"/>
  <c r="V33" i="13"/>
  <c r="V34" i="13"/>
  <c r="X5" i="13"/>
  <c r="X6" i="13"/>
  <c r="X7" i="13"/>
  <c r="X13" i="13"/>
  <c r="X14" i="13"/>
  <c r="X15" i="13"/>
  <c r="X21" i="13"/>
  <c r="X22" i="13"/>
  <c r="X23" i="13"/>
  <c r="X29" i="13"/>
  <c r="X30" i="13"/>
  <c r="X31" i="13"/>
  <c r="X4" i="13"/>
  <c r="V4" i="13"/>
  <c r="R4" i="13"/>
  <c r="T4" i="13"/>
  <c r="U5" i="13"/>
  <c r="U6" i="13"/>
  <c r="U7" i="13"/>
  <c r="U8" i="13"/>
  <c r="U9" i="13"/>
  <c r="U10" i="13"/>
  <c r="U11" i="13"/>
  <c r="U12" i="13"/>
  <c r="U13" i="13"/>
  <c r="U14" i="13"/>
  <c r="U15" i="13"/>
  <c r="U16" i="13"/>
  <c r="U17" i="13"/>
  <c r="U18" i="13"/>
  <c r="U19" i="13"/>
  <c r="U20" i="13"/>
  <c r="U21" i="13"/>
  <c r="U22" i="13"/>
  <c r="U23" i="13"/>
  <c r="U24" i="13"/>
  <c r="U25" i="13"/>
  <c r="U26" i="13"/>
  <c r="U27" i="13"/>
  <c r="U28" i="13"/>
  <c r="U29" i="13"/>
  <c r="U30" i="13"/>
  <c r="U31" i="13"/>
  <c r="U32" i="13"/>
  <c r="U33" i="13"/>
  <c r="U34" i="13"/>
  <c r="U4" i="13"/>
  <c r="Q27" i="13"/>
  <c r="Q25" i="13"/>
  <c r="T5" i="13"/>
  <c r="T6" i="13"/>
  <c r="T7" i="13"/>
  <c r="T8" i="13"/>
  <c r="T9" i="13"/>
  <c r="T10" i="13"/>
  <c r="T11" i="13"/>
  <c r="T12" i="13"/>
  <c r="T13" i="13"/>
  <c r="T14" i="13"/>
  <c r="T15" i="13"/>
  <c r="T16" i="13"/>
  <c r="T17" i="13"/>
  <c r="P4" i="13"/>
  <c r="O4" i="13"/>
  <c r="K4" i="13"/>
  <c r="Q5" i="13"/>
  <c r="Q6" i="13"/>
  <c r="Q7" i="13"/>
  <c r="Q8" i="13"/>
  <c r="Q9" i="13"/>
  <c r="Q10" i="13"/>
  <c r="Q11" i="13"/>
  <c r="Q12" i="13"/>
  <c r="Q13" i="13"/>
  <c r="Q14" i="13"/>
  <c r="Q15" i="13"/>
  <c r="Q16" i="13"/>
  <c r="Q17" i="13"/>
  <c r="Q18" i="13"/>
  <c r="Q19" i="13"/>
  <c r="Q20" i="13"/>
  <c r="Q21" i="13"/>
  <c r="Q22" i="13"/>
  <c r="Q23" i="13"/>
  <c r="Q24" i="13"/>
  <c r="Q26" i="13"/>
  <c r="Q28" i="13"/>
  <c r="Q29" i="13"/>
  <c r="Q30" i="13"/>
  <c r="Q31" i="13"/>
  <c r="Q32" i="13"/>
  <c r="Q33" i="13"/>
  <c r="Q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D9" i="15"/>
  <c r="E9" i="15"/>
  <c r="I9" i="15"/>
  <c r="L9" i="15"/>
  <c r="M9" i="15"/>
  <c r="O9" i="15"/>
  <c r="D10" i="15"/>
  <c r="E10" i="15"/>
  <c r="I10" i="15"/>
  <c r="O10" i="15"/>
  <c r="D11" i="15"/>
  <c r="E11" i="15"/>
  <c r="H11" i="15"/>
  <c r="I11" i="15"/>
  <c r="O11" i="15"/>
  <c r="D12" i="15"/>
  <c r="E12" i="15"/>
  <c r="H12" i="15"/>
  <c r="I12" i="15"/>
  <c r="O12" i="15"/>
  <c r="D13" i="15"/>
  <c r="E13" i="15"/>
  <c r="I13" i="15"/>
  <c r="O13" i="15"/>
  <c r="D14" i="15"/>
  <c r="E14" i="15"/>
  <c r="I14" i="15"/>
  <c r="O14" i="15"/>
  <c r="D15" i="15"/>
  <c r="E15" i="15"/>
  <c r="H15" i="15"/>
  <c r="I15" i="15"/>
  <c r="O15" i="15"/>
  <c r="D16" i="15"/>
  <c r="E16" i="15"/>
  <c r="I16" i="15"/>
  <c r="O16" i="15"/>
  <c r="D17" i="15"/>
  <c r="E17" i="15"/>
  <c r="H17" i="15"/>
  <c r="I17" i="15"/>
  <c r="O17" i="15"/>
  <c r="D18" i="15"/>
  <c r="E18" i="15"/>
  <c r="I18" i="15"/>
  <c r="O18" i="15"/>
  <c r="D19" i="15"/>
  <c r="E19" i="15"/>
  <c r="H19" i="15"/>
  <c r="I19" i="15"/>
  <c r="O19" i="15"/>
  <c r="D20" i="15"/>
  <c r="E20" i="15"/>
  <c r="I20" i="15"/>
  <c r="O20" i="15"/>
  <c r="D21" i="15"/>
  <c r="E21" i="15"/>
  <c r="H21" i="15"/>
  <c r="I21" i="15"/>
  <c r="O21" i="15"/>
  <c r="D22" i="15"/>
  <c r="E22" i="15"/>
  <c r="H22" i="15"/>
  <c r="I22" i="15"/>
  <c r="O22" i="15"/>
  <c r="D23" i="15"/>
  <c r="E23" i="15"/>
  <c r="I23" i="15"/>
  <c r="O23" i="15"/>
  <c r="D24" i="15"/>
  <c r="E24" i="15"/>
  <c r="I24" i="15"/>
  <c r="O24" i="15"/>
  <c r="D25" i="15"/>
  <c r="E25" i="15"/>
  <c r="H25" i="15"/>
  <c r="I25" i="15"/>
  <c r="O25" i="15"/>
  <c r="D26" i="15"/>
  <c r="E26" i="15"/>
  <c r="H26" i="15"/>
  <c r="I26" i="15"/>
  <c r="O26" i="15"/>
  <c r="D27" i="15"/>
  <c r="E27" i="15"/>
  <c r="H27" i="15"/>
  <c r="I27" i="15"/>
  <c r="O27" i="15"/>
  <c r="D28" i="15"/>
  <c r="E28" i="15"/>
  <c r="H28" i="15"/>
  <c r="I28" i="15"/>
  <c r="O28" i="15"/>
  <c r="D29" i="15"/>
  <c r="E29" i="15"/>
  <c r="H29" i="15"/>
  <c r="I29" i="15"/>
  <c r="O29" i="15"/>
  <c r="D30" i="15"/>
  <c r="E30" i="15"/>
  <c r="H30" i="15"/>
  <c r="I30" i="15"/>
  <c r="O30" i="15"/>
  <c r="D31" i="15"/>
  <c r="E31" i="15"/>
  <c r="H31" i="15"/>
  <c r="I31" i="15"/>
  <c r="O31" i="15"/>
  <c r="D32" i="15"/>
  <c r="E32" i="15"/>
  <c r="H32" i="15"/>
  <c r="I32" i="15"/>
  <c r="O32" i="15"/>
  <c r="D33" i="15"/>
  <c r="E33" i="15"/>
  <c r="H33" i="15"/>
  <c r="I33" i="15"/>
  <c r="O33" i="15"/>
  <c r="D34" i="15"/>
  <c r="E34" i="15"/>
  <c r="H34" i="15"/>
  <c r="I34" i="15"/>
  <c r="O34" i="15"/>
  <c r="D35" i="15"/>
  <c r="E35" i="15"/>
  <c r="H35" i="15"/>
  <c r="I35" i="15"/>
  <c r="O35" i="15"/>
  <c r="D36" i="15"/>
  <c r="E36" i="15"/>
  <c r="H36" i="15"/>
  <c r="I36" i="15"/>
  <c r="O36" i="15"/>
  <c r="D37" i="15"/>
  <c r="E37" i="15"/>
  <c r="H37" i="15"/>
  <c r="I37" i="15"/>
  <c r="O37" i="15"/>
  <c r="D38" i="15"/>
  <c r="E38" i="15"/>
  <c r="H38" i="15"/>
  <c r="I38" i="15"/>
  <c r="O38" i="15"/>
  <c r="D39" i="15"/>
  <c r="E39" i="15"/>
  <c r="H39" i="15"/>
  <c r="I39" i="15"/>
  <c r="O39" i="15"/>
  <c r="D40" i="15"/>
  <c r="E40" i="15"/>
  <c r="H40" i="15"/>
  <c r="I40" i="15"/>
  <c r="O40" i="15"/>
  <c r="D41" i="15"/>
  <c r="E41" i="15"/>
  <c r="H41" i="15"/>
  <c r="I41" i="15"/>
  <c r="O41" i="15"/>
  <c r="D42" i="15"/>
  <c r="E42" i="15"/>
  <c r="H42" i="15"/>
  <c r="I42" i="15"/>
  <c r="O42" i="15"/>
  <c r="D43" i="15"/>
  <c r="E43" i="15"/>
  <c r="H43" i="15"/>
  <c r="I43" i="15"/>
  <c r="O43" i="15"/>
  <c r="D44" i="15"/>
  <c r="E44" i="15"/>
  <c r="H44" i="15"/>
  <c r="I44" i="15"/>
  <c r="O44" i="15"/>
  <c r="D45" i="15"/>
  <c r="E45" i="15"/>
  <c r="H45" i="15"/>
  <c r="I45" i="15"/>
  <c r="O45" i="15"/>
  <c r="D46" i="15"/>
  <c r="E46" i="15"/>
  <c r="H46" i="15"/>
  <c r="I46" i="15"/>
  <c r="O46" i="15"/>
  <c r="D47" i="15"/>
  <c r="E47" i="15"/>
  <c r="H47" i="15"/>
  <c r="I47" i="15"/>
  <c r="O47" i="15"/>
  <c r="D48" i="15"/>
  <c r="E48" i="15"/>
  <c r="H48" i="15"/>
  <c r="I48" i="15"/>
  <c r="O48" i="15"/>
  <c r="D49" i="15"/>
  <c r="E49" i="15"/>
  <c r="H49" i="15"/>
  <c r="I49" i="15"/>
  <c r="O49" i="15"/>
  <c r="D50" i="15"/>
  <c r="E50" i="15"/>
  <c r="H50" i="15"/>
  <c r="I50" i="15"/>
  <c r="O50" i="15"/>
  <c r="D51" i="15"/>
  <c r="E51" i="15"/>
  <c r="H51" i="15"/>
  <c r="I51" i="15"/>
  <c r="O51" i="15"/>
  <c r="D52" i="15"/>
  <c r="E52" i="15"/>
  <c r="H52" i="15"/>
  <c r="I52" i="15"/>
  <c r="O52" i="15"/>
  <c r="D53" i="15"/>
  <c r="E53" i="15"/>
  <c r="H53" i="15"/>
  <c r="I53" i="15"/>
  <c r="O53" i="15"/>
  <c r="D54" i="15"/>
  <c r="E54" i="15"/>
  <c r="H54" i="15"/>
  <c r="I54" i="15"/>
  <c r="O54" i="15"/>
  <c r="D55" i="15"/>
  <c r="E55" i="15"/>
  <c r="H55" i="15"/>
  <c r="I55" i="15"/>
  <c r="O55" i="15"/>
  <c r="D56" i="15"/>
  <c r="E56" i="15"/>
  <c r="H56" i="15"/>
  <c r="I56" i="15"/>
  <c r="O56" i="15"/>
  <c r="D57" i="15"/>
  <c r="E57" i="15"/>
  <c r="H57" i="15"/>
  <c r="I57" i="15"/>
  <c r="O57" i="15"/>
  <c r="D58" i="15"/>
  <c r="E58" i="15"/>
  <c r="H58" i="15"/>
  <c r="I58" i="15"/>
  <c r="O58" i="15"/>
  <c r="D59" i="15"/>
  <c r="E59" i="15"/>
  <c r="H59" i="15"/>
  <c r="I59" i="15"/>
  <c r="O59" i="15"/>
  <c r="D60" i="15"/>
  <c r="E60" i="15"/>
  <c r="H60" i="15"/>
  <c r="I60" i="15"/>
  <c r="O60" i="15"/>
  <c r="D61" i="15"/>
  <c r="E61" i="15"/>
  <c r="H61" i="15"/>
  <c r="I61" i="15"/>
  <c r="O61" i="15"/>
  <c r="D62" i="15"/>
  <c r="E62" i="15"/>
  <c r="H62" i="15"/>
  <c r="I62" i="15"/>
  <c r="O62" i="15"/>
  <c r="D63" i="15"/>
  <c r="E63" i="15"/>
  <c r="H63" i="15"/>
  <c r="I63" i="15"/>
  <c r="O63" i="15"/>
  <c r="D64" i="15"/>
  <c r="E64" i="15"/>
  <c r="H64" i="15"/>
  <c r="I64" i="15"/>
  <c r="O64" i="15"/>
  <c r="D65" i="15"/>
  <c r="E65" i="15"/>
  <c r="H65" i="15"/>
  <c r="I65" i="15"/>
  <c r="O65" i="15"/>
  <c r="D66" i="15"/>
  <c r="E66" i="15"/>
  <c r="H66" i="15"/>
  <c r="I66" i="15"/>
  <c r="O66" i="15"/>
  <c r="D67" i="15"/>
  <c r="E67" i="15"/>
  <c r="H67" i="15"/>
  <c r="I67" i="15"/>
  <c r="O67" i="15"/>
  <c r="D68" i="15"/>
  <c r="E68" i="15"/>
  <c r="H68" i="15"/>
  <c r="I68" i="15"/>
  <c r="O68" i="15"/>
  <c r="D69" i="15"/>
  <c r="E69" i="15"/>
  <c r="H69" i="15"/>
  <c r="I69" i="15"/>
  <c r="O69" i="15"/>
  <c r="D70" i="15"/>
  <c r="E70" i="15"/>
  <c r="H70" i="15"/>
  <c r="I70" i="15"/>
  <c r="O70" i="15"/>
  <c r="D71" i="15"/>
  <c r="E71" i="15"/>
  <c r="H71" i="15"/>
  <c r="I71" i="15"/>
  <c r="O71" i="15"/>
  <c r="D72" i="15"/>
  <c r="E72" i="15"/>
  <c r="H72" i="15"/>
  <c r="I72" i="15"/>
  <c r="O72" i="15"/>
  <c r="D73" i="15"/>
  <c r="E73" i="15"/>
  <c r="H73" i="15"/>
  <c r="I73" i="15"/>
  <c r="O73" i="15"/>
  <c r="D74" i="15"/>
  <c r="E74" i="15"/>
  <c r="H74" i="15"/>
  <c r="I74" i="15"/>
  <c r="O74" i="15"/>
  <c r="D75" i="15"/>
  <c r="E75" i="15"/>
  <c r="H75" i="15"/>
  <c r="I75" i="15"/>
  <c r="O75" i="15"/>
  <c r="D76" i="15"/>
  <c r="E76" i="15"/>
  <c r="H76" i="15"/>
  <c r="I76" i="15"/>
  <c r="O76" i="15"/>
  <c r="D77" i="15"/>
  <c r="E77" i="15"/>
  <c r="H77" i="15"/>
  <c r="I77" i="15"/>
  <c r="O77" i="15"/>
  <c r="D78" i="15"/>
  <c r="E78" i="15"/>
  <c r="H78" i="15"/>
  <c r="I78" i="15"/>
  <c r="O78" i="15"/>
  <c r="D79" i="15"/>
  <c r="E79" i="15"/>
  <c r="H79" i="15"/>
  <c r="I79" i="15"/>
  <c r="O79" i="15"/>
  <c r="D80" i="15"/>
  <c r="E80" i="15"/>
  <c r="H80" i="15"/>
  <c r="I80" i="15"/>
  <c r="O80" i="15"/>
  <c r="D81" i="15"/>
  <c r="E81" i="15"/>
  <c r="H81" i="15"/>
  <c r="I81" i="15"/>
  <c r="O81" i="15"/>
  <c r="D82" i="15"/>
  <c r="E82" i="15"/>
  <c r="H82" i="15"/>
  <c r="I82" i="15"/>
  <c r="O82" i="15"/>
  <c r="D83" i="15"/>
  <c r="E83" i="15"/>
  <c r="H83" i="15"/>
  <c r="I83" i="15"/>
  <c r="O83" i="15"/>
  <c r="D84" i="15"/>
  <c r="E84" i="15"/>
  <c r="H84" i="15"/>
  <c r="I84" i="15"/>
  <c r="O84" i="15"/>
  <c r="D85" i="15"/>
  <c r="E85" i="15"/>
  <c r="H85" i="15"/>
  <c r="I85" i="15"/>
  <c r="O85" i="15"/>
  <c r="D86" i="15"/>
  <c r="E86" i="15"/>
  <c r="H86" i="15"/>
  <c r="I86" i="15"/>
  <c r="O86" i="15"/>
  <c r="D87" i="15"/>
  <c r="E87" i="15"/>
  <c r="H87" i="15"/>
  <c r="I87" i="15"/>
  <c r="O87" i="15"/>
  <c r="D88" i="15"/>
  <c r="E88" i="15"/>
  <c r="H88" i="15"/>
  <c r="I88" i="15"/>
  <c r="O88" i="15"/>
  <c r="D89" i="15"/>
  <c r="E89" i="15"/>
  <c r="H89" i="15"/>
  <c r="I89" i="15"/>
  <c r="O89" i="15"/>
  <c r="D90" i="15"/>
  <c r="E90" i="15"/>
  <c r="H90" i="15"/>
  <c r="I90" i="15"/>
  <c r="O90" i="15"/>
  <c r="D91" i="15"/>
  <c r="E91" i="15"/>
  <c r="H91" i="15"/>
  <c r="I91" i="15"/>
  <c r="O91" i="15"/>
  <c r="D92" i="15"/>
  <c r="E92" i="15"/>
  <c r="H92" i="15"/>
  <c r="I92" i="15"/>
  <c r="O92" i="15"/>
  <c r="D93" i="15"/>
  <c r="E93" i="15"/>
  <c r="H93" i="15"/>
  <c r="I93" i="15"/>
  <c r="O93" i="15"/>
  <c r="D94" i="15"/>
  <c r="E94" i="15"/>
  <c r="H94" i="15"/>
  <c r="I94" i="15"/>
  <c r="O94" i="15"/>
  <c r="D95" i="15"/>
  <c r="E95" i="15"/>
  <c r="H95" i="15"/>
  <c r="I95" i="15"/>
  <c r="O95" i="15"/>
  <c r="D96" i="15"/>
  <c r="E96" i="15"/>
  <c r="H96" i="15"/>
  <c r="I96" i="15"/>
  <c r="O96" i="15"/>
  <c r="D97" i="15"/>
  <c r="E97" i="15"/>
  <c r="H97" i="15"/>
  <c r="I97" i="15"/>
  <c r="O97" i="15"/>
  <c r="D98" i="15"/>
  <c r="E98" i="15"/>
  <c r="H98" i="15"/>
  <c r="I98" i="15"/>
  <c r="O98" i="15"/>
  <c r="D99" i="15"/>
  <c r="E99" i="15"/>
  <c r="H99" i="15"/>
  <c r="I99" i="15"/>
  <c r="O99" i="15"/>
  <c r="D100" i="15"/>
  <c r="E100" i="15"/>
  <c r="H100" i="15"/>
  <c r="I100" i="15"/>
  <c r="O100" i="15"/>
  <c r="D101" i="15"/>
  <c r="E101" i="15"/>
  <c r="H101" i="15"/>
  <c r="I101" i="15"/>
  <c r="O101" i="15"/>
  <c r="D102" i="15"/>
  <c r="E102" i="15"/>
  <c r="H102" i="15"/>
  <c r="I102" i="15"/>
  <c r="O102" i="15"/>
  <c r="D103" i="15"/>
  <c r="E103" i="15"/>
  <c r="H103" i="15"/>
  <c r="I103" i="15"/>
  <c r="O103" i="15"/>
  <c r="D104" i="15"/>
  <c r="E104" i="15"/>
  <c r="H104" i="15"/>
  <c r="I104" i="15"/>
  <c r="O104" i="15"/>
  <c r="D105" i="15"/>
  <c r="E105" i="15"/>
  <c r="H105" i="15"/>
  <c r="I105" i="15"/>
  <c r="O105" i="15"/>
  <c r="D106" i="15"/>
  <c r="E106" i="15"/>
  <c r="H106" i="15"/>
  <c r="I106" i="15"/>
  <c r="O106" i="15"/>
  <c r="D107" i="15"/>
  <c r="E107" i="15"/>
  <c r="H107" i="15"/>
  <c r="I107" i="15"/>
  <c r="O107" i="15"/>
  <c r="D108" i="15"/>
  <c r="E108" i="15"/>
  <c r="H108" i="15"/>
  <c r="I108" i="15"/>
  <c r="O108" i="15"/>
  <c r="D109" i="15"/>
  <c r="E109" i="15"/>
  <c r="H109" i="15"/>
  <c r="I109" i="15"/>
  <c r="O109" i="15"/>
  <c r="D110" i="15"/>
  <c r="E110" i="15"/>
  <c r="I110" i="15"/>
  <c r="G22" i="12"/>
  <c r="G21" i="12"/>
  <c r="G20" i="12"/>
  <c r="G19" i="12"/>
  <c r="G16" i="12"/>
  <c r="G15" i="12"/>
  <c r="G14" i="12"/>
  <c r="G13" i="12"/>
  <c r="G12" i="12"/>
  <c r="G11" i="12"/>
  <c r="G10" i="12"/>
  <c r="G9" i="12"/>
  <c r="G8" i="12"/>
  <c r="G7" i="12"/>
  <c r="G6" i="12"/>
  <c r="G5" i="12"/>
  <c r="G4" i="12"/>
  <c r="G3" i="12"/>
  <c r="G17" i="12"/>
  <c r="G18" i="12"/>
  <c r="G23" i="12"/>
  <c r="G24" i="12"/>
  <c r="G25" i="12"/>
  <c r="G2" i="12"/>
  <c r="S9" i="15" l="1"/>
  <c r="R9" i="15"/>
  <c r="H16" i="15"/>
  <c r="H10" i="15"/>
  <c r="H13" i="15"/>
  <c r="H23" i="15"/>
  <c r="H18" i="15"/>
  <c r="H20" i="15"/>
  <c r="H9" i="15"/>
  <c r="H14" i="15"/>
  <c r="H24" i="15"/>
  <c r="R10" i="15" l="1"/>
  <c r="T10" i="15" s="1"/>
  <c r="V10" i="15" s="1"/>
  <c r="S10" i="15"/>
  <c r="U10" i="15" s="1"/>
  <c r="W10" i="15" s="1"/>
  <c r="T9" i="15"/>
  <c r="U9" i="15"/>
  <c r="S11" i="15"/>
  <c r="U11" i="15" s="1"/>
  <c r="W11" i="15" s="1"/>
  <c r="W9" i="15" l="1"/>
  <c r="V9" i="15"/>
  <c r="S12" i="15"/>
  <c r="R11" i="15"/>
  <c r="T11" i="15" l="1"/>
  <c r="U12" i="15"/>
  <c r="R13" i="15"/>
  <c r="T13" i="15" s="1"/>
  <c r="V13" i="15" s="1"/>
  <c r="R12" i="15"/>
  <c r="T12" i="15" s="1"/>
  <c r="V12" i="15" s="1"/>
  <c r="S13" i="15"/>
  <c r="U13" i="15" s="1"/>
  <c r="W13" i="15" s="1"/>
  <c r="W12" i="15" l="1"/>
  <c r="R14" i="15"/>
  <c r="T14" i="15" s="1"/>
  <c r="V14" i="15" s="1"/>
  <c r="V11" i="15"/>
  <c r="S15" i="15" l="1"/>
  <c r="U15" i="15" s="1"/>
  <c r="W15" i="15" s="1"/>
  <c r="S14" i="15"/>
  <c r="R16" i="15" l="1"/>
  <c r="T16" i="15" s="1"/>
  <c r="V16" i="15" s="1"/>
  <c r="R15" i="15"/>
  <c r="U14" i="15"/>
  <c r="S16" i="15"/>
  <c r="U16" i="15" s="1"/>
  <c r="W16" i="15" s="1"/>
  <c r="W14" i="15" l="1"/>
  <c r="T15" i="15"/>
  <c r="S17" i="15" l="1"/>
  <c r="U17" i="15" s="1"/>
  <c r="W17" i="15" s="1"/>
  <c r="R19" i="15"/>
  <c r="T19" i="15" s="1"/>
  <c r="V19" i="15" s="1"/>
  <c r="V15" i="15"/>
  <c r="R18" i="15"/>
  <c r="T18" i="15" s="1"/>
  <c r="V18" i="15" s="1"/>
  <c r="R17" i="15"/>
  <c r="S18" i="15" l="1"/>
  <c r="U18" i="15" s="1"/>
  <c r="W18" i="15" s="1"/>
  <c r="S19" i="15"/>
  <c r="U19" i="15" s="1"/>
  <c r="W19" i="15" s="1"/>
  <c r="R20" i="15"/>
  <c r="T20" i="15" s="1"/>
  <c r="V20" i="15" s="1"/>
  <c r="T17" i="15"/>
  <c r="S20" i="15" l="1"/>
  <c r="U20" i="15" s="1"/>
  <c r="W20" i="15" s="1"/>
  <c r="S21" i="15"/>
  <c r="U21" i="15" s="1"/>
  <c r="W21" i="15" s="1"/>
  <c r="R21" i="15"/>
  <c r="T21" i="15" s="1"/>
  <c r="V21" i="15" s="1"/>
  <c r="V17" i="15"/>
  <c r="S22" i="15" l="1"/>
  <c r="U22" i="15" s="1"/>
  <c r="W22" i="15" s="1"/>
  <c r="S23" i="15" l="1"/>
  <c r="U23" i="15" s="1"/>
  <c r="W23" i="15" s="1"/>
  <c r="S24" i="15"/>
  <c r="U24" i="15" s="1"/>
  <c r="W24" i="15" s="1"/>
  <c r="R22" i="15"/>
  <c r="T22" i="15" s="1"/>
  <c r="V22" i="15" s="1"/>
  <c r="R23" i="15"/>
  <c r="T23" i="15" s="1"/>
  <c r="V23" i="15" s="1"/>
  <c r="S26" i="15" l="1"/>
  <c r="U26" i="15" s="1"/>
  <c r="W26" i="15" s="1"/>
  <c r="S27" i="15"/>
  <c r="U27" i="15" s="1"/>
  <c r="W27" i="15" s="1"/>
  <c r="S25" i="15"/>
  <c r="U25" i="15" s="1"/>
  <c r="W25" i="15" s="1"/>
  <c r="R24" i="15"/>
  <c r="T24" i="15" s="1"/>
  <c r="V24" i="15" s="1"/>
  <c r="S28" i="15" l="1"/>
  <c r="U28" i="15" s="1"/>
  <c r="W28" i="15" s="1"/>
  <c r="R26" i="15"/>
  <c r="T26" i="15" s="1"/>
  <c r="V26" i="15" s="1"/>
  <c r="R25" i="15"/>
  <c r="T25" i="15" s="1"/>
  <c r="V25" i="15" s="1"/>
  <c r="R28" i="15" l="1"/>
  <c r="T28" i="15" s="1"/>
  <c r="V28" i="15" s="1"/>
  <c r="R27" i="15"/>
  <c r="T27" i="15" s="1"/>
  <c r="V27" i="15" s="1"/>
  <c r="S30" i="15" l="1"/>
  <c r="U30" i="15" s="1"/>
  <c r="W30" i="15" s="1"/>
  <c r="S29" i="15"/>
  <c r="U29" i="15" s="1"/>
  <c r="W29" i="15" s="1"/>
  <c r="R29" i="15"/>
  <c r="T29" i="15" s="1"/>
  <c r="V29" i="15" s="1"/>
  <c r="S31" i="15" l="1"/>
  <c r="U31" i="15" s="1"/>
  <c r="W31" i="15" s="1"/>
  <c r="R30" i="15"/>
  <c r="T30" i="15" s="1"/>
  <c r="V30" i="15" s="1"/>
  <c r="R31" i="15"/>
  <c r="T31" i="15" s="1"/>
  <c r="V31" i="15" s="1"/>
  <c r="S32" i="15" l="1"/>
  <c r="U32" i="15" s="1"/>
  <c r="W32" i="15" s="1"/>
  <c r="R33" i="15"/>
  <c r="T33" i="15" s="1"/>
  <c r="V33" i="15" s="1"/>
  <c r="R32" i="15"/>
  <c r="T32" i="15" s="1"/>
  <c r="V32" i="15" s="1"/>
  <c r="R34" i="15" l="1"/>
  <c r="T34" i="15" s="1"/>
  <c r="V34" i="15" s="1"/>
  <c r="S33" i="15" l="1"/>
  <c r="U33" i="15" s="1"/>
  <c r="W33" i="15" s="1"/>
  <c r="S34" i="15"/>
  <c r="U34" i="15" s="1"/>
  <c r="W34" i="15" s="1"/>
  <c r="S35" i="15" l="1"/>
  <c r="U35" i="15" s="1"/>
  <c r="W35" i="15" s="1"/>
  <c r="R35" i="15"/>
  <c r="T35" i="15" s="1"/>
  <c r="V35" i="15" s="1"/>
  <c r="R36" i="15"/>
  <c r="T36" i="15" s="1"/>
  <c r="V36" i="15" s="1"/>
  <c r="S36" i="15" l="1"/>
  <c r="U36" i="15" s="1"/>
  <c r="W36" i="15" s="1"/>
  <c r="P40" i="15"/>
  <c r="R37" i="15"/>
  <c r="T37" i="15" s="1"/>
  <c r="V37" i="15" s="1"/>
  <c r="R38" i="15" l="1"/>
  <c r="T38" i="15" s="1"/>
  <c r="V38" i="15" s="1"/>
  <c r="S37" i="15"/>
  <c r="U37" i="15" s="1"/>
  <c r="W37" i="15" s="1"/>
  <c r="S38" i="15"/>
  <c r="U38" i="15" s="1"/>
  <c r="W38" i="15" s="1"/>
  <c r="Q40" i="15"/>
  <c r="R39" i="15"/>
  <c r="T39" i="15" s="1"/>
  <c r="V39" i="15" s="1"/>
  <c r="P41" i="15"/>
  <c r="Q41" i="15" l="1"/>
  <c r="Q42" i="15" s="1"/>
  <c r="S39" i="15"/>
  <c r="U39" i="15" s="1"/>
  <c r="W39" i="15" s="1"/>
  <c r="R40" i="15"/>
  <c r="T40" i="15" s="1"/>
  <c r="V40" i="15" s="1"/>
  <c r="P42" i="15"/>
  <c r="S40" i="15" l="1"/>
  <c r="U40" i="15" s="1"/>
  <c r="W40" i="15" s="1"/>
  <c r="S41" i="15"/>
  <c r="U41" i="15" s="1"/>
  <c r="W41" i="15" s="1"/>
  <c r="Q43" i="15"/>
  <c r="R41" i="15"/>
  <c r="T41" i="15" s="1"/>
  <c r="V41" i="15" s="1"/>
  <c r="P43" i="15"/>
  <c r="S42" i="15" l="1"/>
  <c r="U42" i="15" s="1"/>
  <c r="W42" i="15" s="1"/>
  <c r="Q44" i="15"/>
  <c r="S43" i="15" s="1"/>
  <c r="U43" i="15" s="1"/>
  <c r="W43" i="15" s="1"/>
  <c r="R42" i="15"/>
  <c r="T42" i="15" s="1"/>
  <c r="V42" i="15" s="1"/>
  <c r="P44" i="15"/>
  <c r="P45" i="15" s="1"/>
  <c r="Q45" i="15" l="1"/>
  <c r="S44" i="15" s="1"/>
  <c r="U44" i="15" s="1"/>
  <c r="W44" i="15" s="1"/>
  <c r="R44" i="15"/>
  <c r="T44" i="15" s="1"/>
  <c r="V44" i="15" s="1"/>
  <c r="P46" i="15"/>
  <c r="P47" i="15" s="1"/>
  <c r="Z7" i="15" s="1"/>
  <c r="R43" i="15"/>
  <c r="T43" i="15" s="1"/>
  <c r="V43" i="15" s="1"/>
  <c r="R46" i="15" l="1"/>
  <c r="T46" i="15" s="1"/>
  <c r="V46" i="15" s="1"/>
  <c r="P48" i="15"/>
  <c r="R47" i="15" s="1"/>
  <c r="T47" i="15" s="1"/>
  <c r="V47" i="15" s="1"/>
  <c r="Q46" i="15"/>
  <c r="S45" i="15" s="1"/>
  <c r="U45" i="15" s="1"/>
  <c r="W45" i="15" s="1"/>
  <c r="R45" i="15"/>
  <c r="T45" i="15" s="1"/>
  <c r="V45" i="15" s="1"/>
  <c r="P49" i="15" l="1"/>
  <c r="R48" i="15" s="1"/>
  <c r="T48" i="15" s="1"/>
  <c r="V48" i="15" s="1"/>
  <c r="Q47" i="15"/>
  <c r="Q48" i="15" s="1"/>
  <c r="P50" i="15" l="1"/>
  <c r="P51" i="15" s="1"/>
  <c r="R50" i="15" s="1"/>
  <c r="T50" i="15" s="1"/>
  <c r="V50" i="15" s="1"/>
  <c r="S46" i="15"/>
  <c r="U46" i="15" s="1"/>
  <c r="W46" i="15" s="1"/>
  <c r="S47" i="15"/>
  <c r="U47" i="15" s="1"/>
  <c r="W47" i="15" s="1"/>
  <c r="Q49" i="15"/>
  <c r="AA7" i="15"/>
  <c r="AB7" i="15" s="1"/>
  <c r="R49" i="15" l="1"/>
  <c r="T49" i="15" s="1"/>
  <c r="V49" i="15" s="1"/>
  <c r="Q50" i="15"/>
  <c r="Q51" i="15" s="1"/>
  <c r="S48" i="15"/>
  <c r="U48" i="15" s="1"/>
  <c r="W48" i="15" s="1"/>
  <c r="P52" i="15"/>
  <c r="S49" i="15" l="1"/>
  <c r="U49" i="15" s="1"/>
  <c r="W49" i="15" s="1"/>
  <c r="S50" i="15"/>
  <c r="U50" i="15" s="1"/>
  <c r="W50" i="15" s="1"/>
  <c r="Q52" i="15"/>
  <c r="P53" i="15"/>
  <c r="R52" i="15" s="1"/>
  <c r="T52" i="15" s="1"/>
  <c r="V52" i="15" s="1"/>
  <c r="R51" i="15"/>
  <c r="T51" i="15" s="1"/>
  <c r="V51" i="15" s="1"/>
  <c r="S51" i="15" l="1"/>
  <c r="U51" i="15" s="1"/>
  <c r="W51" i="15" s="1"/>
  <c r="Q53" i="15"/>
  <c r="Q54" i="15" s="1"/>
  <c r="S53" i="15" s="1"/>
  <c r="U53" i="15" s="1"/>
  <c r="W53" i="15" s="1"/>
  <c r="P54" i="15"/>
  <c r="Q55" i="15" l="1"/>
  <c r="Q56" i="15" s="1"/>
  <c r="S55" i="15" s="1"/>
  <c r="U55" i="15" s="1"/>
  <c r="W55" i="15" s="1"/>
  <c r="S52" i="15"/>
  <c r="U52" i="15" s="1"/>
  <c r="W52" i="15" s="1"/>
  <c r="P55" i="15"/>
  <c r="R53" i="15"/>
  <c r="T53" i="15" s="1"/>
  <c r="V53" i="15" s="1"/>
  <c r="S54" i="15" l="1"/>
  <c r="U54" i="15" s="1"/>
  <c r="W54" i="15" s="1"/>
  <c r="P56" i="15"/>
  <c r="R55" i="15" s="1"/>
  <c r="T55" i="15" s="1"/>
  <c r="V55" i="15" s="1"/>
  <c r="R54" i="15"/>
  <c r="T54" i="15" s="1"/>
  <c r="V54" i="15" s="1"/>
  <c r="Q57" i="15"/>
  <c r="Q58" i="15" l="1"/>
  <c r="S56" i="15"/>
  <c r="U56" i="15" s="1"/>
  <c r="W56" i="15" s="1"/>
  <c r="P57" i="15"/>
  <c r="R56" i="15" s="1"/>
  <c r="T56" i="15" s="1"/>
  <c r="V56" i="15" s="1"/>
  <c r="P58" i="15" l="1"/>
  <c r="Q59" i="15"/>
  <c r="S58" i="15" s="1"/>
  <c r="U58" i="15" s="1"/>
  <c r="W58" i="15" s="1"/>
  <c r="S57" i="15"/>
  <c r="U57" i="15" s="1"/>
  <c r="W57" i="15" s="1"/>
  <c r="Q60" i="15" l="1"/>
  <c r="S59" i="15" s="1"/>
  <c r="U59" i="15" s="1"/>
  <c r="W59" i="15" s="1"/>
  <c r="P59" i="15"/>
  <c r="R58" i="15" s="1"/>
  <c r="T58" i="15" s="1"/>
  <c r="V58" i="15" s="1"/>
  <c r="R57" i="15"/>
  <c r="T57" i="15" s="1"/>
  <c r="V57" i="15" s="1"/>
  <c r="P60" i="15" l="1"/>
  <c r="Q61" i="15"/>
  <c r="Q62" i="15" l="1"/>
  <c r="S61" i="15" s="1"/>
  <c r="U61" i="15" s="1"/>
  <c r="W61" i="15" s="1"/>
  <c r="S60" i="15"/>
  <c r="U60" i="15" s="1"/>
  <c r="W60" i="15" s="1"/>
  <c r="P61" i="15"/>
  <c r="R60" i="15" s="1"/>
  <c r="T60" i="15" s="1"/>
  <c r="V60" i="15" s="1"/>
  <c r="R59" i="15"/>
  <c r="T59" i="15" s="1"/>
  <c r="V59" i="15" s="1"/>
  <c r="P62" i="15" l="1"/>
  <c r="Q63" i="15"/>
  <c r="Q64" i="15" l="1"/>
  <c r="S63" i="15" s="1"/>
  <c r="U63" i="15" s="1"/>
  <c r="W63" i="15" s="1"/>
  <c r="S62" i="15"/>
  <c r="U62" i="15" s="1"/>
  <c r="W62" i="15" s="1"/>
  <c r="P63" i="15"/>
  <c r="R61" i="15"/>
  <c r="T61" i="15" s="1"/>
  <c r="V61" i="15" s="1"/>
  <c r="P64" i="15" l="1"/>
  <c r="R63" i="15" s="1"/>
  <c r="T63" i="15" s="1"/>
  <c r="V63" i="15" s="1"/>
  <c r="R62" i="15"/>
  <c r="T62" i="15" s="1"/>
  <c r="V62" i="15" s="1"/>
  <c r="Q65" i="15"/>
  <c r="Q66" i="15" l="1"/>
  <c r="S64" i="15"/>
  <c r="U64" i="15" s="1"/>
  <c r="W64" i="15" s="1"/>
  <c r="P65" i="15"/>
  <c r="R64" i="15" s="1"/>
  <c r="T64" i="15" s="1"/>
  <c r="V64" i="15" s="1"/>
  <c r="P66" i="15" l="1"/>
  <c r="Q67" i="15"/>
  <c r="S66" i="15" s="1"/>
  <c r="U66" i="15" s="1"/>
  <c r="W66" i="15" s="1"/>
  <c r="S65" i="15"/>
  <c r="U65" i="15" s="1"/>
  <c r="W65" i="15" s="1"/>
  <c r="Q68" i="15" l="1"/>
  <c r="S67" i="15" s="1"/>
  <c r="U67" i="15" s="1"/>
  <c r="W67" i="15" s="1"/>
  <c r="P67" i="15"/>
  <c r="R66" i="15" s="1"/>
  <c r="T66" i="15" s="1"/>
  <c r="V66" i="15" s="1"/>
  <c r="R65" i="15"/>
  <c r="T65" i="15" s="1"/>
  <c r="V65" i="15" s="1"/>
  <c r="P68" i="15" l="1"/>
  <c r="Q69" i="15"/>
  <c r="Q70" i="15" l="1"/>
  <c r="S69" i="15" s="1"/>
  <c r="U69" i="15" s="1"/>
  <c r="W69" i="15" s="1"/>
  <c r="S68" i="15"/>
  <c r="U68" i="15" s="1"/>
  <c r="W68" i="15" s="1"/>
  <c r="P69" i="15"/>
  <c r="R68" i="15" s="1"/>
  <c r="T68" i="15" s="1"/>
  <c r="V68" i="15" s="1"/>
  <c r="R67" i="15"/>
  <c r="T67" i="15" s="1"/>
  <c r="V67" i="15" s="1"/>
  <c r="P70" i="15" l="1"/>
  <c r="Q71" i="15"/>
  <c r="Q72" i="15" l="1"/>
  <c r="S71" i="15" s="1"/>
  <c r="U71" i="15" s="1"/>
  <c r="W71" i="15" s="1"/>
  <c r="S70" i="15"/>
  <c r="U70" i="15" s="1"/>
  <c r="W70" i="15" s="1"/>
  <c r="P71" i="15"/>
  <c r="R70" i="15" s="1"/>
  <c r="T70" i="15" s="1"/>
  <c r="V70" i="15" s="1"/>
  <c r="R69" i="15"/>
  <c r="T69" i="15" s="1"/>
  <c r="V69" i="15" s="1"/>
  <c r="P72" i="15" l="1"/>
  <c r="R71" i="15" s="1"/>
  <c r="T71" i="15" s="1"/>
  <c r="V71" i="15" s="1"/>
  <c r="Q73" i="15"/>
  <c r="S72" i="15" s="1"/>
  <c r="U72" i="15" s="1"/>
  <c r="W72" i="15" s="1"/>
  <c r="Q74" i="15" l="1"/>
  <c r="P73" i="15"/>
  <c r="R72" i="15" s="1"/>
  <c r="T72" i="15" s="1"/>
  <c r="V72" i="15" s="1"/>
  <c r="P74" i="15" l="1"/>
  <c r="Q75" i="15"/>
  <c r="S74" i="15" s="1"/>
  <c r="U74" i="15" s="1"/>
  <c r="W74" i="15" s="1"/>
  <c r="S73" i="15"/>
  <c r="U73" i="15" s="1"/>
  <c r="W73" i="15" s="1"/>
  <c r="Q76" i="15" l="1"/>
  <c r="S75" i="15" s="1"/>
  <c r="U75" i="15" s="1"/>
  <c r="W75" i="15" s="1"/>
  <c r="P75" i="15"/>
  <c r="R74" i="15" s="1"/>
  <c r="T74" i="15" s="1"/>
  <c r="V74" i="15" s="1"/>
  <c r="R73" i="15"/>
  <c r="T73" i="15" s="1"/>
  <c r="V73" i="15" s="1"/>
  <c r="P76" i="15" l="1"/>
  <c r="Q77" i="15"/>
  <c r="Q78" i="15" l="1"/>
  <c r="S77" i="15" s="1"/>
  <c r="U77" i="15" s="1"/>
  <c r="W77" i="15" s="1"/>
  <c r="S76" i="15"/>
  <c r="U76" i="15" s="1"/>
  <c r="W76" i="15" s="1"/>
  <c r="P77" i="15"/>
  <c r="R76" i="15" s="1"/>
  <c r="T76" i="15" s="1"/>
  <c r="V76" i="15" s="1"/>
  <c r="R75" i="15"/>
  <c r="T75" i="15" s="1"/>
  <c r="V75" i="15" s="1"/>
  <c r="P78" i="15" l="1"/>
  <c r="Q79" i="15"/>
  <c r="S78" i="15" s="1"/>
  <c r="U78" i="15" s="1"/>
  <c r="W78" i="15" s="1"/>
  <c r="Q80" i="15" l="1"/>
  <c r="S79" i="15" s="1"/>
  <c r="U79" i="15" s="1"/>
  <c r="W79" i="15" s="1"/>
  <c r="P79" i="15"/>
  <c r="R78" i="15" s="1"/>
  <c r="T78" i="15" s="1"/>
  <c r="V78" i="15" s="1"/>
  <c r="R77" i="15"/>
  <c r="T77" i="15" s="1"/>
  <c r="V77" i="15" s="1"/>
  <c r="P80" i="15" l="1"/>
  <c r="R79" i="15" s="1"/>
  <c r="T79" i="15" s="1"/>
  <c r="V79" i="15" s="1"/>
  <c r="Q81" i="15"/>
  <c r="S80" i="15" s="1"/>
  <c r="U80" i="15" s="1"/>
  <c r="W80" i="15" s="1"/>
  <c r="Q82" i="15" l="1"/>
  <c r="P81" i="15"/>
  <c r="R80" i="15" s="1"/>
  <c r="T80" i="15" s="1"/>
  <c r="V80" i="15" s="1"/>
  <c r="Q83" i="15" l="1"/>
  <c r="S82" i="15" s="1"/>
  <c r="U82" i="15" s="1"/>
  <c r="W82" i="15" s="1"/>
  <c r="P82" i="15"/>
  <c r="R81" i="15" s="1"/>
  <c r="T81" i="15" s="1"/>
  <c r="V81" i="15" s="1"/>
  <c r="S81" i="15"/>
  <c r="U81" i="15" s="1"/>
  <c r="W81" i="15" s="1"/>
  <c r="P83" i="15" l="1"/>
  <c r="R82" i="15" s="1"/>
  <c r="T82" i="15" s="1"/>
  <c r="V82" i="15" s="1"/>
  <c r="Q84" i="15"/>
  <c r="Q85" i="15" l="1"/>
  <c r="S83" i="15"/>
  <c r="U83" i="15" s="1"/>
  <c r="W83" i="15" s="1"/>
  <c r="P84" i="15"/>
  <c r="P85" i="15" l="1"/>
  <c r="R84" i="15" s="1"/>
  <c r="T84" i="15" s="1"/>
  <c r="V84" i="15" s="1"/>
  <c r="R83" i="15"/>
  <c r="T83" i="15" s="1"/>
  <c r="V83" i="15" s="1"/>
  <c r="Q86" i="15"/>
  <c r="S85" i="15" s="1"/>
  <c r="U85" i="15" s="1"/>
  <c r="W85" i="15" s="1"/>
  <c r="S84" i="15"/>
  <c r="U84" i="15" s="1"/>
  <c r="W84" i="15" s="1"/>
  <c r="Q87" i="15" l="1"/>
  <c r="P86" i="15"/>
  <c r="Q88" i="15" l="1"/>
  <c r="S87" i="15" s="1"/>
  <c r="U87" i="15" s="1"/>
  <c r="W87" i="15" s="1"/>
  <c r="P87" i="15"/>
  <c r="R86" i="15" s="1"/>
  <c r="T86" i="15" s="1"/>
  <c r="V86" i="15" s="1"/>
  <c r="R85" i="15"/>
  <c r="T85" i="15" s="1"/>
  <c r="V85" i="15" s="1"/>
  <c r="S86" i="15"/>
  <c r="U86" i="15" s="1"/>
  <c r="W86" i="15" s="1"/>
  <c r="P88" i="15" l="1"/>
  <c r="R87" i="15" s="1"/>
  <c r="T87" i="15" s="1"/>
  <c r="V87" i="15" s="1"/>
  <c r="Q89" i="15"/>
  <c r="S88" i="15" s="1"/>
  <c r="U88" i="15" s="1"/>
  <c r="W88" i="15" s="1"/>
  <c r="Q90" i="15" l="1"/>
  <c r="P89" i="15"/>
  <c r="R88" i="15" s="1"/>
  <c r="T88" i="15" s="1"/>
  <c r="V88" i="15" s="1"/>
  <c r="Q91" i="15" l="1"/>
  <c r="P90" i="15"/>
  <c r="S89" i="15"/>
  <c r="U89" i="15" s="1"/>
  <c r="W89" i="15" s="1"/>
  <c r="Q92" i="15" l="1"/>
  <c r="P91" i="15"/>
  <c r="R90" i="15" s="1"/>
  <c r="T90" i="15" s="1"/>
  <c r="V90" i="15" s="1"/>
  <c r="R89" i="15"/>
  <c r="T89" i="15" s="1"/>
  <c r="V89" i="15" s="1"/>
  <c r="S90" i="15"/>
  <c r="U90" i="15" s="1"/>
  <c r="W90" i="15" s="1"/>
  <c r="Q93" i="15" l="1"/>
  <c r="P92" i="15"/>
  <c r="S91" i="15"/>
  <c r="U91" i="15" s="1"/>
  <c r="W91" i="15" s="1"/>
  <c r="P93" i="15" l="1"/>
  <c r="R91" i="15"/>
  <c r="T91" i="15" s="1"/>
  <c r="V91" i="15" s="1"/>
  <c r="Q94" i="15"/>
  <c r="S93" i="15" s="1"/>
  <c r="U93" i="15" s="1"/>
  <c r="W93" i="15" s="1"/>
  <c r="S92" i="15"/>
  <c r="U92" i="15" s="1"/>
  <c r="W92" i="15" s="1"/>
  <c r="Q95" i="15" l="1"/>
  <c r="P94" i="15"/>
  <c r="R92" i="15"/>
  <c r="T92" i="15" s="1"/>
  <c r="V92" i="15" s="1"/>
  <c r="P95" i="15" l="1"/>
  <c r="R93" i="15"/>
  <c r="T93" i="15" s="1"/>
  <c r="V93" i="15" s="1"/>
  <c r="Q96" i="15"/>
  <c r="S94" i="15"/>
  <c r="U94" i="15" s="1"/>
  <c r="W94" i="15" s="1"/>
  <c r="Q97" i="15" l="1"/>
  <c r="S96" i="15" s="1"/>
  <c r="U96" i="15" s="1"/>
  <c r="W96" i="15" s="1"/>
  <c r="S95" i="15"/>
  <c r="U95" i="15" s="1"/>
  <c r="W95" i="15" s="1"/>
  <c r="P96" i="15"/>
  <c r="R95" i="15" s="1"/>
  <c r="T95" i="15" s="1"/>
  <c r="V95" i="15" s="1"/>
  <c r="R94" i="15"/>
  <c r="T94" i="15" s="1"/>
  <c r="V94" i="15" s="1"/>
  <c r="P97" i="15" l="1"/>
  <c r="Q98" i="15"/>
  <c r="Q99" i="15" l="1"/>
  <c r="S98" i="15" s="1"/>
  <c r="U98" i="15" s="1"/>
  <c r="W98" i="15" s="1"/>
  <c r="S97" i="15"/>
  <c r="U97" i="15" s="1"/>
  <c r="W97" i="15" s="1"/>
  <c r="P98" i="15"/>
  <c r="R96" i="15"/>
  <c r="T96" i="15" s="1"/>
  <c r="V96" i="15" s="1"/>
  <c r="P99" i="15" l="1"/>
  <c r="R98" i="15" s="1"/>
  <c r="T98" i="15" s="1"/>
  <c r="V98" i="15" s="1"/>
  <c r="R97" i="15"/>
  <c r="T97" i="15" s="1"/>
  <c r="V97" i="15" s="1"/>
  <c r="Q100" i="15"/>
  <c r="Q101" i="15" l="1"/>
  <c r="S99" i="15"/>
  <c r="U99" i="15" s="1"/>
  <c r="W99" i="15" s="1"/>
  <c r="P100" i="15"/>
  <c r="Q102" i="15" l="1"/>
  <c r="S101" i="15" s="1"/>
  <c r="U101" i="15" s="1"/>
  <c r="W101" i="15" s="1"/>
  <c r="P101" i="15"/>
  <c r="R99" i="15"/>
  <c r="T99" i="15" s="1"/>
  <c r="V99" i="15" s="1"/>
  <c r="S100" i="15"/>
  <c r="U100" i="15" s="1"/>
  <c r="W100" i="15" s="1"/>
  <c r="P102" i="15" l="1"/>
  <c r="R101" i="15" s="1"/>
  <c r="T101" i="15" s="1"/>
  <c r="V101" i="15" s="1"/>
  <c r="R100" i="15"/>
  <c r="T100" i="15" s="1"/>
  <c r="V100" i="15" s="1"/>
  <c r="Q103" i="15"/>
  <c r="Q104" i="15" l="1"/>
  <c r="S102" i="15"/>
  <c r="U102" i="15" s="1"/>
  <c r="W102" i="15" s="1"/>
  <c r="P103" i="15"/>
  <c r="P104" i="15" l="1"/>
  <c r="R103" i="15" s="1"/>
  <c r="T103" i="15" s="1"/>
  <c r="V103" i="15" s="1"/>
  <c r="R102" i="15"/>
  <c r="T102" i="15" s="1"/>
  <c r="V102" i="15" s="1"/>
  <c r="Q105" i="15"/>
  <c r="S104" i="15" s="1"/>
  <c r="U104" i="15" s="1"/>
  <c r="W104" i="15" s="1"/>
  <c r="S103" i="15"/>
  <c r="U103" i="15" s="1"/>
  <c r="W103" i="15" s="1"/>
  <c r="Q106" i="15" l="1"/>
  <c r="P105" i="15"/>
  <c r="P106" i="15" l="1"/>
  <c r="R104" i="15"/>
  <c r="T104" i="15" s="1"/>
  <c r="V104" i="15" s="1"/>
  <c r="Q107" i="15"/>
  <c r="S105" i="15"/>
  <c r="U105" i="15" s="1"/>
  <c r="W105" i="15" s="1"/>
  <c r="Q108" i="15" l="1"/>
  <c r="S106" i="15"/>
  <c r="U106" i="15" s="1"/>
  <c r="W106" i="15" s="1"/>
  <c r="P107" i="15"/>
  <c r="R106" i="15" s="1"/>
  <c r="T106" i="15" s="1"/>
  <c r="V106" i="15" s="1"/>
  <c r="R105" i="15"/>
  <c r="T105" i="15" s="1"/>
  <c r="V105" i="15" s="1"/>
  <c r="Q109" i="15" l="1"/>
  <c r="P108" i="15"/>
  <c r="R107" i="15" s="1"/>
  <c r="T107" i="15" s="1"/>
  <c r="V107" i="15" s="1"/>
  <c r="S107" i="15"/>
  <c r="U107" i="15" s="1"/>
  <c r="W107" i="15" s="1"/>
  <c r="P109" i="15" l="1"/>
  <c r="S109" i="15"/>
  <c r="AA3" i="15"/>
  <c r="S108" i="15"/>
  <c r="U108" i="15" s="1"/>
  <c r="W108" i="15" s="1"/>
  <c r="R109" i="15" l="1"/>
  <c r="Z3" i="15"/>
  <c r="AB3" i="15" s="1"/>
  <c r="U109" i="15"/>
  <c r="AA4" i="15"/>
  <c r="R108" i="15"/>
  <c r="T108" i="15" s="1"/>
  <c r="V108" i="15" s="1"/>
  <c r="W109" i="15" l="1"/>
  <c r="AA6" i="15" s="1"/>
  <c r="AA5" i="15"/>
  <c r="T109" i="15"/>
  <c r="Z4" i="15"/>
  <c r="AB4" i="15" s="1"/>
  <c r="V109" i="15" l="1"/>
  <c r="Z6" i="15" s="1"/>
  <c r="AB6" i="15" s="1"/>
  <c r="Z9" i="15" s="1"/>
  <c r="Z10" i="15" s="1"/>
  <c r="Z5" i="15"/>
  <c r="AB5" i="15" s="1"/>
  <c r="K3" i="15" l="1"/>
  <c r="K4" i="15"/>
  <c r="E5" i="13" l="1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4" i="13"/>
  <c r="M4" i="13" s="1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4" i="13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" i="10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" i="9"/>
  <c r="H32" i="8"/>
  <c r="H31" i="8"/>
  <c r="H30" i="8"/>
  <c r="H2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H2" i="8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H5" i="7"/>
  <c r="H4" i="7"/>
  <c r="H3" i="7"/>
  <c r="H2" i="7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" i="6"/>
  <c r="H10" i="6"/>
  <c r="H9" i="6"/>
  <c r="H8" i="6"/>
  <c r="H7" i="6"/>
  <c r="H6" i="6"/>
  <c r="H5" i="6"/>
  <c r="H4" i="6"/>
  <c r="H3" i="6"/>
  <c r="H2" i="6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O20" i="13" l="1"/>
  <c r="P20" i="13" s="1"/>
  <c r="N20" i="13"/>
  <c r="N19" i="13"/>
  <c r="O19" i="13"/>
  <c r="P19" i="13" s="1"/>
  <c r="N11" i="13"/>
  <c r="O11" i="13"/>
  <c r="P11" i="13" s="1"/>
  <c r="S13" i="13"/>
  <c r="R13" i="13"/>
  <c r="R20" i="13"/>
  <c r="S20" i="13"/>
  <c r="T20" i="13" s="1"/>
  <c r="R27" i="13"/>
  <c r="S27" i="13"/>
  <c r="T27" i="13" s="1"/>
  <c r="R19" i="13"/>
  <c r="S19" i="13"/>
  <c r="T19" i="13" s="1"/>
  <c r="R11" i="13"/>
  <c r="S11" i="13"/>
  <c r="N34" i="13"/>
  <c r="O34" i="13"/>
  <c r="P34" i="13" s="1"/>
  <c r="N26" i="13"/>
  <c r="O26" i="13"/>
  <c r="P26" i="13" s="1"/>
  <c r="N18" i="13"/>
  <c r="O18" i="13"/>
  <c r="P18" i="13" s="1"/>
  <c r="N10" i="13"/>
  <c r="O10" i="13"/>
  <c r="P10" i="13" s="1"/>
  <c r="N12" i="13"/>
  <c r="O12" i="13"/>
  <c r="P12" i="13" s="1"/>
  <c r="N27" i="13"/>
  <c r="O27" i="13"/>
  <c r="P27" i="13" s="1"/>
  <c r="R18" i="13"/>
  <c r="S18" i="13"/>
  <c r="T18" i="13" s="1"/>
  <c r="S10" i="13"/>
  <c r="R10" i="13"/>
  <c r="N33" i="13"/>
  <c r="O33" i="13"/>
  <c r="P33" i="13" s="1"/>
  <c r="N25" i="13"/>
  <c r="O25" i="13"/>
  <c r="P25" i="13" s="1"/>
  <c r="O17" i="13"/>
  <c r="P17" i="13" s="1"/>
  <c r="N17" i="13"/>
  <c r="N9" i="13"/>
  <c r="O9" i="13"/>
  <c r="P9" i="13" s="1"/>
  <c r="R5" i="13"/>
  <c r="R28" i="13"/>
  <c r="S28" i="13"/>
  <c r="T28" i="13" s="1"/>
  <c r="S25" i="13"/>
  <c r="T25" i="13" s="1"/>
  <c r="R25" i="13"/>
  <c r="N24" i="13"/>
  <c r="O24" i="13"/>
  <c r="P24" i="13" s="1"/>
  <c r="N16" i="13"/>
  <c r="O16" i="13"/>
  <c r="P16" i="13" s="1"/>
  <c r="N8" i="13"/>
  <c r="O8" i="13"/>
  <c r="P8" i="13" s="1"/>
  <c r="S29" i="13"/>
  <c r="T29" i="13" s="1"/>
  <c r="R29" i="13"/>
  <c r="S33" i="13"/>
  <c r="T33" i="13" s="1"/>
  <c r="R33" i="13"/>
  <c r="S9" i="13"/>
  <c r="R9" i="13"/>
  <c r="S32" i="13"/>
  <c r="T32" i="13" s="1"/>
  <c r="R32" i="13"/>
  <c r="S24" i="13"/>
  <c r="T24" i="13" s="1"/>
  <c r="R24" i="13"/>
  <c r="R16" i="13"/>
  <c r="S16" i="13"/>
  <c r="R8" i="13"/>
  <c r="S8" i="13"/>
  <c r="N31" i="13"/>
  <c r="O31" i="13"/>
  <c r="P31" i="13" s="1"/>
  <c r="N23" i="13"/>
  <c r="O23" i="13"/>
  <c r="P23" i="13" s="1"/>
  <c r="N15" i="13"/>
  <c r="O15" i="13"/>
  <c r="P15" i="13" s="1"/>
  <c r="N7" i="13"/>
  <c r="O7" i="13"/>
  <c r="P7" i="13" s="1"/>
  <c r="O28" i="13"/>
  <c r="P28" i="13" s="1"/>
  <c r="N28" i="13"/>
  <c r="R12" i="13"/>
  <c r="S12" i="13"/>
  <c r="R26" i="13"/>
  <c r="S26" i="13"/>
  <c r="T26" i="13" s="1"/>
  <c r="N32" i="13"/>
  <c r="O32" i="13"/>
  <c r="P32" i="13" s="1"/>
  <c r="R31" i="13"/>
  <c r="S31" i="13"/>
  <c r="T31" i="13" s="1"/>
  <c r="R23" i="13"/>
  <c r="S23" i="13"/>
  <c r="T23" i="13" s="1"/>
  <c r="R15" i="13"/>
  <c r="S15" i="13"/>
  <c r="R7" i="13"/>
  <c r="S7" i="13"/>
  <c r="N30" i="13"/>
  <c r="O30" i="13"/>
  <c r="P30" i="13" s="1"/>
  <c r="N22" i="13"/>
  <c r="O22" i="13"/>
  <c r="P22" i="13" s="1"/>
  <c r="O14" i="13"/>
  <c r="P14" i="13" s="1"/>
  <c r="N14" i="13"/>
  <c r="O6" i="13"/>
  <c r="P6" i="13" s="1"/>
  <c r="N6" i="13"/>
  <c r="S21" i="13"/>
  <c r="T21" i="13" s="1"/>
  <c r="R21" i="13"/>
  <c r="N4" i="13"/>
  <c r="T34" i="13"/>
  <c r="R34" i="13"/>
  <c r="R17" i="13"/>
  <c r="S30" i="13"/>
  <c r="T30" i="13" s="1"/>
  <c r="R30" i="13"/>
  <c r="S22" i="13"/>
  <c r="T22" i="13" s="1"/>
  <c r="R22" i="13"/>
  <c r="S14" i="13"/>
  <c r="R14" i="13"/>
  <c r="R6" i="13"/>
  <c r="S6" i="13"/>
  <c r="O29" i="13"/>
  <c r="P29" i="13" s="1"/>
  <c r="N29" i="13"/>
  <c r="N21" i="13"/>
  <c r="O21" i="13"/>
  <c r="P21" i="13" s="1"/>
  <c r="N13" i="13"/>
  <c r="O13" i="13"/>
  <c r="P13" i="13" s="1"/>
  <c r="N5" i="13"/>
  <c r="O5" i="13"/>
  <c r="P5" i="13" s="1"/>
  <c r="H3" i="1"/>
  <c r="D5" i="13" s="1"/>
  <c r="I5" i="13" s="1"/>
  <c r="H4" i="1"/>
  <c r="D6" i="13" s="1"/>
  <c r="I6" i="13" s="1"/>
  <c r="H5" i="1"/>
  <c r="D7" i="13" s="1"/>
  <c r="I7" i="13" s="1"/>
  <c r="H6" i="1"/>
  <c r="D8" i="13" s="1"/>
  <c r="I8" i="13" s="1"/>
  <c r="H7" i="1"/>
  <c r="D9" i="13" s="1"/>
  <c r="I9" i="13" s="1"/>
  <c r="H8" i="1"/>
  <c r="D10" i="13" s="1"/>
  <c r="I10" i="13" s="1"/>
  <c r="H9" i="1"/>
  <c r="D11" i="13" s="1"/>
  <c r="I11" i="13" s="1"/>
  <c r="H10" i="1"/>
  <c r="D12" i="13" s="1"/>
  <c r="I12" i="13" s="1"/>
  <c r="H11" i="1"/>
  <c r="D13" i="13" s="1"/>
  <c r="I13" i="13" s="1"/>
  <c r="H12" i="1"/>
  <c r="D14" i="13" s="1"/>
  <c r="I14" i="13" s="1"/>
  <c r="H13" i="1"/>
  <c r="D15" i="13" s="1"/>
  <c r="I15" i="13" s="1"/>
  <c r="H14" i="1"/>
  <c r="D16" i="13" s="1"/>
  <c r="I16" i="13" s="1"/>
  <c r="H15" i="1"/>
  <c r="D17" i="13" s="1"/>
  <c r="I17" i="13" s="1"/>
  <c r="H16" i="1"/>
  <c r="D18" i="13" s="1"/>
  <c r="I18" i="13" s="1"/>
  <c r="H17" i="1"/>
  <c r="D19" i="13" s="1"/>
  <c r="I19" i="13" s="1"/>
  <c r="H18" i="1"/>
  <c r="D20" i="13" s="1"/>
  <c r="I20" i="13" s="1"/>
  <c r="H19" i="1"/>
  <c r="D21" i="13" s="1"/>
  <c r="I21" i="13" s="1"/>
  <c r="H20" i="1"/>
  <c r="D22" i="13" s="1"/>
  <c r="I22" i="13" s="1"/>
  <c r="H21" i="1"/>
  <c r="D23" i="13" s="1"/>
  <c r="I23" i="13" s="1"/>
  <c r="H22" i="1"/>
  <c r="D24" i="13" s="1"/>
  <c r="I24" i="13" s="1"/>
  <c r="H23" i="1"/>
  <c r="D25" i="13" s="1"/>
  <c r="I25" i="13" s="1"/>
  <c r="H24" i="1"/>
  <c r="D26" i="13" s="1"/>
  <c r="I26" i="13" s="1"/>
  <c r="H25" i="1"/>
  <c r="D27" i="13" s="1"/>
  <c r="I27" i="13" s="1"/>
  <c r="H26" i="1"/>
  <c r="D28" i="13" s="1"/>
  <c r="I28" i="13" s="1"/>
  <c r="H27" i="1"/>
  <c r="D29" i="13" s="1"/>
  <c r="I29" i="13" s="1"/>
  <c r="H28" i="1"/>
  <c r="D30" i="13" s="1"/>
  <c r="I30" i="13" s="1"/>
  <c r="H29" i="1"/>
  <c r="D31" i="13" s="1"/>
  <c r="I31" i="13" s="1"/>
  <c r="H30" i="1"/>
  <c r="D32" i="13" s="1"/>
  <c r="I32" i="13" s="1"/>
  <c r="H31" i="1"/>
  <c r="D33" i="13" s="1"/>
  <c r="I33" i="13" s="1"/>
  <c r="H32" i="1"/>
  <c r="D34" i="13" s="1"/>
  <c r="I34" i="13" s="1"/>
  <c r="H2" i="1"/>
  <c r="D4" i="13" s="1"/>
  <c r="I4" i="13" s="1"/>
  <c r="J16" i="13" l="1"/>
  <c r="K16" i="13"/>
  <c r="L16" i="13" s="1"/>
  <c r="K31" i="13"/>
  <c r="L31" i="13" s="1"/>
  <c r="J31" i="13"/>
  <c r="J23" i="13"/>
  <c r="K23" i="13"/>
  <c r="L23" i="13" s="1"/>
  <c r="J15" i="13"/>
  <c r="K15" i="13"/>
  <c r="L15" i="13" s="1"/>
  <c r="K7" i="13"/>
  <c r="L7" i="13" s="1"/>
  <c r="J7" i="13"/>
  <c r="K30" i="13"/>
  <c r="L30" i="13" s="1"/>
  <c r="J30" i="13"/>
  <c r="K22" i="13"/>
  <c r="L22" i="13" s="1"/>
  <c r="J22" i="13"/>
  <c r="K14" i="13"/>
  <c r="L14" i="13" s="1"/>
  <c r="J14" i="13"/>
  <c r="K6" i="13"/>
  <c r="L6" i="13" s="1"/>
  <c r="J6" i="13"/>
  <c r="K32" i="13"/>
  <c r="L32" i="13" s="1"/>
  <c r="J32" i="13"/>
  <c r="J21" i="13"/>
  <c r="K21" i="13"/>
  <c r="L21" i="13" s="1"/>
  <c r="K5" i="13"/>
  <c r="L5" i="13" s="1"/>
  <c r="J5" i="13"/>
  <c r="J28" i="13"/>
  <c r="K28" i="13"/>
  <c r="L28" i="13" s="1"/>
  <c r="K20" i="13"/>
  <c r="L20" i="13" s="1"/>
  <c r="J20" i="13"/>
  <c r="K12" i="13"/>
  <c r="L12" i="13" s="1"/>
  <c r="J12" i="13"/>
  <c r="L4" i="13"/>
  <c r="J4" i="13"/>
  <c r="K27" i="13"/>
  <c r="L27" i="13" s="1"/>
  <c r="J27" i="13"/>
  <c r="K19" i="13"/>
  <c r="L19" i="13" s="1"/>
  <c r="J19" i="13"/>
  <c r="K11" i="13"/>
  <c r="L11" i="13" s="1"/>
  <c r="J11" i="13"/>
  <c r="J8" i="13"/>
  <c r="K8" i="13"/>
  <c r="L8" i="13" s="1"/>
  <c r="K10" i="13"/>
  <c r="L10" i="13" s="1"/>
  <c r="J10" i="13"/>
  <c r="K24" i="13"/>
  <c r="L24" i="13" s="1"/>
  <c r="J24" i="13"/>
  <c r="J29" i="13"/>
  <c r="K29" i="13"/>
  <c r="L29" i="13" s="1"/>
  <c r="J13" i="13"/>
  <c r="K13" i="13"/>
  <c r="L13" i="13" s="1"/>
  <c r="K34" i="13"/>
  <c r="L34" i="13" s="1"/>
  <c r="J34" i="13"/>
  <c r="K26" i="13"/>
  <c r="L26" i="13" s="1"/>
  <c r="J26" i="13"/>
  <c r="K18" i="13"/>
  <c r="L18" i="13" s="1"/>
  <c r="J18" i="13"/>
  <c r="K33" i="13"/>
  <c r="L33" i="13" s="1"/>
  <c r="J33" i="13"/>
  <c r="J25" i="13"/>
  <c r="K25" i="13"/>
  <c r="L25" i="13" s="1"/>
  <c r="K17" i="13"/>
  <c r="L17" i="13" s="1"/>
  <c r="J17" i="13"/>
  <c r="K9" i="13"/>
  <c r="L9" i="13" s="1"/>
  <c r="J9" i="13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G4" i="9"/>
  <c r="G3" i="9"/>
  <c r="G2" i="9"/>
  <c r="G2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2" i="5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2" i="4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2" i="2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G2" i="10" l="1"/>
  <c r="G10" i="10"/>
  <c r="G18" i="10"/>
  <c r="G26" i="10"/>
  <c r="G6" i="10"/>
  <c r="G14" i="10"/>
  <c r="G22" i="10"/>
  <c r="G30" i="10"/>
  <c r="G7" i="10"/>
  <c r="G15" i="10"/>
  <c r="G23" i="10"/>
  <c r="G31" i="10"/>
  <c r="G8" i="10"/>
  <c r="G16" i="10"/>
  <c r="G32" i="10"/>
  <c r="G17" i="10"/>
  <c r="G11" i="10"/>
  <c r="G27" i="10"/>
  <c r="G4" i="10"/>
  <c r="G12" i="10"/>
  <c r="G20" i="10"/>
  <c r="G28" i="10"/>
  <c r="G24" i="10"/>
  <c r="G9" i="10"/>
  <c r="G25" i="10"/>
  <c r="G3" i="10"/>
  <c r="G19" i="10"/>
  <c r="G5" i="10"/>
  <c r="G13" i="10"/>
  <c r="G21" i="10"/>
  <c r="G29" i="10"/>
  <c r="G21" i="7"/>
  <c r="G4" i="7"/>
  <c r="G12" i="7"/>
  <c r="G20" i="7"/>
  <c r="G28" i="7"/>
  <c r="G9" i="7"/>
  <c r="G17" i="7"/>
  <c r="G13" i="7"/>
  <c r="G14" i="7"/>
  <c r="G22" i="7"/>
  <c r="G7" i="7"/>
  <c r="G15" i="7"/>
  <c r="G31" i="7"/>
  <c r="G8" i="7"/>
  <c r="G16" i="7"/>
  <c r="G24" i="7"/>
  <c r="G2" i="7"/>
  <c r="G10" i="7"/>
  <c r="G18" i="7"/>
  <c r="G26" i="7"/>
  <c r="G5" i="7"/>
  <c r="G29" i="7"/>
  <c r="G6" i="7"/>
  <c r="G30" i="7"/>
  <c r="G23" i="7"/>
  <c r="G32" i="7"/>
  <c r="G25" i="7"/>
  <c r="G3" i="7"/>
  <c r="G11" i="7"/>
  <c r="G19" i="7"/>
  <c r="G27" i="7"/>
  <c r="F13" i="12" l="1"/>
  <c r="F19" i="12"/>
  <c r="F25" i="12"/>
  <c r="E25" i="12"/>
  <c r="E19" i="12"/>
  <c r="E13" i="12"/>
</calcChain>
</file>

<file path=xl/sharedStrings.xml><?xml version="1.0" encoding="utf-8"?>
<sst xmlns="http://schemas.openxmlformats.org/spreadsheetml/2006/main" count="294" uniqueCount="97">
  <si>
    <t>Cycle</t>
  </si>
  <si>
    <t>Time (years)</t>
  </si>
  <si>
    <t>Age</t>
  </si>
  <si>
    <t>Engine - SoC Markov trace - Stage 4</t>
  </si>
  <si>
    <t>Engine - Galleri Markov trace - Stage 1</t>
  </si>
  <si>
    <t>Post-diagnosis calculation - QALYs Galleri</t>
  </si>
  <si>
    <t>Age_band</t>
  </si>
  <si>
    <t>incidenceper100k</t>
  </si>
  <si>
    <t>female_incidenceper100k</t>
  </si>
  <si>
    <t>female_mean_survival</t>
  </si>
  <si>
    <t>male_incidenceper100k</t>
  </si>
  <si>
    <t>male_mean_survival</t>
  </si>
  <si>
    <t>50-54</t>
  </si>
  <si>
    <t>55-59</t>
  </si>
  <si>
    <t>60-64</t>
  </si>
  <si>
    <t>65-69</t>
  </si>
  <si>
    <t>70-74</t>
  </si>
  <si>
    <t>75-79</t>
  </si>
  <si>
    <t>stage</t>
  </si>
  <si>
    <t>I</t>
  </si>
  <si>
    <t>II</t>
  </si>
  <si>
    <t>III</t>
  </si>
  <si>
    <t>IV</t>
  </si>
  <si>
    <t>5-year_net_survival</t>
  </si>
  <si>
    <t>pooled_mean_survival</t>
  </si>
  <si>
    <t>Per patient QALYs</t>
  </si>
  <si>
    <t xml:space="preserve">Engine - SoC Markov trace - Stage 3 </t>
  </si>
  <si>
    <t>Engine - SoC Markov trace - Stage 2</t>
  </si>
  <si>
    <t>Engine - SoC Markov trace - Stage 1</t>
  </si>
  <si>
    <t>Engine - SoC Markov trace - Stage 3</t>
  </si>
  <si>
    <t>Engine - Galleri Markov trace - Stage 2</t>
  </si>
  <si>
    <t>Engine - Galleri Markov trace - Stage 3</t>
  </si>
  <si>
    <t>Stage I</t>
  </si>
  <si>
    <t>Stage II</t>
  </si>
  <si>
    <t>Stage III</t>
  </si>
  <si>
    <t>Stage IV</t>
  </si>
  <si>
    <t>Undiagnosed Cancer</t>
  </si>
  <si>
    <t>90+</t>
  </si>
  <si>
    <t>85-89</t>
  </si>
  <si>
    <t>80-84</t>
  </si>
  <si>
    <t>45-49</t>
  </si>
  <si>
    <t>40-44</t>
  </si>
  <si>
    <t>35-39</t>
  </si>
  <si>
    <t>30-34</t>
  </si>
  <si>
    <t>25-29</t>
  </si>
  <si>
    <t>20-24</t>
  </si>
  <si>
    <t>18-19</t>
  </si>
  <si>
    <t>PS</t>
  </si>
  <si>
    <t>16-17</t>
  </si>
  <si>
    <t>AS</t>
  </si>
  <si>
    <t>0-15</t>
  </si>
  <si>
    <t>females</t>
  </si>
  <si>
    <t>males</t>
  </si>
  <si>
    <t>Alive females</t>
  </si>
  <si>
    <t>Alive males</t>
  </si>
  <si>
    <t>Year</t>
  </si>
  <si>
    <t>Females</t>
  </si>
  <si>
    <t>Males</t>
  </si>
  <si>
    <t>Cat low bound</t>
  </si>
  <si>
    <t>Age cat</t>
  </si>
  <si>
    <t>Female</t>
  </si>
  <si>
    <t>Male</t>
  </si>
  <si>
    <t>utility_f4</t>
  </si>
  <si>
    <t>utility_m4</t>
  </si>
  <si>
    <t>female</t>
  </si>
  <si>
    <t>qx</t>
  </si>
  <si>
    <t>age</t>
  </si>
  <si>
    <t>check</t>
  </si>
  <si>
    <t>discounted</t>
  </si>
  <si>
    <t>utilities</t>
  </si>
  <si>
    <t>1/2 cycle adjust</t>
  </si>
  <si>
    <t>Proportion alive at the beginning of the period</t>
  </si>
  <si>
    <t>PT</t>
  </si>
  <si>
    <t>male</t>
  </si>
  <si>
    <t>Active utility</t>
  </si>
  <si>
    <t>Disc QALYs</t>
  </si>
  <si>
    <t>Age-specific utility (from paper)</t>
  </si>
  <si>
    <t>National Life Tables, England, period expectation of life, based on data for the years 2017-2019</t>
  </si>
  <si>
    <t>QALYs</t>
  </si>
  <si>
    <t>Starting age</t>
  </si>
  <si>
    <t>1/2 cycle adjusted</t>
  </si>
  <si>
    <t>Comparator QALE</t>
  </si>
  <si>
    <t>Proportion female</t>
  </si>
  <si>
    <t>Life years</t>
  </si>
  <si>
    <t>(1= Hernandez 3L, 2 = PT source)</t>
  </si>
  <si>
    <t>Utility source</t>
  </si>
  <si>
    <t>Discount rate</t>
  </si>
  <si>
    <t>overall</t>
  </si>
  <si>
    <t>Output</t>
  </si>
  <si>
    <t>USER INPUT VALUES</t>
  </si>
  <si>
    <t>Calculations</t>
  </si>
  <si>
    <t>NICE DSU Severity calculator - Allan Wailoo, Paul Tappenden.</t>
  </si>
  <si>
    <t>Weighred average of Discounted QALYs per person</t>
  </si>
  <si>
    <t>Absolute shortfall</t>
  </si>
  <si>
    <t>Proportional shortfall</t>
  </si>
  <si>
    <t>Modifier</t>
  </si>
  <si>
    <t>Discounted gen pop QALYs (50 year model start 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</si>
</sst>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0.0000"/>
  </numFmts>
  <fonts count="1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theme="1"/>
      <name val="Lucida Grande"/>
      <family val="2"/>
    </font>
    <font>
      <b/>
      <sz val="12"/>
      <color rgb="FFFF0000"/>
      <name val="Aptos Narrow"/>
      <scheme val="minor"/>
    </font>
    <font>
      <sz val="12"/>
      <color rgb="FFFF0000"/>
      <name val="Aptos Narrow"/>
      <scheme val="minor"/>
    </font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b/>
      <sz val="11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b/>
      <sz val="15"/>
      <color rgb="FF000000"/>
      <name val="Calibri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ck">
        <color rgb="FFFF0000"/>
      </right>
      <top/>
      <bottom style="thick">
        <color rgb="FFFF0000"/>
      </bottom>
      <diagonal/>
    </border>
    <border>
      <left style="thick">
        <color rgb="FFFF0000"/>
      </left>
      <right/>
      <top/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/>
      <top style="thick">
        <color rgb="FFFF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rgb="FFFF0000"/>
      </right>
      <top/>
      <bottom/>
      <diagonal/>
    </border>
    <border>
      <left style="thick">
        <color rgb="FFFF0000"/>
      </left>
      <right/>
      <top/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3">
    <xf numFmtId="0" fontId="0" fillId="0" borderId="0"/>
    <xf numFmtId="0" fontId="5" fillId="0" borderId="0"/>
    <xf numFmtId="0" fontId="6" fillId="0" borderId="0"/>
  </cellStyleXfs>
  <cellXfs count="7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 applyAlignment="1">
      <alignment wrapText="1"/>
    </xf>
    <xf numFmtId="0" fontId="0" fillId="0" borderId="1" xfId="0" applyBorder="1"/>
    <xf numFmtId="0" fontId="1" fillId="2" borderId="1" xfId="0" applyFont="1" applyFill="1" applyBorder="1" applyAlignment="1">
      <alignment wrapText="1"/>
    </xf>
    <xf numFmtId="164" fontId="0" fillId="0" borderId="0" xfId="0" applyNumberFormat="1"/>
    <xf numFmtId="2" fontId="0" fillId="0" borderId="0" xfId="0" applyNumberFormat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center" wrapText="1"/>
    </xf>
    <xf numFmtId="0" fontId="0" fillId="0" borderId="0" xfId="0" applyAlignment="1">
      <alignment horizontal="left" vertical="top"/>
    </xf>
    <xf numFmtId="0" fontId="1" fillId="2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5" fillId="0" borderId="0" xfId="1"/>
    <xf numFmtId="0" fontId="5" fillId="4" borderId="0" xfId="1" applyFill="1"/>
    <xf numFmtId="164" fontId="6" fillId="0" borderId="0" xfId="2" applyNumberFormat="1"/>
    <xf numFmtId="165" fontId="6" fillId="0" borderId="0" xfId="2" applyNumberFormat="1"/>
    <xf numFmtId="164" fontId="5" fillId="0" borderId="0" xfId="1" applyNumberFormat="1"/>
    <xf numFmtId="0" fontId="7" fillId="0" borderId="0" xfId="1" applyFont="1"/>
    <xf numFmtId="0" fontId="6" fillId="0" borderId="0" xfId="2"/>
    <xf numFmtId="165" fontId="5" fillId="0" borderId="0" xfId="1" applyNumberFormat="1"/>
    <xf numFmtId="164" fontId="6" fillId="0" borderId="2" xfId="2" applyNumberFormat="1" applyBorder="1"/>
    <xf numFmtId="164" fontId="6" fillId="0" borderId="1" xfId="2" applyNumberFormat="1" applyBorder="1"/>
    <xf numFmtId="0" fontId="5" fillId="0" borderId="1" xfId="1" applyBorder="1"/>
    <xf numFmtId="0" fontId="5" fillId="0" borderId="3" xfId="1" applyBorder="1"/>
    <xf numFmtId="164" fontId="6" fillId="0" borderId="4" xfId="2" applyNumberFormat="1" applyBorder="1"/>
    <xf numFmtId="0" fontId="5" fillId="0" borderId="5" xfId="1" applyBorder="1"/>
    <xf numFmtId="0" fontId="5" fillId="0" borderId="6" xfId="1" applyBorder="1"/>
    <xf numFmtId="0" fontId="8" fillId="0" borderId="7" xfId="1" applyFont="1" applyBorder="1"/>
    <xf numFmtId="0" fontId="5" fillId="0" borderId="8" xfId="1" applyBorder="1"/>
    <xf numFmtId="0" fontId="8" fillId="0" borderId="9" xfId="1" applyFont="1" applyBorder="1"/>
    <xf numFmtId="0" fontId="8" fillId="0" borderId="0" xfId="1" applyFont="1"/>
    <xf numFmtId="0" fontId="5" fillId="0" borderId="4" xfId="1" applyBorder="1"/>
    <xf numFmtId="0" fontId="9" fillId="0" borderId="0" xfId="2" applyFont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7" fillId="0" borderId="12" xfId="1" applyFont="1" applyBorder="1" applyAlignment="1">
      <alignment horizontal="right" vertical="top"/>
    </xf>
    <xf numFmtId="166" fontId="5" fillId="0" borderId="0" xfId="1" applyNumberFormat="1"/>
    <xf numFmtId="0" fontId="8" fillId="0" borderId="0" xfId="1" applyFont="1"/>
    <xf numFmtId="0" fontId="8" fillId="0" borderId="0" xfId="1" applyFont="1" applyAlignment="1">
      <alignment wrapText="1"/>
    </xf>
    <xf numFmtId="0" fontId="5" fillId="0" borderId="13" xfId="1" applyBorder="1"/>
    <xf numFmtId="0" fontId="5" fillId="0" borderId="14" xfId="1" applyBorder="1"/>
    <xf numFmtId="0" fontId="8" fillId="0" borderId="14" xfId="1" applyFont="1" applyBorder="1"/>
    <xf numFmtId="0" fontId="8" fillId="0" borderId="15" xfId="1" applyFont="1" applyBorder="1"/>
    <xf numFmtId="0" fontId="5" fillId="0" borderId="4" xfId="1" applyBorder="1" applyAlignment="1">
      <alignment wrapText="1"/>
    </xf>
    <xf numFmtId="0" fontId="5" fillId="0" borderId="0" xfId="1" applyAlignment="1">
      <alignment wrapText="1"/>
    </xf>
    <xf numFmtId="0" fontId="10" fillId="0" borderId="0" xfId="2" applyFont="1" applyAlignment="1">
      <alignment wrapText="1"/>
    </xf>
    <xf numFmtId="0" fontId="5" fillId="0" borderId="2" xfId="1" applyBorder="1"/>
    <xf numFmtId="0" fontId="5" fillId="0" borderId="16" xfId="1" applyBorder="1"/>
    <xf numFmtId="0" fontId="5" fillId="0" borderId="17" xfId="1" applyBorder="1"/>
    <xf numFmtId="0" fontId="8" fillId="0" borderId="18" xfId="1" applyFont="1" applyBorder="1"/>
    <xf numFmtId="2" fontId="8" fillId="0" borderId="6" xfId="1" applyNumberFormat="1" applyFont="1" applyBorder="1"/>
    <xf numFmtId="0" fontId="5" fillId="0" borderId="19" xfId="1" applyBorder="1"/>
    <xf numFmtId="0" fontId="8" fillId="0" borderId="20" xfId="1" applyFont="1" applyBorder="1"/>
    <xf numFmtId="2" fontId="8" fillId="0" borderId="21" xfId="1" applyNumberFormat="1" applyFont="1" applyBorder="1"/>
    <xf numFmtId="0" fontId="8" fillId="0" borderId="22" xfId="1" applyFont="1" applyBorder="1"/>
    <xf numFmtId="0" fontId="5" fillId="0" borderId="23" xfId="1" applyBorder="1"/>
    <xf numFmtId="0" fontId="8" fillId="0" borderId="24" xfId="1" applyFont="1" applyBorder="1"/>
    <xf numFmtId="0" fontId="8" fillId="0" borderId="8" xfId="1" applyFont="1" applyBorder="1"/>
    <xf numFmtId="0" fontId="5" fillId="0" borderId="25" xfId="1" applyBorder="1"/>
    <xf numFmtId="0" fontId="5" fillId="0" borderId="26" xfId="1" applyBorder="1"/>
    <xf numFmtId="0" fontId="5" fillId="0" borderId="27" xfId="1" applyBorder="1"/>
    <xf numFmtId="0" fontId="11" fillId="0" borderId="0" xfId="1" applyFont="1"/>
    <xf numFmtId="0" fontId="5" fillId="0" borderId="28" xfId="1" applyBorder="1"/>
    <xf numFmtId="2" fontId="0" fillId="0" borderId="0" xfId="0" applyNumberFormat="1"/>
    <xf numFmtId="0" fontId="1" fillId="2" borderId="29" xfId="0" applyFont="1" applyFill="1" applyBorder="1" applyAlignment="1">
      <alignment horizontal="center" wrapText="1"/>
    </xf>
    <xf numFmtId="0" fontId="0" fillId="0" borderId="29" xfId="0" applyBorder="1"/>
    <xf numFmtId="0" fontId="1" fillId="2" borderId="4" xfId="0" applyFont="1" applyFill="1" applyBorder="1" applyAlignment="1">
      <alignment horizontal="center" wrapText="1"/>
    </xf>
    <xf numFmtId="0" fontId="0" fillId="0" borderId="4" xfId="0" applyBorder="1"/>
    <xf numFmtId="0" fontId="0" fillId="5" borderId="4" xfId="0" applyFill="1" applyBorder="1"/>
    <xf numFmtId="2" fontId="0" fillId="5" borderId="0" xfId="0" applyNumberFormat="1" applyFill="1"/>
    <xf numFmtId="0" fontId="0" fillId="5" borderId="0" xfId="0" applyFill="1"/>
  </cellXfs>
  <cellStyles count="3">
    <cellStyle name="Normal" xfId="0" builtinId="0"/>
    <cellStyle name="Normal 2" xfId="1" xr:uid="{EC4D90B0-DD98-CE43-8363-DC6392879627}"/>
    <cellStyle name="Normal 4" xfId="2" xr:uid="{45635F3E-1359-244C-9D8E-DCE21AF40D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jones/GalleriCEmodel/analyses/NICE_modifier/Excel%20model/CEM_DiseaseSeverityModifier.xlsb" TargetMode="External"/><Relationship Id="rId1" Type="http://schemas.openxmlformats.org/officeDocument/2006/relationships/externalLinkPath" Target="/Users/dajones/GalleriCEmodel/analyses/NICE_modifier/Excel%20model/CEM_DiseaseSeverityModifier.xlsb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jones/Downloads/Calcs%20v2%2030%201%2023.xlsx" TargetMode="External"/><Relationship Id="rId1" Type="http://schemas.openxmlformats.org/officeDocument/2006/relationships/externalLinkPath" Target="/Users/dajones/Downloads/Calcs%20v2%2030%201%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Overview"/>
      <sheetName val="Model Diagram"/>
      <sheetName val="Model Assumptions"/>
      <sheetName val="Settings"/>
      <sheetName val="GRAIL Test"/>
      <sheetName val="SoC Tests"/>
      <sheetName val="Incidence"/>
      <sheetName val="Survival"/>
      <sheetName val="Stage Shift"/>
      <sheetName val="Time Shift"/>
      <sheetName val="Costs"/>
      <sheetName val="Utilities"/>
      <sheetName val="Results"/>
      <sheetName val="DSA Results"/>
      <sheetName val="PSA Results"/>
      <sheetName val="Parameters"/>
      <sheetName val="Engine - SoC"/>
      <sheetName val="Engine - GRAIL"/>
      <sheetName val="Pre-Diagnosis Calculations"/>
      <sheetName val="Post-Diagnosis Calculations"/>
      <sheetName val="Overdiagnosis Calculations"/>
      <sheetName val="Patient Count"/>
      <sheetName val="Time Shift Lookup"/>
      <sheetName val="LifeTables"/>
      <sheetName val="Intermediate Calcs"/>
      <sheetName val="Time Shift Calcs"/>
      <sheetName val="Slip Rate Calcs"/>
      <sheetName val="Stage Shift Calcs"/>
      <sheetName val="Survival Table"/>
      <sheetName val="DropDown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8">
          <cell r="F38" t="b">
            <v>1</v>
          </cell>
        </row>
        <row r="39">
          <cell r="F39" t="b">
            <v>0</v>
          </cell>
        </row>
        <row r="40">
          <cell r="F40" t="b">
            <v>0</v>
          </cell>
        </row>
        <row r="41">
          <cell r="F41" t="b">
            <v>0</v>
          </cell>
        </row>
        <row r="42">
          <cell r="F42" t="b">
            <v>0</v>
          </cell>
        </row>
        <row r="43">
          <cell r="F43" t="b">
            <v>0</v>
          </cell>
        </row>
        <row r="44">
          <cell r="F44" t="b">
            <v>0</v>
          </cell>
        </row>
        <row r="45">
          <cell r="F45" t="b">
            <v>0</v>
          </cell>
        </row>
        <row r="46">
          <cell r="F46" t="b">
            <v>0</v>
          </cell>
        </row>
        <row r="47">
          <cell r="F47" t="b">
            <v>0</v>
          </cell>
        </row>
        <row r="48">
          <cell r="F48" t="b">
            <v>0</v>
          </cell>
        </row>
        <row r="49">
          <cell r="F49" t="b">
            <v>0</v>
          </cell>
        </row>
        <row r="50">
          <cell r="F50" t="b">
            <v>0</v>
          </cell>
        </row>
        <row r="51">
          <cell r="F51" t="b">
            <v>0</v>
          </cell>
        </row>
        <row r="52">
          <cell r="F52" t="b">
            <v>0</v>
          </cell>
        </row>
        <row r="53">
          <cell r="F53" t="b">
            <v>0</v>
          </cell>
        </row>
        <row r="54">
          <cell r="F54" t="b">
            <v>0</v>
          </cell>
        </row>
        <row r="55">
          <cell r="F55" t="b">
            <v>0</v>
          </cell>
        </row>
        <row r="56">
          <cell r="F56" t="b">
            <v>0</v>
          </cell>
        </row>
        <row r="57">
          <cell r="F57" t="b">
            <v>0</v>
          </cell>
        </row>
        <row r="58">
          <cell r="F58" t="b">
            <v>0</v>
          </cell>
        </row>
        <row r="59">
          <cell r="F59" t="b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8">
          <cell r="E8">
            <v>3.5000000000000003E-2</v>
          </cell>
        </row>
        <row r="9">
          <cell r="E9">
            <v>3.5000000000000003E-2</v>
          </cell>
        </row>
        <row r="11">
          <cell r="E11">
            <v>50</v>
          </cell>
        </row>
        <row r="12">
          <cell r="E12">
            <v>100</v>
          </cell>
        </row>
        <row r="13">
          <cell r="E13">
            <v>100</v>
          </cell>
        </row>
        <row r="14">
          <cell r="E14">
            <v>0.53333333333333333</v>
          </cell>
        </row>
        <row r="15">
          <cell r="E15">
            <v>100000</v>
          </cell>
        </row>
        <row r="19">
          <cell r="E19">
            <v>0.25</v>
          </cell>
        </row>
        <row r="24">
          <cell r="E24">
            <v>1136.5313651458687</v>
          </cell>
        </row>
        <row r="25">
          <cell r="E25">
            <v>1344.5914703719432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401.99221658413239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123.08188653840008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0</v>
          </cell>
        </row>
        <row r="39">
          <cell r="E39">
            <v>0</v>
          </cell>
        </row>
        <row r="40">
          <cell r="E40">
            <v>109.65257191936757</v>
          </cell>
        </row>
        <row r="41">
          <cell r="E41">
            <v>0</v>
          </cell>
        </row>
        <row r="42">
          <cell r="E42">
            <v>0</v>
          </cell>
        </row>
        <row r="43">
          <cell r="E43">
            <v>0</v>
          </cell>
        </row>
        <row r="44">
          <cell r="E44">
            <v>0</v>
          </cell>
        </row>
        <row r="45">
          <cell r="E45">
            <v>0</v>
          </cell>
        </row>
        <row r="46">
          <cell r="E46">
            <v>3.9E-2</v>
          </cell>
        </row>
        <row r="47">
          <cell r="E47">
            <v>0.22566666664410001</v>
          </cell>
        </row>
        <row r="48">
          <cell r="E48">
            <v>0</v>
          </cell>
        </row>
        <row r="49">
          <cell r="E49">
            <v>0</v>
          </cell>
        </row>
        <row r="50">
          <cell r="E50">
            <v>0.77600000000000002</v>
          </cell>
        </row>
        <row r="51">
          <cell r="E51">
            <v>0</v>
          </cell>
        </row>
        <row r="52">
          <cell r="E52">
            <v>0</v>
          </cell>
        </row>
        <row r="53">
          <cell r="E53">
            <v>0</v>
          </cell>
        </row>
        <row r="54">
          <cell r="E54">
            <v>0</v>
          </cell>
        </row>
        <row r="55">
          <cell r="E55">
            <v>0</v>
          </cell>
        </row>
        <row r="56">
          <cell r="E56">
            <v>0.19800000000000001</v>
          </cell>
        </row>
        <row r="57">
          <cell r="E57">
            <v>0</v>
          </cell>
        </row>
        <row r="58">
          <cell r="E58">
            <v>0</v>
          </cell>
        </row>
        <row r="59">
          <cell r="E59">
            <v>0</v>
          </cell>
        </row>
        <row r="60">
          <cell r="E60">
            <v>0</v>
          </cell>
        </row>
        <row r="61">
          <cell r="E61">
            <v>0</v>
          </cell>
        </row>
        <row r="62">
          <cell r="E62">
            <v>0.26600000000000001</v>
          </cell>
        </row>
        <row r="63">
          <cell r="E63">
            <v>0</v>
          </cell>
        </row>
        <row r="64">
          <cell r="E64">
            <v>0</v>
          </cell>
        </row>
        <row r="65">
          <cell r="E65">
            <v>0</v>
          </cell>
        </row>
        <row r="66">
          <cell r="E66">
            <v>0</v>
          </cell>
        </row>
        <row r="67">
          <cell r="E67">
            <v>0</v>
          </cell>
        </row>
        <row r="68">
          <cell r="E68">
            <v>0.872</v>
          </cell>
        </row>
        <row r="69">
          <cell r="E69">
            <v>0.87</v>
          </cell>
        </row>
        <row r="70">
          <cell r="E70">
            <v>1</v>
          </cell>
        </row>
        <row r="71">
          <cell r="E71">
            <v>1</v>
          </cell>
        </row>
        <row r="72">
          <cell r="E72">
            <v>0.89</v>
          </cell>
        </row>
        <row r="73">
          <cell r="E73">
            <v>1</v>
          </cell>
        </row>
        <row r="74">
          <cell r="E74">
            <v>1</v>
          </cell>
        </row>
        <row r="75">
          <cell r="E75">
            <v>1</v>
          </cell>
        </row>
        <row r="76">
          <cell r="E76">
            <v>1</v>
          </cell>
        </row>
        <row r="77">
          <cell r="E77">
            <v>1</v>
          </cell>
        </row>
        <row r="78">
          <cell r="E78">
            <v>0.91</v>
          </cell>
        </row>
        <row r="79">
          <cell r="E79">
            <v>1</v>
          </cell>
        </row>
        <row r="80">
          <cell r="E80">
            <v>1</v>
          </cell>
        </row>
        <row r="81">
          <cell r="E81">
            <v>1</v>
          </cell>
        </row>
        <row r="82">
          <cell r="E82">
            <v>1</v>
          </cell>
        </row>
        <row r="83">
          <cell r="E83">
            <v>1</v>
          </cell>
        </row>
        <row r="84">
          <cell r="E84">
            <v>0.85</v>
          </cell>
        </row>
        <row r="85">
          <cell r="E85">
            <v>1</v>
          </cell>
        </row>
        <row r="86">
          <cell r="E86">
            <v>1</v>
          </cell>
        </row>
        <row r="87">
          <cell r="E87">
            <v>1</v>
          </cell>
        </row>
        <row r="88">
          <cell r="E88">
            <v>1</v>
          </cell>
        </row>
        <row r="89">
          <cell r="E89">
            <v>1</v>
          </cell>
        </row>
        <row r="90">
          <cell r="E90">
            <v>1</v>
          </cell>
        </row>
        <row r="92">
          <cell r="E92">
            <v>50</v>
          </cell>
        </row>
        <row r="93">
          <cell r="E93">
            <v>55</v>
          </cell>
        </row>
        <row r="94">
          <cell r="E94">
            <v>60</v>
          </cell>
        </row>
        <row r="95">
          <cell r="E95">
            <v>65</v>
          </cell>
        </row>
        <row r="96">
          <cell r="E96">
            <v>70</v>
          </cell>
        </row>
        <row r="97">
          <cell r="E97">
            <v>75</v>
          </cell>
        </row>
        <row r="98">
          <cell r="E98">
            <v>80</v>
          </cell>
        </row>
        <row r="99">
          <cell r="E99">
            <v>85</v>
          </cell>
        </row>
        <row r="100">
          <cell r="E100">
            <v>90</v>
          </cell>
        </row>
        <row r="101">
          <cell r="E101">
            <v>95</v>
          </cell>
        </row>
        <row r="112">
          <cell r="E112">
            <v>1</v>
          </cell>
        </row>
        <row r="113">
          <cell r="E113">
            <v>0</v>
          </cell>
        </row>
        <row r="114">
          <cell r="E114">
            <v>0</v>
          </cell>
        </row>
        <row r="115">
          <cell r="E115">
            <v>0</v>
          </cell>
        </row>
        <row r="116">
          <cell r="E116">
            <v>0</v>
          </cell>
        </row>
        <row r="117">
          <cell r="E117">
            <v>0</v>
          </cell>
        </row>
        <row r="118">
          <cell r="E118">
            <v>1</v>
          </cell>
        </row>
        <row r="119">
          <cell r="E119">
            <v>0</v>
          </cell>
        </row>
        <row r="120">
          <cell r="E120">
            <v>0</v>
          </cell>
        </row>
        <row r="121">
          <cell r="E121">
            <v>0</v>
          </cell>
        </row>
        <row r="122">
          <cell r="E122">
            <v>0</v>
          </cell>
        </row>
        <row r="123">
          <cell r="E123">
            <v>0</v>
          </cell>
        </row>
        <row r="1118">
          <cell r="E1118">
            <v>1180.7124063829767</v>
          </cell>
        </row>
        <row r="1119">
          <cell r="E1119">
            <v>0</v>
          </cell>
        </row>
        <row r="1120">
          <cell r="E1120">
            <v>0</v>
          </cell>
        </row>
        <row r="1121">
          <cell r="E1121">
            <v>0</v>
          </cell>
        </row>
        <row r="1783">
          <cell r="E1783">
            <v>0.82206666666666672</v>
          </cell>
        </row>
        <row r="1784">
          <cell r="E1784">
            <v>0.81</v>
          </cell>
        </row>
        <row r="1785">
          <cell r="E1785">
            <v>0.79733333333333334</v>
          </cell>
        </row>
        <row r="1786">
          <cell r="E1786">
            <v>0.79053333333333331</v>
          </cell>
        </row>
        <row r="1787">
          <cell r="E1787">
            <v>0.79500000000000004</v>
          </cell>
        </row>
        <row r="1788">
          <cell r="E1788">
            <v>0.76766666666666672</v>
          </cell>
        </row>
        <row r="1789">
          <cell r="E1789">
            <v>0.74686666666666668</v>
          </cell>
        </row>
        <row r="1790">
          <cell r="E1790">
            <v>0.6932666666666667</v>
          </cell>
        </row>
        <row r="1791">
          <cell r="E1791">
            <v>0.66393333333333338</v>
          </cell>
        </row>
        <row r="1792">
          <cell r="E1792">
            <v>0.66393333333333338</v>
          </cell>
        </row>
        <row r="1793">
          <cell r="E1793">
            <v>0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10">
          <cell r="E10">
            <v>0.25</v>
          </cell>
          <cell r="F10">
            <v>0.98168436111126578</v>
          </cell>
          <cell r="G10">
            <v>1.7980176260831704E-2</v>
          </cell>
          <cell r="H10">
            <v>3.2931841554917352E-4</v>
          </cell>
          <cell r="I10">
            <v>6.0316771786084189E-6</v>
          </cell>
          <cell r="J10">
            <v>1.1047402115327287E-7</v>
          </cell>
          <cell r="K10">
            <v>2.0234022235499083E-9</v>
          </cell>
          <cell r="L10">
            <v>3.70599106958025E-11</v>
          </cell>
          <cell r="M10">
            <v>6.7879035725582071E-13</v>
          </cell>
          <cell r="N10">
            <v>1.2434497875801753E-14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</row>
        <row r="11">
          <cell r="E11">
            <v>0.5</v>
          </cell>
          <cell r="F11">
            <v>0.8646647167633873</v>
          </cell>
          <cell r="G11">
            <v>0.11701964434787848</v>
          </cell>
          <cell r="H11">
            <v>1.5836886712067844E-2</v>
          </cell>
          <cell r="I11">
            <v>2.1432895487638604E-3</v>
          </cell>
          <cell r="J11">
            <v>2.9006269814002561E-4</v>
          </cell>
          <cell r="K11">
            <v>3.9255717409147906E-5</v>
          </cell>
          <cell r="L11">
            <v>5.3126836342398676E-6</v>
          </cell>
          <cell r="M11">
            <v>7.1899354436855134E-7</v>
          </cell>
          <cell r="N11">
            <v>9.7305195012609147E-8</v>
          </cell>
          <cell r="O11">
            <v>1.3168826140663725E-8</v>
          </cell>
          <cell r="P11">
            <v>1.7822068265616053E-9</v>
          </cell>
          <cell r="Q11">
            <v>2.4119539698830295E-10</v>
          </cell>
          <cell r="R11">
            <v>3.264222225851654E-11</v>
          </cell>
          <cell r="S11">
            <v>4.4176884372859604E-12</v>
          </cell>
          <cell r="T11">
            <v>5.978550987606468E-13</v>
          </cell>
          <cell r="U11">
            <v>8.0935258495173912E-14</v>
          </cell>
          <cell r="V11">
            <v>1.099120794378905E-14</v>
          </cell>
          <cell r="W11">
            <v>1.4432899320127035E-15</v>
          </cell>
          <cell r="X11">
            <v>0</v>
          </cell>
          <cell r="Y11">
            <v>0</v>
          </cell>
        </row>
        <row r="12">
          <cell r="E12">
            <v>1</v>
          </cell>
          <cell r="F12">
            <v>0.63212055882855767</v>
          </cell>
          <cell r="G12">
            <v>0.23254415793482963</v>
          </cell>
          <cell r="H12">
            <v>8.5548214868748751E-2</v>
          </cell>
          <cell r="I12">
            <v>3.1471429479129731E-2</v>
          </cell>
          <cell r="J12">
            <v>1.1577691889648745E-2</v>
          </cell>
          <cell r="K12">
            <v>4.259194822419099E-3</v>
          </cell>
          <cell r="L12">
            <v>1.5668702111119037E-3</v>
          </cell>
          <cell r="M12">
            <v>5.7641933765195663E-4</v>
          </cell>
          <cell r="N12">
            <v>2.1205282381586699E-4</v>
          </cell>
          <cell r="O12">
            <v>7.8009874324158623E-5</v>
          </cell>
          <cell r="P12">
            <v>2.8698228972223738E-5</v>
          </cell>
          <cell r="Q12">
            <v>1.0557488436924167E-5</v>
          </cell>
          <cell r="R12">
            <v>3.8838829463649915E-6</v>
          </cell>
          <cell r="S12">
            <v>1.428800687874876E-6</v>
          </cell>
          <cell r="T12">
            <v>5.2562639862863136E-7</v>
          </cell>
          <cell r="U12">
            <v>1.9336714573991998E-7</v>
          </cell>
          <cell r="V12">
            <v>7.1135797585775151E-8</v>
          </cell>
          <cell r="W12">
            <v>2.6169397426833996E-8</v>
          </cell>
          <cell r="X12">
            <v>9.627183272797879E-9</v>
          </cell>
          <cell r="Y12">
            <v>5.6027964490112936E-9</v>
          </cell>
        </row>
        <row r="13">
          <cell r="E13">
            <v>2</v>
          </cell>
          <cell r="F13">
            <v>0.39346934028736658</v>
          </cell>
          <cell r="G13">
            <v>0.23865121854119109</v>
          </cell>
          <cell r="H13">
            <v>0.14474928102301254</v>
          </cell>
          <cell r="I13">
            <v>8.7794876911817088E-2</v>
          </cell>
          <cell r="J13">
            <v>5.3250284612713861E-2</v>
          </cell>
          <cell r="K13">
            <v>3.229793025603489E-2</v>
          </cell>
          <cell r="L13">
            <v>1.9589684945545471E-2</v>
          </cell>
          <cell r="M13">
            <v>1.188174453358426E-2</v>
          </cell>
          <cell r="N13">
            <v>7.2066423504919541E-3</v>
          </cell>
          <cell r="O13">
            <v>4.3710495391567905E-3</v>
          </cell>
          <cell r="P13">
            <v>2.6511755606214438E-3</v>
          </cell>
          <cell r="Q13">
            <v>1.6080192617976552E-3</v>
          </cell>
          <cell r="R13">
            <v>9.7531298368880304E-4</v>
          </cell>
          <cell r="S13">
            <v>5.9155722742310068E-4</v>
          </cell>
          <cell r="T13">
            <v>3.5879759540669021E-4</v>
          </cell>
          <cell r="U13">
            <v>2.1762174224526643E-4</v>
          </cell>
          <cell r="V13">
            <v>1.3199425889187655E-4</v>
          </cell>
          <cell r="W13">
            <v>8.0058564923990438E-5</v>
          </cell>
          <cell r="X13">
            <v>4.8557974199003873E-5</v>
          </cell>
          <cell r="Y13">
            <v>7.4851829887645493E-5</v>
          </cell>
        </row>
        <row r="14">
          <cell r="E14">
            <v>3</v>
          </cell>
          <cell r="F14">
            <v>0.28346868942621073</v>
          </cell>
          <cell r="G14">
            <v>0.20311419154119725</v>
          </cell>
          <cell r="H14">
            <v>0.14553767786114968</v>
          </cell>
          <cell r="I14">
            <v>0.10428230305571562</v>
          </cell>
          <cell r="J14">
            <v>7.472153527816483E-2</v>
          </cell>
          <cell r="K14">
            <v>5.3540319600949182E-2</v>
          </cell>
          <cell r="L14">
            <v>3.8363315372207607E-2</v>
          </cell>
          <cell r="M14">
            <v>2.7488516641603566E-2</v>
          </cell>
          <cell r="N14">
            <v>1.9696382854937577E-2</v>
          </cell>
          <cell r="O14">
            <v>1.4113075020611543E-2</v>
          </cell>
          <cell r="P14">
            <v>1.0112460140744961E-2</v>
          </cell>
          <cell r="Q14">
            <v>7.2458943177732271E-3</v>
          </cell>
          <cell r="R14">
            <v>5.1919101517932109E-3</v>
          </cell>
          <cell r="S14">
            <v>3.7201661854457946E-3</v>
          </cell>
          <cell r="T14">
            <v>2.6656155524097391E-3</v>
          </cell>
          <cell r="U14">
            <v>1.9099970052540716E-3</v>
          </cell>
          <cell r="V14">
            <v>1.3685726573666734E-3</v>
          </cell>
          <cell r="W14">
            <v>9.8062515979835396E-4</v>
          </cell>
          <cell r="X14">
            <v>7.0264863093194574E-4</v>
          </cell>
          <cell r="Y14">
            <v>1.776103545734431E-3</v>
          </cell>
        </row>
        <row r="15">
          <cell r="E15">
            <v>4</v>
          </cell>
          <cell r="F15">
            <v>0.22119921692859512</v>
          </cell>
          <cell r="G15">
            <v>0.17227012335877145</v>
          </cell>
          <cell r="H15">
            <v>0.13416410697161874</v>
          </cell>
          <cell r="I15">
            <v>0.10448711156957236</v>
          </cell>
          <cell r="J15">
            <v>8.1374644311252187E-2</v>
          </cell>
          <cell r="K15">
            <v>6.3374636711760357E-2</v>
          </cell>
          <cell r="L15">
            <v>4.9356216697984623E-2</v>
          </cell>
          <cell r="M15">
            <v>3.8438660213832465E-2</v>
          </cell>
          <cell r="N15">
            <v>2.9936058674748356E-2</v>
          </cell>
          <cell r="O15">
            <v>2.3314225937965505E-2</v>
          </cell>
          <cell r="P15">
            <v>1.8157137417191271E-2</v>
          </cell>
          <cell r="Q15">
            <v>1.4140792838843619E-2</v>
          </cell>
          <cell r="R15">
            <v>1.1012860536141922E-2</v>
          </cell>
          <cell r="S15">
            <v>8.5768244094035495E-3</v>
          </cell>
          <cell r="T15">
            <v>6.6796375663094043E-3</v>
          </cell>
          <cell r="U15">
            <v>5.2021069672748554E-3</v>
          </cell>
          <cell r="V15">
            <v>4.051404979734996E-3</v>
          </cell>
          <cell r="W15">
            <v>3.1552373707569581E-3</v>
          </cell>
          <cell r="X15">
            <v>2.4573013351216755E-3</v>
          </cell>
          <cell r="Y15">
            <v>8.6516952031205907E-3</v>
          </cell>
        </row>
        <row r="16">
          <cell r="E16">
            <v>5</v>
          </cell>
          <cell r="F16">
            <v>0.18126924692201815</v>
          </cell>
          <cell r="G16">
            <v>0.14841070704234258</v>
          </cell>
          <cell r="H16">
            <v>0.12150840994161283</v>
          </cell>
          <cell r="I16">
            <v>9.9482671976804882E-2</v>
          </cell>
          <cell r="J16">
            <v>8.1449522945779229E-2</v>
          </cell>
          <cell r="K16">
            <v>6.6685229259240364E-2</v>
          </cell>
          <cell r="L16">
            <v>5.4597247970595508E-2</v>
          </cell>
          <cell r="M16">
            <v>4.4700445946951106E-2</v>
          </cell>
          <cell r="N16">
            <v>3.6597629773068796E-2</v>
          </cell>
          <cell r="O16">
            <v>2.9963604984973857E-2</v>
          </cell>
          <cell r="P16">
            <v>2.4532124874278805E-2</v>
          </cell>
          <cell r="Q16">
            <v>2.0085205072921442E-2</v>
          </cell>
          <cell r="R16">
            <v>1.6444375075078566E-2</v>
          </cell>
          <cell r="S16">
            <v>1.346351558911596E-2</v>
          </cell>
          <cell r="T16">
            <v>1.102299425735398E-2</v>
          </cell>
          <cell r="U16">
            <v>9.0248643894977887E-3</v>
          </cell>
          <cell r="V16">
            <v>7.3889340180400831E-3</v>
          </cell>
          <cell r="W16">
            <v>6.0495475130335485E-3</v>
          </cell>
          <cell r="X16">
            <v>4.9529505911269922E-3</v>
          </cell>
          <cell r="Y16">
            <v>2.2370771856165539E-2</v>
          </cell>
        </row>
        <row r="17">
          <cell r="E17">
            <v>6</v>
          </cell>
          <cell r="F17">
            <v>0.15351827510938593</v>
          </cell>
          <cell r="G17">
            <v>0.1299504143168248</v>
          </cell>
          <cell r="H17">
            <v>0.11000065086115585</v>
          </cell>
          <cell r="I17">
            <v>9.3113540680041407E-2</v>
          </cell>
          <cell r="J17">
            <v>7.8818910525513708E-2</v>
          </cell>
          <cell r="K17">
            <v>6.6718767335635976E-2</v>
          </cell>
          <cell r="L17">
            <v>5.6476217256844596E-2</v>
          </cell>
          <cell r="M17">
            <v>4.7806085798871023E-2</v>
          </cell>
          <cell r="N17">
            <v>4.0466977967296924E-2</v>
          </cell>
          <cell r="O17">
            <v>3.4254557310867906E-2</v>
          </cell>
          <cell r="P17">
            <v>2.8995856757867977E-2</v>
          </cell>
          <cell r="Q17">
            <v>2.4544462843081205E-2</v>
          </cell>
          <cell r="R17">
            <v>2.0776439243925027E-2</v>
          </cell>
          <cell r="S17">
            <v>1.758687612828258E-2</v>
          </cell>
          <cell r="T17">
            <v>1.4886969240506254E-2</v>
          </cell>
          <cell r="U17">
            <v>1.2601547401097313E-2</v>
          </cell>
          <cell r="V17">
            <v>1.066697958037166E-2</v>
          </cell>
          <cell r="W17">
            <v>9.029403274565917E-3</v>
          </cell>
          <cell r="X17">
            <v>7.6432248585875939E-3</v>
          </cell>
          <cell r="Y17">
            <v>4.2143843509276357E-2</v>
          </cell>
        </row>
        <row r="18">
          <cell r="E18">
            <v>7</v>
          </cell>
          <cell r="F18">
            <v>0.13312210024981835</v>
          </cell>
          <cell r="G18">
            <v>0.11540060667489571</v>
          </cell>
          <cell r="H18">
            <v>0.1000382355442303</v>
          </cell>
          <cell r="I18">
            <v>8.6720935523296461E-2</v>
          </cell>
          <cell r="J18">
            <v>7.5176462450806003E-2</v>
          </cell>
          <cell r="K18">
            <v>6.5168813880003174E-2</v>
          </cell>
          <cell r="L18">
            <v>5.6493404505507661E-2</v>
          </cell>
          <cell r="M18">
            <v>4.8972883847471893E-2</v>
          </cell>
          <cell r="N18">
            <v>4.2453510694405949E-2</v>
          </cell>
          <cell r="O18">
            <v>3.6802010187788614E-2</v>
          </cell>
          <cell r="P18">
            <v>3.1902849298174996E-2</v>
          </cell>
          <cell r="Q18">
            <v>2.7655874995648477E-2</v>
          </cell>
          <cell r="R18">
            <v>2.3974266831981339E-2</v>
          </cell>
          <cell r="S18">
            <v>2.0782762079358363E-2</v>
          </cell>
          <cell r="T18">
            <v>1.8016117142361954E-2</v>
          </cell>
          <cell r="U18">
            <v>1.5617773790023937E-2</v>
          </cell>
          <cell r="V18">
            <v>1.3538702941869318E-2</v>
          </cell>
          <cell r="W18">
            <v>1.173640237158935E-2</v>
          </cell>
          <cell r="X18">
            <v>1.0174027838506405E-2</v>
          </cell>
          <cell r="Y18">
            <v>6.6252259152261739E-2</v>
          </cell>
        </row>
        <row r="19">
          <cell r="E19">
            <v>8</v>
          </cell>
          <cell r="F19">
            <v>0.1175030974154046</v>
          </cell>
          <cell r="G19">
            <v>0.10369611951319052</v>
          </cell>
          <cell r="H19">
            <v>9.1511504280432698E-2</v>
          </cell>
          <cell r="I19">
            <v>8.0758619078338756E-2</v>
          </cell>
          <cell r="J19">
            <v>7.1269231193643201E-2</v>
          </cell>
          <cell r="K19">
            <v>6.2894875777975534E-2</v>
          </cell>
          <cell r="L19">
            <v>5.5504533062506245E-2</v>
          </cell>
          <cell r="M19">
            <v>4.898257850706611E-2</v>
          </cell>
          <cell r="N19">
            <v>4.3226973813092595E-2</v>
          </cell>
          <cell r="O19">
            <v>3.8147670498159592E-2</v>
          </cell>
          <cell r="P19">
            <v>3.3665201055443683E-2</v>
          </cell>
          <cell r="Q19">
            <v>2.9709435656316674E-2</v>
          </cell>
          <cell r="R19">
            <v>2.6218484944235732E-2</v>
          </cell>
          <cell r="S19">
            <v>2.3137731753748891E-2</v>
          </cell>
          <cell r="T19">
            <v>2.0418976605516725E-2</v>
          </cell>
          <cell r="U19">
            <v>1.801968360831574E-2</v>
          </cell>
          <cell r="V19">
            <v>1.5902314969893028E-2</v>
          </cell>
          <cell r="W19">
            <v>1.4033743704855328E-2</v>
          </cell>
          <cell r="X19">
            <v>1.2384735351200882E-2</v>
          </cell>
          <cell r="Y19">
            <v>9.3014489210663465E-2</v>
          </cell>
        </row>
        <row r="20">
          <cell r="E20">
            <v>9</v>
          </cell>
          <cell r="F20">
            <v>0.10516068318563022</v>
          </cell>
          <cell r="G20">
            <v>9.4101913897561715E-2</v>
          </cell>
          <cell r="H20">
            <v>8.420609234301879E-2</v>
          </cell>
          <cell r="I20">
            <v>7.5350922143834709E-2</v>
          </cell>
          <cell r="J20">
            <v>6.7426967692521711E-2</v>
          </cell>
          <cell r="K20">
            <v>6.0336301704840833E-2</v>
          </cell>
          <cell r="L20">
            <v>5.3991294996665329E-2</v>
          </cell>
          <cell r="M20">
            <v>4.8313533528739239E-2</v>
          </cell>
          <cell r="N20">
            <v>4.3232849335745116E-2</v>
          </cell>
          <cell r="O20">
            <v>3.868645336353671E-2</v>
          </cell>
          <cell r="P20">
            <v>3.4618159497798118E-2</v>
          </cell>
          <cell r="Q20">
            <v>3.0977690194380791E-2</v>
          </cell>
          <cell r="R20">
            <v>2.7720055130026733E-2</v>
          </cell>
          <cell r="S20">
            <v>2.4804995194609769E-2</v>
          </cell>
          <cell r="T20">
            <v>2.2196484953528328E-2</v>
          </cell>
          <cell r="U20">
            <v>1.9862287431495762E-2</v>
          </cell>
          <cell r="V20">
            <v>1.7773555715570377E-2</v>
          </cell>
          <cell r="W20">
            <v>1.5904476453883043E-2</v>
          </cell>
          <cell r="X20">
            <v>1.423195084428297E-2</v>
          </cell>
          <cell r="Y20">
            <v>0.12110333239232973</v>
          </cell>
        </row>
        <row r="21">
          <cell r="E21">
            <v>10</v>
          </cell>
          <cell r="F21">
            <v>9.5162581964040427E-2</v>
          </cell>
          <cell r="G21">
            <v>8.6106664957977724E-2</v>
          </cell>
          <cell r="H21">
            <v>7.7912532396264028E-2</v>
          </cell>
          <cell r="I21">
            <v>7.0498174646078549E-2</v>
          </cell>
          <cell r="J21">
            <v>6.3789386323005848E-2</v>
          </cell>
          <cell r="K21">
            <v>5.7719023618606979E-2</v>
          </cell>
          <cell r="L21">
            <v>5.2226332302617029E-2</v>
          </cell>
          <cell r="M21">
            <v>4.7256339674187853E-2</v>
          </cell>
          <cell r="N21">
            <v>4.2759304376622453E-2</v>
          </cell>
          <cell r="O21">
            <v>3.8690218569156776E-2</v>
          </cell>
          <cell r="P21">
            <v>3.5008357473362839E-2</v>
          </cell>
          <cell r="Q21">
            <v>3.1676871785877525E-2</v>
          </cell>
          <cell r="R21">
            <v>2.8662418878189433E-2</v>
          </cell>
          <cell r="S21">
            <v>2.5934829092406075E-2</v>
          </cell>
          <cell r="T21">
            <v>2.3466803793176672E-2</v>
          </cell>
          <cell r="U21">
            <v>2.1233642153774435E-2</v>
          </cell>
          <cell r="V21">
            <v>1.9212993941920775E-2</v>
          </cell>
          <cell r="W21">
            <v>1.7384635831148021E-2</v>
          </cell>
          <cell r="X21">
            <v>1.5730268998951469E-2</v>
          </cell>
          <cell r="Y21">
            <v>0.14956861922263509</v>
          </cell>
        </row>
        <row r="29">
          <cell r="F29">
            <v>0.09</v>
          </cell>
          <cell r="G29">
            <v>0.247</v>
          </cell>
          <cell r="H29">
            <v>0.215</v>
          </cell>
          <cell r="I29">
            <v>0.17299999999999999</v>
          </cell>
          <cell r="J29">
            <v>0.108</v>
          </cell>
          <cell r="K29">
            <v>6.9000000000000006E-2</v>
          </cell>
          <cell r="L29">
            <v>2.9000000000000001E-2</v>
          </cell>
          <cell r="M29">
            <v>2.8000000000000001E-2</v>
          </cell>
          <cell r="N29">
            <v>1.2E-2</v>
          </cell>
          <cell r="O29">
            <v>1.0999999999999999E-2</v>
          </cell>
          <cell r="P29">
            <v>7.0000000000000001E-3</v>
          </cell>
          <cell r="Q29">
            <v>7.0000000000000001E-3</v>
          </cell>
          <cell r="R29">
            <v>1E-3</v>
          </cell>
          <cell r="S29">
            <v>3.0000000000000001E-3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</row>
        <row r="30">
          <cell r="F30">
            <v>0.10100000000000001</v>
          </cell>
          <cell r="G30">
            <v>0.23599999999999999</v>
          </cell>
          <cell r="H30">
            <v>0.248</v>
          </cell>
          <cell r="I30">
            <v>0.154</v>
          </cell>
          <cell r="J30">
            <v>0.112</v>
          </cell>
          <cell r="K30">
            <v>5.2999999999999999E-2</v>
          </cell>
          <cell r="L30">
            <v>3.6999999999999998E-2</v>
          </cell>
          <cell r="M30">
            <v>2.4E-2</v>
          </cell>
          <cell r="N30">
            <v>1.7000000000000001E-2</v>
          </cell>
          <cell r="O30">
            <v>3.0000000000000001E-3</v>
          </cell>
          <cell r="P30">
            <v>7.0000000000000001E-3</v>
          </cell>
          <cell r="Q30">
            <v>2E-3</v>
          </cell>
          <cell r="R30">
            <v>4.0000000000000001E-3</v>
          </cell>
          <cell r="S30">
            <v>1E-3</v>
          </cell>
          <cell r="T30">
            <v>1E-3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</row>
        <row r="31">
          <cell r="F31">
            <v>4.3999999999999997E-2</v>
          </cell>
          <cell r="G31">
            <v>0.24399999999999999</v>
          </cell>
          <cell r="H31">
            <v>0.21099999999999999</v>
          </cell>
          <cell r="I31">
            <v>0.17</v>
          </cell>
          <cell r="J31">
            <v>0.112</v>
          </cell>
          <cell r="K31">
            <v>7.5999999999999998E-2</v>
          </cell>
          <cell r="L31">
            <v>5.2999999999999999E-2</v>
          </cell>
          <cell r="M31">
            <v>3.9E-2</v>
          </cell>
          <cell r="N31">
            <v>1.4999999999999999E-2</v>
          </cell>
          <cell r="O31">
            <v>1.4999999999999999E-2</v>
          </cell>
          <cell r="P31">
            <v>5.0000000000000001E-3</v>
          </cell>
          <cell r="Q31">
            <v>8.0000000000000002E-3</v>
          </cell>
          <cell r="R31">
            <v>4.0000000000000001E-3</v>
          </cell>
          <cell r="S31">
            <v>1E-3</v>
          </cell>
          <cell r="T31">
            <v>0</v>
          </cell>
          <cell r="U31">
            <v>2E-3</v>
          </cell>
          <cell r="V31">
            <v>0</v>
          </cell>
          <cell r="W31">
            <v>0</v>
          </cell>
          <cell r="X31">
            <v>0</v>
          </cell>
          <cell r="Y31">
            <v>9.9999999999988987E-4</v>
          </cell>
        </row>
        <row r="32">
          <cell r="F32">
            <v>4.4999999999999998E-2</v>
          </cell>
          <cell r="G32">
            <v>0.20399999999999999</v>
          </cell>
          <cell r="H32">
            <v>0.246</v>
          </cell>
          <cell r="I32">
            <v>0.17899999999999999</v>
          </cell>
          <cell r="J32">
            <v>0.13</v>
          </cell>
          <cell r="K32">
            <v>7.6999999999999999E-2</v>
          </cell>
          <cell r="L32">
            <v>4.4999999999999998E-2</v>
          </cell>
          <cell r="M32">
            <v>2.7E-2</v>
          </cell>
          <cell r="N32">
            <v>2.4E-2</v>
          </cell>
          <cell r="O32">
            <v>0.01</v>
          </cell>
          <cell r="P32">
            <v>5.0000000000000001E-3</v>
          </cell>
          <cell r="Q32">
            <v>2E-3</v>
          </cell>
          <cell r="R32">
            <v>2E-3</v>
          </cell>
          <cell r="S32">
            <v>2E-3</v>
          </cell>
          <cell r="T32">
            <v>0</v>
          </cell>
          <cell r="U32">
            <v>1E-3</v>
          </cell>
          <cell r="V32">
            <v>0</v>
          </cell>
          <cell r="W32">
            <v>0</v>
          </cell>
          <cell r="X32">
            <v>1E-3</v>
          </cell>
          <cell r="Y32">
            <v>0</v>
          </cell>
        </row>
        <row r="33">
          <cell r="F33">
            <v>1.7999999999999999E-2</v>
          </cell>
          <cell r="G33">
            <v>8.3000000000000004E-2</v>
          </cell>
          <cell r="H33">
            <v>0.127</v>
          </cell>
          <cell r="I33">
            <v>0.125</v>
          </cell>
          <cell r="J33">
            <v>0.106</v>
          </cell>
          <cell r="K33">
            <v>9.2999999999999999E-2</v>
          </cell>
          <cell r="L33">
            <v>7.5999999999999998E-2</v>
          </cell>
          <cell r="M33">
            <v>8.3000000000000004E-2</v>
          </cell>
          <cell r="N33">
            <v>5.8999999999999997E-2</v>
          </cell>
          <cell r="O33">
            <v>4.1000000000000002E-2</v>
          </cell>
          <cell r="P33">
            <v>4.1000000000000002E-2</v>
          </cell>
          <cell r="Q33">
            <v>2.4E-2</v>
          </cell>
          <cell r="R33">
            <v>2.4E-2</v>
          </cell>
          <cell r="S33">
            <v>2.1000000000000001E-2</v>
          </cell>
          <cell r="T33">
            <v>1.9E-2</v>
          </cell>
          <cell r="U33">
            <v>1.0999999999999999E-2</v>
          </cell>
          <cell r="V33">
            <v>8.9999999999999993E-3</v>
          </cell>
          <cell r="W33">
            <v>8.0000000000000002E-3</v>
          </cell>
          <cell r="X33">
            <v>8.0000000000000002E-3</v>
          </cell>
          <cell r="Y33">
            <v>2.4000000000000021E-2</v>
          </cell>
        </row>
        <row r="34">
          <cell r="F34">
            <v>9.4E-2</v>
          </cell>
          <cell r="G34">
            <v>0.25</v>
          </cell>
          <cell r="H34">
            <v>0.20699999999999999</v>
          </cell>
          <cell r="I34">
            <v>0.157</v>
          </cell>
          <cell r="J34">
            <v>0.11600000000000001</v>
          </cell>
          <cell r="K34">
            <v>7.8E-2</v>
          </cell>
          <cell r="L34">
            <v>3.4000000000000002E-2</v>
          </cell>
          <cell r="M34">
            <v>2.1999999999999999E-2</v>
          </cell>
          <cell r="N34">
            <v>1.6E-2</v>
          </cell>
          <cell r="O34">
            <v>8.9999999999999993E-3</v>
          </cell>
          <cell r="P34">
            <v>0.01</v>
          </cell>
          <cell r="Q34">
            <v>3.0000000000000001E-3</v>
          </cell>
          <cell r="R34">
            <v>1E-3</v>
          </cell>
          <cell r="S34">
            <v>1E-3</v>
          </cell>
          <cell r="T34">
            <v>2E-3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</row>
        <row r="35">
          <cell r="F35">
            <v>1.4999999999999999E-2</v>
          </cell>
          <cell r="G35">
            <v>9.1999999999999998E-2</v>
          </cell>
          <cell r="H35">
            <v>0.124</v>
          </cell>
          <cell r="I35">
            <v>0.13400000000000001</v>
          </cell>
          <cell r="J35">
            <v>0.11799999999999999</v>
          </cell>
          <cell r="K35">
            <v>0.108</v>
          </cell>
          <cell r="L35">
            <v>8.1000000000000003E-2</v>
          </cell>
          <cell r="M35">
            <v>5.6000000000000001E-2</v>
          </cell>
          <cell r="N35">
            <v>6.0999999999999999E-2</v>
          </cell>
          <cell r="O35">
            <v>0.05</v>
          </cell>
          <cell r="P35">
            <v>4.2000000000000003E-2</v>
          </cell>
          <cell r="Q35">
            <v>2.5000000000000001E-2</v>
          </cell>
          <cell r="R35">
            <v>2.4E-2</v>
          </cell>
          <cell r="S35">
            <v>1.7999999999999999E-2</v>
          </cell>
          <cell r="T35">
            <v>1.4999999999999999E-2</v>
          </cell>
          <cell r="U35">
            <v>8.9999999999999993E-3</v>
          </cell>
          <cell r="V35">
            <v>6.0000000000000001E-3</v>
          </cell>
          <cell r="W35">
            <v>3.0000000000000001E-3</v>
          </cell>
          <cell r="X35">
            <v>4.0000000000000001E-3</v>
          </cell>
          <cell r="Y35">
            <v>1.4999999999999902E-2</v>
          </cell>
        </row>
        <row r="36">
          <cell r="F36">
            <v>5.2999999999999999E-2</v>
          </cell>
          <cell r="G36">
            <v>0.20899999999999999</v>
          </cell>
          <cell r="H36">
            <v>0.23100000000000001</v>
          </cell>
          <cell r="I36">
            <v>0.184</v>
          </cell>
          <cell r="J36">
            <v>0.123</v>
          </cell>
          <cell r="K36">
            <v>7.1999999999999995E-2</v>
          </cell>
          <cell r="L36">
            <v>5.5E-2</v>
          </cell>
          <cell r="M36">
            <v>0.03</v>
          </cell>
          <cell r="N36">
            <v>1.4999999999999999E-2</v>
          </cell>
          <cell r="O36">
            <v>8.0000000000000002E-3</v>
          </cell>
          <cell r="P36">
            <v>1.0999999999999999E-2</v>
          </cell>
          <cell r="Q36">
            <v>1E-3</v>
          </cell>
          <cell r="R36">
            <v>3.0000000000000001E-3</v>
          </cell>
          <cell r="S36">
            <v>2E-3</v>
          </cell>
          <cell r="T36">
            <v>3.0000000000000001E-3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</row>
        <row r="37">
          <cell r="F37">
            <v>0.01</v>
          </cell>
          <cell r="G37">
            <v>8.4000000000000005E-2</v>
          </cell>
          <cell r="H37">
            <v>9.7000000000000003E-2</v>
          </cell>
          <cell r="I37">
            <v>0.122</v>
          </cell>
          <cell r="J37">
            <v>0.125</v>
          </cell>
          <cell r="K37">
            <v>0.104</v>
          </cell>
          <cell r="L37">
            <v>8.3000000000000004E-2</v>
          </cell>
          <cell r="M37">
            <v>9.5000000000000001E-2</v>
          </cell>
          <cell r="N37">
            <v>4.3999999999999997E-2</v>
          </cell>
          <cell r="O37">
            <v>5.0999999999999997E-2</v>
          </cell>
          <cell r="P37">
            <v>2.8000000000000001E-2</v>
          </cell>
          <cell r="Q37">
            <v>0.03</v>
          </cell>
          <cell r="R37">
            <v>2.8000000000000001E-2</v>
          </cell>
          <cell r="S37">
            <v>0.02</v>
          </cell>
          <cell r="T37">
            <v>1.7999999999999999E-2</v>
          </cell>
          <cell r="U37">
            <v>8.9999999999999993E-3</v>
          </cell>
          <cell r="V37">
            <v>7.0000000000000001E-3</v>
          </cell>
          <cell r="W37">
            <v>8.0000000000000002E-3</v>
          </cell>
          <cell r="X37">
            <v>0.01</v>
          </cell>
          <cell r="Y37">
            <v>2.6999999999999802E-2</v>
          </cell>
        </row>
        <row r="38">
          <cell r="F38">
            <v>6.9000000000000006E-2</v>
          </cell>
          <cell r="G38">
            <v>0.23499999999999999</v>
          </cell>
          <cell r="H38">
            <v>0.218</v>
          </cell>
          <cell r="I38">
            <v>0.16200000000000001</v>
          </cell>
          <cell r="J38">
            <v>0.13400000000000001</v>
          </cell>
          <cell r="K38">
            <v>7.5999999999999998E-2</v>
          </cell>
          <cell r="L38">
            <v>0.03</v>
          </cell>
          <cell r="M38">
            <v>2.8000000000000001E-2</v>
          </cell>
          <cell r="N38">
            <v>1.2E-2</v>
          </cell>
          <cell r="O38">
            <v>1.0999999999999999E-2</v>
          </cell>
          <cell r="P38">
            <v>7.0000000000000001E-3</v>
          </cell>
          <cell r="Q38">
            <v>5.0000000000000001E-3</v>
          </cell>
          <cell r="R38">
            <v>6.0000000000000001E-3</v>
          </cell>
          <cell r="S38">
            <v>3.0000000000000001E-3</v>
          </cell>
          <cell r="T38">
            <v>1E-3</v>
          </cell>
          <cell r="U38">
            <v>1E-3</v>
          </cell>
          <cell r="V38">
            <v>1E-3</v>
          </cell>
          <cell r="W38">
            <v>1E-3</v>
          </cell>
          <cell r="X38">
            <v>0</v>
          </cell>
          <cell r="Y38">
            <v>0</v>
          </cell>
        </row>
        <row r="39">
          <cell r="F39">
            <v>6.9000000000000006E-2</v>
          </cell>
          <cell r="G39">
            <v>0.23499999999999999</v>
          </cell>
          <cell r="H39">
            <v>0.218</v>
          </cell>
          <cell r="I39">
            <v>0.16200000000000001</v>
          </cell>
          <cell r="J39">
            <v>0.13400000000000001</v>
          </cell>
          <cell r="K39">
            <v>7.5999999999999998E-2</v>
          </cell>
          <cell r="L39">
            <v>0.03</v>
          </cell>
          <cell r="M39">
            <v>2.8000000000000001E-2</v>
          </cell>
          <cell r="N39">
            <v>1.2E-2</v>
          </cell>
          <cell r="O39">
            <v>1.0999999999999999E-2</v>
          </cell>
          <cell r="P39">
            <v>7.0000000000000001E-3</v>
          </cell>
          <cell r="Q39">
            <v>5.0000000000000001E-3</v>
          </cell>
          <cell r="R39">
            <v>6.0000000000000001E-3</v>
          </cell>
          <cell r="S39">
            <v>3.0000000000000001E-3</v>
          </cell>
          <cell r="T39">
            <v>1E-3</v>
          </cell>
          <cell r="U39">
            <v>1E-3</v>
          </cell>
          <cell r="V39">
            <v>1E-3</v>
          </cell>
          <cell r="W39">
            <v>1E-3</v>
          </cell>
          <cell r="X39">
            <v>0</v>
          </cell>
          <cell r="Y39">
            <v>0</v>
          </cell>
        </row>
        <row r="40">
          <cell r="F40">
            <v>0.02</v>
          </cell>
          <cell r="G40">
            <v>0.10100000000000001</v>
          </cell>
          <cell r="H40">
            <v>0.113</v>
          </cell>
          <cell r="I40">
            <v>0.14099999999999999</v>
          </cell>
          <cell r="J40">
            <v>0.1</v>
          </cell>
          <cell r="K40">
            <v>8.7999999999999995E-2</v>
          </cell>
          <cell r="L40">
            <v>8.5999999999999993E-2</v>
          </cell>
          <cell r="M40">
            <v>6.8000000000000005E-2</v>
          </cell>
          <cell r="N40">
            <v>7.2999999999999995E-2</v>
          </cell>
          <cell r="O40">
            <v>4.9000000000000002E-2</v>
          </cell>
          <cell r="P40">
            <v>3.7999999999999999E-2</v>
          </cell>
          <cell r="Q40">
            <v>2.7E-2</v>
          </cell>
          <cell r="R40">
            <v>1.2999999999999999E-2</v>
          </cell>
          <cell r="S40">
            <v>1.2E-2</v>
          </cell>
          <cell r="T40">
            <v>1.4999999999999999E-2</v>
          </cell>
          <cell r="U40">
            <v>1.2E-2</v>
          </cell>
          <cell r="V40">
            <v>8.0000000000000002E-3</v>
          </cell>
          <cell r="W40">
            <v>4.0000000000000001E-3</v>
          </cell>
          <cell r="X40">
            <v>4.0000000000000001E-3</v>
          </cell>
          <cell r="Y40">
            <v>2.8000000000000025E-2</v>
          </cell>
        </row>
        <row r="41">
          <cell r="F41">
            <v>0.02</v>
          </cell>
          <cell r="G41">
            <v>0.10100000000000001</v>
          </cell>
          <cell r="H41">
            <v>0.113</v>
          </cell>
          <cell r="I41">
            <v>0.14099999999999999</v>
          </cell>
          <cell r="J41">
            <v>0.1</v>
          </cell>
          <cell r="K41">
            <v>8.7999999999999995E-2</v>
          </cell>
          <cell r="L41">
            <v>8.5999999999999993E-2</v>
          </cell>
          <cell r="M41">
            <v>6.8000000000000005E-2</v>
          </cell>
          <cell r="N41">
            <v>7.2999999999999995E-2</v>
          </cell>
          <cell r="O41">
            <v>4.9000000000000002E-2</v>
          </cell>
          <cell r="P41">
            <v>3.7999999999999999E-2</v>
          </cell>
          <cell r="Q41">
            <v>2.7E-2</v>
          </cell>
          <cell r="R41">
            <v>1.2999999999999999E-2</v>
          </cell>
          <cell r="S41">
            <v>1.2E-2</v>
          </cell>
          <cell r="T41">
            <v>1.4999999999999999E-2</v>
          </cell>
          <cell r="U41">
            <v>1.2E-2</v>
          </cell>
          <cell r="V41">
            <v>8.0000000000000002E-3</v>
          </cell>
          <cell r="W41">
            <v>4.0000000000000001E-3</v>
          </cell>
          <cell r="X41">
            <v>4.0000000000000001E-3</v>
          </cell>
          <cell r="Y41">
            <v>2.8000000000000025E-2</v>
          </cell>
        </row>
        <row r="42">
          <cell r="F42">
            <v>0.121</v>
          </cell>
          <cell r="G42">
            <v>0.254</v>
          </cell>
          <cell r="H42">
            <v>0.188</v>
          </cell>
          <cell r="I42">
            <v>0.154</v>
          </cell>
          <cell r="J42">
            <v>0.122</v>
          </cell>
          <cell r="K42">
            <v>6.5000000000000002E-2</v>
          </cell>
          <cell r="L42">
            <v>2.5000000000000001E-2</v>
          </cell>
          <cell r="M42">
            <v>2.7E-2</v>
          </cell>
          <cell r="N42">
            <v>1.2E-2</v>
          </cell>
          <cell r="O42">
            <v>7.0000000000000001E-3</v>
          </cell>
          <cell r="P42">
            <v>8.9999999999999993E-3</v>
          </cell>
          <cell r="Q42">
            <v>7.0000000000000001E-3</v>
          </cell>
          <cell r="R42">
            <v>3.0000000000000001E-3</v>
          </cell>
          <cell r="S42">
            <v>3.0000000000000001E-3</v>
          </cell>
          <cell r="T42">
            <v>0</v>
          </cell>
          <cell r="U42">
            <v>1E-3</v>
          </cell>
          <cell r="V42">
            <v>1E-3</v>
          </cell>
          <cell r="W42">
            <v>1E-3</v>
          </cell>
          <cell r="X42">
            <v>0</v>
          </cell>
          <cell r="Y42">
            <v>0</v>
          </cell>
        </row>
        <row r="43">
          <cell r="F43">
            <v>0.02</v>
          </cell>
          <cell r="G43">
            <v>0.10100000000000001</v>
          </cell>
          <cell r="H43">
            <v>0.113</v>
          </cell>
          <cell r="I43">
            <v>0.14099999999999999</v>
          </cell>
          <cell r="J43">
            <v>0.1</v>
          </cell>
          <cell r="K43">
            <v>8.7999999999999995E-2</v>
          </cell>
          <cell r="L43">
            <v>8.5999999999999993E-2</v>
          </cell>
          <cell r="M43">
            <v>6.8000000000000005E-2</v>
          </cell>
          <cell r="N43">
            <v>7.2999999999999995E-2</v>
          </cell>
          <cell r="O43">
            <v>4.9000000000000002E-2</v>
          </cell>
          <cell r="P43">
            <v>3.7999999999999999E-2</v>
          </cell>
          <cell r="Q43">
            <v>2.7E-2</v>
          </cell>
          <cell r="R43">
            <v>1.2999999999999999E-2</v>
          </cell>
          <cell r="S43">
            <v>1.2E-2</v>
          </cell>
          <cell r="T43">
            <v>1.4999999999999999E-2</v>
          </cell>
          <cell r="U43">
            <v>1.2E-2</v>
          </cell>
          <cell r="V43">
            <v>8.0000000000000002E-3</v>
          </cell>
          <cell r="W43">
            <v>4.0000000000000001E-3</v>
          </cell>
          <cell r="X43">
            <v>4.0000000000000001E-3</v>
          </cell>
          <cell r="Y43">
            <v>2.8000000000000025E-2</v>
          </cell>
        </row>
        <row r="44">
          <cell r="F44">
            <v>0.02</v>
          </cell>
          <cell r="G44">
            <v>0.10100000000000001</v>
          </cell>
          <cell r="H44">
            <v>0.113</v>
          </cell>
          <cell r="I44">
            <v>0.14099999999999999</v>
          </cell>
          <cell r="J44">
            <v>0.1</v>
          </cell>
          <cell r="K44">
            <v>8.7999999999999995E-2</v>
          </cell>
          <cell r="L44">
            <v>8.5999999999999993E-2</v>
          </cell>
          <cell r="M44">
            <v>6.8000000000000005E-2</v>
          </cell>
          <cell r="N44">
            <v>7.2999999999999995E-2</v>
          </cell>
          <cell r="O44">
            <v>4.9000000000000002E-2</v>
          </cell>
          <cell r="P44">
            <v>3.7999999999999999E-2</v>
          </cell>
          <cell r="Q44">
            <v>2.7E-2</v>
          </cell>
          <cell r="R44">
            <v>1.2999999999999999E-2</v>
          </cell>
          <cell r="S44">
            <v>1.2E-2</v>
          </cell>
          <cell r="T44">
            <v>1.4999999999999999E-2</v>
          </cell>
          <cell r="U44">
            <v>1.2E-2</v>
          </cell>
          <cell r="V44">
            <v>8.0000000000000002E-3</v>
          </cell>
          <cell r="W44">
            <v>4.0000000000000001E-3</v>
          </cell>
          <cell r="X44">
            <v>4.0000000000000001E-3</v>
          </cell>
          <cell r="Y44">
            <v>2.8000000000000025E-2</v>
          </cell>
        </row>
        <row r="45">
          <cell r="F45">
            <v>0.02</v>
          </cell>
          <cell r="G45">
            <v>0.10100000000000001</v>
          </cell>
          <cell r="H45">
            <v>0.113</v>
          </cell>
          <cell r="I45">
            <v>0.14099999999999999</v>
          </cell>
          <cell r="J45">
            <v>0.1</v>
          </cell>
          <cell r="K45">
            <v>8.7999999999999995E-2</v>
          </cell>
          <cell r="L45">
            <v>8.5999999999999993E-2</v>
          </cell>
          <cell r="M45">
            <v>6.8000000000000005E-2</v>
          </cell>
          <cell r="N45">
            <v>7.2999999999999995E-2</v>
          </cell>
          <cell r="O45">
            <v>4.9000000000000002E-2</v>
          </cell>
          <cell r="P45">
            <v>3.7999999999999999E-2</v>
          </cell>
          <cell r="Q45">
            <v>2.7E-2</v>
          </cell>
          <cell r="R45">
            <v>1.2999999999999999E-2</v>
          </cell>
          <cell r="S45">
            <v>1.2E-2</v>
          </cell>
          <cell r="T45">
            <v>1.4999999999999999E-2</v>
          </cell>
          <cell r="U45">
            <v>1.2E-2</v>
          </cell>
          <cell r="V45">
            <v>8.0000000000000002E-3</v>
          </cell>
          <cell r="W45">
            <v>4.0000000000000001E-3</v>
          </cell>
          <cell r="X45">
            <v>4.0000000000000001E-3</v>
          </cell>
          <cell r="Y45">
            <v>2.8000000000000025E-2</v>
          </cell>
        </row>
        <row r="46">
          <cell r="F46">
            <v>1.7000000000000001E-2</v>
          </cell>
          <cell r="G46">
            <v>7.3999999999999996E-2</v>
          </cell>
          <cell r="H46">
            <v>0.13600000000000001</v>
          </cell>
          <cell r="I46">
            <v>0.129</v>
          </cell>
          <cell r="J46">
            <v>0.114</v>
          </cell>
          <cell r="K46">
            <v>9.8000000000000004E-2</v>
          </cell>
          <cell r="L46">
            <v>8.5000000000000006E-2</v>
          </cell>
          <cell r="M46">
            <v>7.0999999999999994E-2</v>
          </cell>
          <cell r="N46">
            <v>6.3E-2</v>
          </cell>
          <cell r="O46">
            <v>4.2000000000000003E-2</v>
          </cell>
          <cell r="P46">
            <v>2.3E-2</v>
          </cell>
          <cell r="Q46">
            <v>3.2000000000000001E-2</v>
          </cell>
          <cell r="R46">
            <v>2.5999999999999999E-2</v>
          </cell>
          <cell r="S46">
            <v>1.2E-2</v>
          </cell>
          <cell r="T46">
            <v>1.7999999999999999E-2</v>
          </cell>
          <cell r="U46">
            <v>0.01</v>
          </cell>
          <cell r="V46">
            <v>1.4E-2</v>
          </cell>
          <cell r="W46">
            <v>7.0000000000000001E-3</v>
          </cell>
          <cell r="X46">
            <v>4.0000000000000001E-3</v>
          </cell>
          <cell r="Y46">
            <v>2.4999999999999911E-2</v>
          </cell>
        </row>
        <row r="47">
          <cell r="F47">
            <v>3.9E-2</v>
          </cell>
          <cell r="G47">
            <v>0.219</v>
          </cell>
          <cell r="H47">
            <v>0.23200000000000001</v>
          </cell>
          <cell r="I47">
            <v>0.187</v>
          </cell>
          <cell r="J47">
            <v>0.114</v>
          </cell>
          <cell r="K47">
            <v>8.1000000000000003E-2</v>
          </cell>
          <cell r="L47">
            <v>5.1999999999999998E-2</v>
          </cell>
          <cell r="M47">
            <v>2.4E-2</v>
          </cell>
          <cell r="N47">
            <v>1.4999999999999999E-2</v>
          </cell>
          <cell r="O47">
            <v>0.02</v>
          </cell>
          <cell r="P47">
            <v>8.0000000000000002E-3</v>
          </cell>
          <cell r="Q47">
            <v>6.0000000000000001E-3</v>
          </cell>
          <cell r="R47">
            <v>2E-3</v>
          </cell>
          <cell r="S47">
            <v>0</v>
          </cell>
          <cell r="T47">
            <v>0</v>
          </cell>
          <cell r="U47">
            <v>1E-3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</row>
        <row r="48"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1</v>
          </cell>
        </row>
        <row r="49"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1</v>
          </cell>
        </row>
        <row r="50"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1</v>
          </cell>
        </row>
        <row r="55">
          <cell r="F55">
            <v>4.1000000000000002E-2</v>
          </cell>
          <cell r="G55">
            <v>0.188</v>
          </cell>
          <cell r="H55">
            <v>0.22700000000000001</v>
          </cell>
          <cell r="I55">
            <v>0.184</v>
          </cell>
          <cell r="J55">
            <v>0.13200000000000001</v>
          </cell>
          <cell r="K55">
            <v>8.5999999999999993E-2</v>
          </cell>
          <cell r="L55">
            <v>4.4999999999999998E-2</v>
          </cell>
          <cell r="M55">
            <v>3.5000000000000003E-2</v>
          </cell>
          <cell r="N55">
            <v>2.4E-2</v>
          </cell>
          <cell r="O55">
            <v>1.6E-2</v>
          </cell>
          <cell r="P55">
            <v>8.0000000000000002E-3</v>
          </cell>
          <cell r="Q55">
            <v>8.9999999999999993E-3</v>
          </cell>
          <cell r="R55">
            <v>1E-3</v>
          </cell>
          <cell r="S55">
            <v>2E-3</v>
          </cell>
          <cell r="T55">
            <v>0</v>
          </cell>
          <cell r="U55">
            <v>2E-3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</row>
        <row r="56">
          <cell r="F56">
            <v>3.7999999999999999E-2</v>
          </cell>
          <cell r="G56">
            <v>0.19500000000000001</v>
          </cell>
          <cell r="H56">
            <v>0.23200000000000001</v>
          </cell>
          <cell r="I56">
            <v>0.20300000000000001</v>
          </cell>
          <cell r="J56">
            <v>0.11600000000000001</v>
          </cell>
          <cell r="K56">
            <v>9.4E-2</v>
          </cell>
          <cell r="L56">
            <v>4.4999999999999998E-2</v>
          </cell>
          <cell r="M56">
            <v>3.6999999999999998E-2</v>
          </cell>
          <cell r="N56">
            <v>1.2999999999999999E-2</v>
          </cell>
          <cell r="O56">
            <v>0.01</v>
          </cell>
          <cell r="P56">
            <v>6.0000000000000001E-3</v>
          </cell>
          <cell r="Q56">
            <v>5.0000000000000001E-3</v>
          </cell>
          <cell r="R56">
            <v>1E-3</v>
          </cell>
          <cell r="S56">
            <v>3.0000000000000001E-3</v>
          </cell>
          <cell r="T56">
            <v>2E-3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</row>
        <row r="57">
          <cell r="F57">
            <v>2.1999999999999999E-2</v>
          </cell>
          <cell r="G57">
            <v>0.14799999999999999</v>
          </cell>
          <cell r="H57">
            <v>0.19700000000000001</v>
          </cell>
          <cell r="I57">
            <v>0.16600000000000001</v>
          </cell>
          <cell r="J57">
            <v>0.153</v>
          </cell>
          <cell r="K57">
            <v>0.10299999999999999</v>
          </cell>
          <cell r="L57">
            <v>7.0999999999999994E-2</v>
          </cell>
          <cell r="M57">
            <v>5.0999999999999997E-2</v>
          </cell>
          <cell r="N57">
            <v>3.9E-2</v>
          </cell>
          <cell r="O57">
            <v>1.2999999999999999E-2</v>
          </cell>
          <cell r="P57">
            <v>6.0000000000000001E-3</v>
          </cell>
          <cell r="Q57">
            <v>1.0999999999999999E-2</v>
          </cell>
          <cell r="R57">
            <v>0.01</v>
          </cell>
          <cell r="S57">
            <v>4.0000000000000001E-3</v>
          </cell>
          <cell r="T57">
            <v>2E-3</v>
          </cell>
          <cell r="U57">
            <v>2E-3</v>
          </cell>
          <cell r="V57">
            <v>1E-3</v>
          </cell>
          <cell r="W57">
            <v>0</v>
          </cell>
          <cell r="X57">
            <v>0</v>
          </cell>
          <cell r="Y57">
            <v>9.9999999999988987E-4</v>
          </cell>
        </row>
        <row r="58">
          <cell r="F58">
            <v>1.9E-2</v>
          </cell>
          <cell r="G58">
            <v>0.124</v>
          </cell>
          <cell r="H58">
            <v>0.20300000000000001</v>
          </cell>
          <cell r="I58">
            <v>0.19700000000000001</v>
          </cell>
          <cell r="J58">
            <v>0.14199999999999999</v>
          </cell>
          <cell r="K58">
            <v>0.128</v>
          </cell>
          <cell r="L58">
            <v>6.8000000000000005E-2</v>
          </cell>
          <cell r="M58">
            <v>4.4999999999999998E-2</v>
          </cell>
          <cell r="N58">
            <v>2.9000000000000001E-2</v>
          </cell>
          <cell r="O58">
            <v>2.1000000000000001E-2</v>
          </cell>
          <cell r="P58">
            <v>7.0000000000000001E-3</v>
          </cell>
          <cell r="Q58">
            <v>4.0000000000000001E-3</v>
          </cell>
          <cell r="R58">
            <v>5.0000000000000001E-3</v>
          </cell>
          <cell r="S58">
            <v>4.0000000000000001E-3</v>
          </cell>
          <cell r="T58">
            <v>2E-3</v>
          </cell>
          <cell r="U58">
            <v>1E-3</v>
          </cell>
          <cell r="V58">
            <v>0</v>
          </cell>
          <cell r="W58">
            <v>0</v>
          </cell>
          <cell r="X58">
            <v>0</v>
          </cell>
          <cell r="Y58">
            <v>9.9999999999988987E-4</v>
          </cell>
        </row>
        <row r="59">
          <cell r="F59">
            <v>5.0000000000000001E-3</v>
          </cell>
          <cell r="G59">
            <v>3.5999999999999997E-2</v>
          </cell>
          <cell r="H59">
            <v>7.9000000000000001E-2</v>
          </cell>
          <cell r="I59">
            <v>0.113</v>
          </cell>
          <cell r="J59">
            <v>9.8000000000000004E-2</v>
          </cell>
          <cell r="K59">
            <v>0.121</v>
          </cell>
          <cell r="L59">
            <v>9.2999999999999999E-2</v>
          </cell>
          <cell r="M59">
            <v>8.5000000000000006E-2</v>
          </cell>
          <cell r="N59">
            <v>7.8E-2</v>
          </cell>
          <cell r="O59">
            <v>5.1999999999999998E-2</v>
          </cell>
          <cell r="P59">
            <v>5.6000000000000001E-2</v>
          </cell>
          <cell r="Q59">
            <v>0.03</v>
          </cell>
          <cell r="R59">
            <v>2.5999999999999999E-2</v>
          </cell>
          <cell r="S59">
            <v>2.5000000000000001E-2</v>
          </cell>
          <cell r="T59">
            <v>2.3E-2</v>
          </cell>
          <cell r="U59">
            <v>1.4999999999999999E-2</v>
          </cell>
          <cell r="V59">
            <v>1.4999999999999999E-2</v>
          </cell>
          <cell r="W59">
            <v>7.0000000000000001E-3</v>
          </cell>
          <cell r="X59">
            <v>1.2999999999999999E-2</v>
          </cell>
          <cell r="Y59">
            <v>2.9999999999999916E-2</v>
          </cell>
        </row>
        <row r="60">
          <cell r="F60">
            <v>3.3000000000000002E-2</v>
          </cell>
          <cell r="G60">
            <v>0.186</v>
          </cell>
          <cell r="H60">
            <v>0.23</v>
          </cell>
          <cell r="I60">
            <v>0.187</v>
          </cell>
          <cell r="J60">
            <v>0.13800000000000001</v>
          </cell>
          <cell r="K60">
            <v>7.6999999999999999E-2</v>
          </cell>
          <cell r="L60">
            <v>0.06</v>
          </cell>
          <cell r="M60">
            <v>3.7999999999999999E-2</v>
          </cell>
          <cell r="N60">
            <v>0.02</v>
          </cell>
          <cell r="O60">
            <v>8.9999999999999993E-3</v>
          </cell>
          <cell r="P60">
            <v>0.01</v>
          </cell>
          <cell r="Q60">
            <v>7.0000000000000001E-3</v>
          </cell>
          <cell r="R60">
            <v>1E-3</v>
          </cell>
          <cell r="S60">
            <v>0</v>
          </cell>
          <cell r="T60">
            <v>3.0000000000000001E-3</v>
          </cell>
          <cell r="U60">
            <v>1E-3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</row>
        <row r="61">
          <cell r="F61">
            <v>2E-3</v>
          </cell>
          <cell r="G61">
            <v>3.7999999999999999E-2</v>
          </cell>
          <cell r="H61">
            <v>8.5999999999999993E-2</v>
          </cell>
          <cell r="I61">
            <v>0.1</v>
          </cell>
          <cell r="J61">
            <v>0.13400000000000001</v>
          </cell>
          <cell r="K61">
            <v>0.11799999999999999</v>
          </cell>
          <cell r="L61">
            <v>0.111</v>
          </cell>
          <cell r="M61">
            <v>7.2999999999999995E-2</v>
          </cell>
          <cell r="N61">
            <v>6.8000000000000005E-2</v>
          </cell>
          <cell r="O61">
            <v>7.0000000000000007E-2</v>
          </cell>
          <cell r="P61">
            <v>3.9E-2</v>
          </cell>
          <cell r="Q61">
            <v>3.1E-2</v>
          </cell>
          <cell r="R61">
            <v>0.03</v>
          </cell>
          <cell r="S61">
            <v>2.5999999999999999E-2</v>
          </cell>
          <cell r="T61">
            <v>2.1000000000000001E-2</v>
          </cell>
          <cell r="U61">
            <v>1.6E-2</v>
          </cell>
          <cell r="V61">
            <v>0.01</v>
          </cell>
          <cell r="W61">
            <v>5.0000000000000001E-3</v>
          </cell>
          <cell r="X61">
            <v>2E-3</v>
          </cell>
          <cell r="Y61">
            <v>1.9999999999999796E-2</v>
          </cell>
        </row>
        <row r="62">
          <cell r="F62">
            <v>1.9E-2</v>
          </cell>
          <cell r="G62">
            <v>0.11600000000000001</v>
          </cell>
          <cell r="H62">
            <v>0.218</v>
          </cell>
          <cell r="I62">
            <v>0.19500000000000001</v>
          </cell>
          <cell r="J62">
            <v>0.13900000000000001</v>
          </cell>
          <cell r="K62">
            <v>0.109</v>
          </cell>
          <cell r="L62">
            <v>7.5999999999999998E-2</v>
          </cell>
          <cell r="M62">
            <v>5.2999999999999999E-2</v>
          </cell>
          <cell r="N62">
            <v>2.5999999999999999E-2</v>
          </cell>
          <cell r="O62">
            <v>0.02</v>
          </cell>
          <cell r="P62">
            <v>8.9999999999999993E-3</v>
          </cell>
          <cell r="Q62">
            <v>8.9999999999999993E-3</v>
          </cell>
          <cell r="R62">
            <v>4.0000000000000001E-3</v>
          </cell>
          <cell r="S62">
            <v>3.0000000000000001E-3</v>
          </cell>
          <cell r="T62">
            <v>2E-3</v>
          </cell>
          <cell r="U62">
            <v>0</v>
          </cell>
          <cell r="V62">
            <v>2E-3</v>
          </cell>
          <cell r="W62">
            <v>0</v>
          </cell>
          <cell r="X62">
            <v>0</v>
          </cell>
          <cell r="Y62">
            <v>0</v>
          </cell>
        </row>
        <row r="63">
          <cell r="F63">
            <v>1E-3</v>
          </cell>
          <cell r="G63">
            <v>3.4000000000000002E-2</v>
          </cell>
          <cell r="H63">
            <v>6.4000000000000001E-2</v>
          </cell>
          <cell r="I63">
            <v>0.107</v>
          </cell>
          <cell r="J63">
            <v>0.107</v>
          </cell>
          <cell r="K63">
            <v>0.11899999999999999</v>
          </cell>
          <cell r="L63">
            <v>0.108</v>
          </cell>
          <cell r="M63">
            <v>0.10100000000000001</v>
          </cell>
          <cell r="N63">
            <v>7.0999999999999994E-2</v>
          </cell>
          <cell r="O63">
            <v>5.6000000000000001E-2</v>
          </cell>
          <cell r="P63">
            <v>3.6999999999999998E-2</v>
          </cell>
          <cell r="Q63">
            <v>3.1E-2</v>
          </cell>
          <cell r="R63">
            <v>2.9000000000000001E-2</v>
          </cell>
          <cell r="S63">
            <v>3.2000000000000001E-2</v>
          </cell>
          <cell r="T63">
            <v>2.5999999999999999E-2</v>
          </cell>
          <cell r="U63">
            <v>1.2E-2</v>
          </cell>
          <cell r="V63">
            <v>1.4E-2</v>
          </cell>
          <cell r="W63">
            <v>7.0000000000000001E-3</v>
          </cell>
          <cell r="X63">
            <v>8.0000000000000002E-3</v>
          </cell>
          <cell r="Y63">
            <v>3.599999999999981E-2</v>
          </cell>
        </row>
        <row r="64">
          <cell r="F64">
            <v>2.3E-2</v>
          </cell>
          <cell r="G64">
            <v>0.161</v>
          </cell>
          <cell r="H64">
            <v>0.185</v>
          </cell>
          <cell r="I64">
            <v>0.16500000000000001</v>
          </cell>
          <cell r="J64">
            <v>0.161</v>
          </cell>
          <cell r="K64">
            <v>0.11700000000000001</v>
          </cell>
          <cell r="L64">
            <v>5.8999999999999997E-2</v>
          </cell>
          <cell r="M64">
            <v>4.8000000000000001E-2</v>
          </cell>
          <cell r="N64">
            <v>0.03</v>
          </cell>
          <cell r="O64">
            <v>1.7999999999999999E-2</v>
          </cell>
          <cell r="P64">
            <v>8.0000000000000002E-3</v>
          </cell>
          <cell r="Q64">
            <v>8.9999999999999993E-3</v>
          </cell>
          <cell r="R64">
            <v>7.0000000000000001E-3</v>
          </cell>
          <cell r="S64">
            <v>3.0000000000000001E-3</v>
          </cell>
          <cell r="T64">
            <v>3.0000000000000001E-3</v>
          </cell>
          <cell r="U64">
            <v>1E-3</v>
          </cell>
          <cell r="V64">
            <v>0</v>
          </cell>
          <cell r="W64">
            <v>1E-3</v>
          </cell>
          <cell r="X64">
            <v>1E-3</v>
          </cell>
          <cell r="Y64">
            <v>0</v>
          </cell>
        </row>
        <row r="65">
          <cell r="F65">
            <v>2.3E-2</v>
          </cell>
          <cell r="G65">
            <v>0.161</v>
          </cell>
          <cell r="H65">
            <v>0.185</v>
          </cell>
          <cell r="I65">
            <v>0.16500000000000001</v>
          </cell>
          <cell r="J65">
            <v>0.161</v>
          </cell>
          <cell r="K65">
            <v>0.11700000000000001</v>
          </cell>
          <cell r="L65">
            <v>5.8999999999999997E-2</v>
          </cell>
          <cell r="M65">
            <v>4.8000000000000001E-2</v>
          </cell>
          <cell r="N65">
            <v>0.03</v>
          </cell>
          <cell r="O65">
            <v>1.7999999999999999E-2</v>
          </cell>
          <cell r="P65">
            <v>8.0000000000000002E-3</v>
          </cell>
          <cell r="Q65">
            <v>8.9999999999999993E-3</v>
          </cell>
          <cell r="R65">
            <v>7.0000000000000001E-3</v>
          </cell>
          <cell r="S65">
            <v>3.0000000000000001E-3</v>
          </cell>
          <cell r="T65">
            <v>3.0000000000000001E-3</v>
          </cell>
          <cell r="U65">
            <v>1E-3</v>
          </cell>
          <cell r="V65">
            <v>0</v>
          </cell>
          <cell r="W65">
            <v>1E-3</v>
          </cell>
          <cell r="X65">
            <v>1E-3</v>
          </cell>
          <cell r="Y65">
            <v>0</v>
          </cell>
        </row>
        <row r="66">
          <cell r="F66">
            <v>2E-3</v>
          </cell>
          <cell r="G66">
            <v>4.2999999999999997E-2</v>
          </cell>
          <cell r="H66">
            <v>9.2999999999999999E-2</v>
          </cell>
          <cell r="I66">
            <v>0.112</v>
          </cell>
          <cell r="J66">
            <v>0.11799999999999999</v>
          </cell>
          <cell r="K66">
            <v>9.7000000000000003E-2</v>
          </cell>
          <cell r="L66">
            <v>8.5999999999999993E-2</v>
          </cell>
          <cell r="M66">
            <v>0.09</v>
          </cell>
          <cell r="N66">
            <v>6.9000000000000006E-2</v>
          </cell>
          <cell r="O66">
            <v>6.7000000000000004E-2</v>
          </cell>
          <cell r="P66">
            <v>5.0999999999999997E-2</v>
          </cell>
          <cell r="Q66">
            <v>4.2000000000000003E-2</v>
          </cell>
          <cell r="R66">
            <v>2.7E-2</v>
          </cell>
          <cell r="S66">
            <v>1.4999999999999999E-2</v>
          </cell>
          <cell r="T66">
            <v>0.01</v>
          </cell>
          <cell r="U66">
            <v>2.1999999999999999E-2</v>
          </cell>
          <cell r="V66">
            <v>1.2E-2</v>
          </cell>
          <cell r="W66">
            <v>7.0000000000000001E-3</v>
          </cell>
          <cell r="X66">
            <v>6.0000000000000001E-3</v>
          </cell>
          <cell r="Y66">
            <v>3.0999999999999917E-2</v>
          </cell>
        </row>
        <row r="67">
          <cell r="F67">
            <v>2E-3</v>
          </cell>
          <cell r="G67">
            <v>4.2999999999999997E-2</v>
          </cell>
          <cell r="H67">
            <v>9.2999999999999999E-2</v>
          </cell>
          <cell r="I67">
            <v>0.112</v>
          </cell>
          <cell r="J67">
            <v>0.11799999999999999</v>
          </cell>
          <cell r="K67">
            <v>9.7000000000000003E-2</v>
          </cell>
          <cell r="L67">
            <v>8.5999999999999993E-2</v>
          </cell>
          <cell r="M67">
            <v>0.09</v>
          </cell>
          <cell r="N67">
            <v>6.9000000000000006E-2</v>
          </cell>
          <cell r="O67">
            <v>6.7000000000000004E-2</v>
          </cell>
          <cell r="P67">
            <v>5.0999999999999997E-2</v>
          </cell>
          <cell r="Q67">
            <v>4.2000000000000003E-2</v>
          </cell>
          <cell r="R67">
            <v>2.7E-2</v>
          </cell>
          <cell r="S67">
            <v>1.4999999999999999E-2</v>
          </cell>
          <cell r="T67">
            <v>0.01</v>
          </cell>
          <cell r="U67">
            <v>2.1999999999999999E-2</v>
          </cell>
          <cell r="V67">
            <v>1.2E-2</v>
          </cell>
          <cell r="W67">
            <v>7.0000000000000001E-3</v>
          </cell>
          <cell r="X67">
            <v>6.0000000000000001E-3</v>
          </cell>
          <cell r="Y67">
            <v>3.0999999999999917E-2</v>
          </cell>
        </row>
        <row r="68">
          <cell r="F68">
            <v>4.4999999999999998E-2</v>
          </cell>
          <cell r="G68">
            <v>0.20499999999999999</v>
          </cell>
          <cell r="H68">
            <v>0.215</v>
          </cell>
          <cell r="I68">
            <v>0.17599999999999999</v>
          </cell>
          <cell r="J68">
            <v>0.13600000000000001</v>
          </cell>
          <cell r="K68">
            <v>9.2999999999999999E-2</v>
          </cell>
          <cell r="L68">
            <v>4.2000000000000003E-2</v>
          </cell>
          <cell r="M68">
            <v>3.2000000000000001E-2</v>
          </cell>
          <cell r="N68">
            <v>1.9E-2</v>
          </cell>
          <cell r="O68">
            <v>8.9999999999999993E-3</v>
          </cell>
          <cell r="P68">
            <v>8.0000000000000002E-3</v>
          </cell>
          <cell r="Q68">
            <v>7.0000000000000001E-3</v>
          </cell>
          <cell r="R68">
            <v>6.0000000000000001E-3</v>
          </cell>
          <cell r="S68">
            <v>3.0000000000000001E-3</v>
          </cell>
          <cell r="T68">
            <v>1E-3</v>
          </cell>
          <cell r="U68">
            <v>1E-3</v>
          </cell>
          <cell r="V68">
            <v>0</v>
          </cell>
          <cell r="W68">
            <v>2E-3</v>
          </cell>
          <cell r="X68">
            <v>0</v>
          </cell>
          <cell r="Y68">
            <v>0</v>
          </cell>
        </row>
        <row r="69">
          <cell r="F69">
            <v>2E-3</v>
          </cell>
          <cell r="G69">
            <v>4.2999999999999997E-2</v>
          </cell>
          <cell r="H69">
            <v>9.2999999999999999E-2</v>
          </cell>
          <cell r="I69">
            <v>0.112</v>
          </cell>
          <cell r="J69">
            <v>0.11799999999999999</v>
          </cell>
          <cell r="K69">
            <v>9.7000000000000003E-2</v>
          </cell>
          <cell r="L69">
            <v>8.5999999999999993E-2</v>
          </cell>
          <cell r="M69">
            <v>0.09</v>
          </cell>
          <cell r="N69">
            <v>6.9000000000000006E-2</v>
          </cell>
          <cell r="O69">
            <v>6.7000000000000004E-2</v>
          </cell>
          <cell r="P69">
            <v>5.0999999999999997E-2</v>
          </cell>
          <cell r="Q69">
            <v>4.2000000000000003E-2</v>
          </cell>
          <cell r="R69">
            <v>2.7E-2</v>
          </cell>
          <cell r="S69">
            <v>1.4999999999999999E-2</v>
          </cell>
          <cell r="T69">
            <v>0.01</v>
          </cell>
          <cell r="U69">
            <v>2.1999999999999999E-2</v>
          </cell>
          <cell r="V69">
            <v>1.2E-2</v>
          </cell>
          <cell r="W69">
            <v>7.0000000000000001E-3</v>
          </cell>
          <cell r="X69">
            <v>6.0000000000000001E-3</v>
          </cell>
          <cell r="Y69">
            <v>3.0999999999999917E-2</v>
          </cell>
        </row>
        <row r="70">
          <cell r="F70">
            <v>2E-3</v>
          </cell>
          <cell r="G70">
            <v>4.2999999999999997E-2</v>
          </cell>
          <cell r="H70">
            <v>9.2999999999999999E-2</v>
          </cell>
          <cell r="I70">
            <v>0.112</v>
          </cell>
          <cell r="J70">
            <v>0.11799999999999999</v>
          </cell>
          <cell r="K70">
            <v>9.7000000000000003E-2</v>
          </cell>
          <cell r="L70">
            <v>8.5999999999999993E-2</v>
          </cell>
          <cell r="M70">
            <v>0.09</v>
          </cell>
          <cell r="N70">
            <v>6.9000000000000006E-2</v>
          </cell>
          <cell r="O70">
            <v>6.7000000000000004E-2</v>
          </cell>
          <cell r="P70">
            <v>5.0999999999999997E-2</v>
          </cell>
          <cell r="Q70">
            <v>4.2000000000000003E-2</v>
          </cell>
          <cell r="R70">
            <v>2.7E-2</v>
          </cell>
          <cell r="S70">
            <v>1.4999999999999999E-2</v>
          </cell>
          <cell r="T70">
            <v>0.01</v>
          </cell>
          <cell r="U70">
            <v>2.1999999999999999E-2</v>
          </cell>
          <cell r="V70">
            <v>1.2E-2</v>
          </cell>
          <cell r="W70">
            <v>7.0000000000000001E-3</v>
          </cell>
          <cell r="X70">
            <v>6.0000000000000001E-3</v>
          </cell>
          <cell r="Y70">
            <v>3.0999999999999917E-2</v>
          </cell>
        </row>
        <row r="71">
          <cell r="F71">
            <v>2E-3</v>
          </cell>
          <cell r="G71">
            <v>4.2999999999999997E-2</v>
          </cell>
          <cell r="H71">
            <v>9.2999999999999999E-2</v>
          </cell>
          <cell r="I71">
            <v>0.112</v>
          </cell>
          <cell r="J71">
            <v>0.11799999999999999</v>
          </cell>
          <cell r="K71">
            <v>9.7000000000000003E-2</v>
          </cell>
          <cell r="L71">
            <v>8.5999999999999993E-2</v>
          </cell>
          <cell r="M71">
            <v>0.09</v>
          </cell>
          <cell r="N71">
            <v>6.9000000000000006E-2</v>
          </cell>
          <cell r="O71">
            <v>6.7000000000000004E-2</v>
          </cell>
          <cell r="P71">
            <v>5.0999999999999997E-2</v>
          </cell>
          <cell r="Q71">
            <v>4.2000000000000003E-2</v>
          </cell>
          <cell r="R71">
            <v>2.7E-2</v>
          </cell>
          <cell r="S71">
            <v>1.4999999999999999E-2</v>
          </cell>
          <cell r="T71">
            <v>0.01</v>
          </cell>
          <cell r="U71">
            <v>2.1999999999999999E-2</v>
          </cell>
          <cell r="V71">
            <v>1.2E-2</v>
          </cell>
          <cell r="W71">
            <v>7.0000000000000001E-3</v>
          </cell>
          <cell r="X71">
            <v>6.0000000000000001E-3</v>
          </cell>
          <cell r="Y71">
            <v>3.0999999999999917E-2</v>
          </cell>
        </row>
        <row r="72">
          <cell r="F72">
            <v>3.0000000000000001E-3</v>
          </cell>
          <cell r="G72">
            <v>3.3000000000000002E-2</v>
          </cell>
          <cell r="H72">
            <v>9.1999999999999998E-2</v>
          </cell>
          <cell r="I72">
            <v>9.6000000000000002E-2</v>
          </cell>
          <cell r="J72">
            <v>0.123</v>
          </cell>
          <cell r="K72">
            <v>0.108</v>
          </cell>
          <cell r="L72">
            <v>9.1999999999999998E-2</v>
          </cell>
          <cell r="M72">
            <v>9.5000000000000001E-2</v>
          </cell>
          <cell r="N72">
            <v>6.7000000000000004E-2</v>
          </cell>
          <cell r="O72">
            <v>7.1999999999999995E-2</v>
          </cell>
          <cell r="P72">
            <v>0.04</v>
          </cell>
          <cell r="Q72">
            <v>3.3000000000000002E-2</v>
          </cell>
          <cell r="R72">
            <v>2.9000000000000001E-2</v>
          </cell>
          <cell r="S72">
            <v>1.9E-2</v>
          </cell>
          <cell r="T72">
            <v>2.3E-2</v>
          </cell>
          <cell r="U72">
            <v>1.2999999999999999E-2</v>
          </cell>
          <cell r="V72">
            <v>1.7000000000000001E-2</v>
          </cell>
          <cell r="W72">
            <v>7.0000000000000001E-3</v>
          </cell>
          <cell r="X72">
            <v>8.0000000000000002E-3</v>
          </cell>
          <cell r="Y72">
            <v>3.0000000000000027E-2</v>
          </cell>
        </row>
        <row r="73">
          <cell r="F73">
            <v>1.9E-2</v>
          </cell>
          <cell r="G73">
            <v>0.124</v>
          </cell>
          <cell r="H73">
            <v>0.184</v>
          </cell>
          <cell r="I73">
            <v>0.19800000000000001</v>
          </cell>
          <cell r="J73">
            <v>0.161</v>
          </cell>
          <cell r="K73">
            <v>0.129</v>
          </cell>
          <cell r="L73">
            <v>6.0999999999999999E-2</v>
          </cell>
          <cell r="M73">
            <v>5.0999999999999997E-2</v>
          </cell>
          <cell r="N73">
            <v>2.7E-2</v>
          </cell>
          <cell r="O73">
            <v>1.7999999999999999E-2</v>
          </cell>
          <cell r="P73">
            <v>0.01</v>
          </cell>
          <cell r="Q73">
            <v>8.0000000000000002E-3</v>
          </cell>
          <cell r="R73">
            <v>6.0000000000000001E-3</v>
          </cell>
          <cell r="S73">
            <v>3.0000000000000001E-3</v>
          </cell>
          <cell r="T73">
            <v>0</v>
          </cell>
          <cell r="U73">
            <v>1E-3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</row>
        <row r="74"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1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1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1</v>
          </cell>
        </row>
        <row r="81">
          <cell r="F81">
            <v>0.3</v>
          </cell>
          <cell r="G81">
            <v>0.38600000000000001</v>
          </cell>
          <cell r="H81">
            <v>0.189</v>
          </cell>
          <cell r="I81">
            <v>7.5999999999999998E-2</v>
          </cell>
          <cell r="J81">
            <v>3.1E-2</v>
          </cell>
          <cell r="K81">
            <v>1.0999999999999999E-2</v>
          </cell>
          <cell r="L81">
            <v>6.0000000000000001E-3</v>
          </cell>
          <cell r="M81">
            <v>0</v>
          </cell>
          <cell r="N81">
            <v>0</v>
          </cell>
          <cell r="O81">
            <v>1E-3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</row>
        <row r="82">
          <cell r="F82">
            <v>0.27600000000000002</v>
          </cell>
          <cell r="G82">
            <v>0.41199999999999998</v>
          </cell>
          <cell r="H82">
            <v>0.20599999999999999</v>
          </cell>
          <cell r="I82">
            <v>6.5000000000000002E-2</v>
          </cell>
          <cell r="J82">
            <v>2.3E-2</v>
          </cell>
          <cell r="K82">
            <v>8.9999999999999993E-3</v>
          </cell>
          <cell r="L82">
            <v>6.0000000000000001E-3</v>
          </cell>
          <cell r="M82">
            <v>3.0000000000000001E-3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</row>
        <row r="83">
          <cell r="F83">
            <v>0.189</v>
          </cell>
          <cell r="G83">
            <v>0.32</v>
          </cell>
          <cell r="H83">
            <v>0.26300000000000001</v>
          </cell>
          <cell r="I83">
            <v>0.11899999999999999</v>
          </cell>
          <cell r="J83">
            <v>6.4000000000000001E-2</v>
          </cell>
          <cell r="K83">
            <v>2.1000000000000001E-2</v>
          </cell>
          <cell r="L83">
            <v>1.4999999999999999E-2</v>
          </cell>
          <cell r="M83">
            <v>3.0000000000000001E-3</v>
          </cell>
          <cell r="N83">
            <v>3.0000000000000001E-3</v>
          </cell>
          <cell r="O83">
            <v>2E-3</v>
          </cell>
          <cell r="P83">
            <v>1E-3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</row>
        <row r="84">
          <cell r="F84">
            <v>0.17100000000000001</v>
          </cell>
          <cell r="G84">
            <v>0.36499999999999999</v>
          </cell>
          <cell r="H84">
            <v>0.249</v>
          </cell>
          <cell r="I84">
            <v>0.108</v>
          </cell>
          <cell r="J84">
            <v>6.3E-2</v>
          </cell>
          <cell r="K84">
            <v>2.7E-2</v>
          </cell>
          <cell r="L84">
            <v>0.01</v>
          </cell>
          <cell r="M84">
            <v>6.0000000000000001E-3</v>
          </cell>
          <cell r="N84">
            <v>0</v>
          </cell>
          <cell r="O84">
            <v>0</v>
          </cell>
          <cell r="P84">
            <v>1E-3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</row>
        <row r="85">
          <cell r="F85">
            <v>0.05</v>
          </cell>
          <cell r="G85">
            <v>0.23300000000000001</v>
          </cell>
          <cell r="H85">
            <v>0.20799999999999999</v>
          </cell>
          <cell r="I85">
            <v>0.189</v>
          </cell>
          <cell r="J85">
            <v>0.11799999999999999</v>
          </cell>
          <cell r="K85">
            <v>8.3000000000000004E-2</v>
          </cell>
          <cell r="L85">
            <v>0.05</v>
          </cell>
          <cell r="M85">
            <v>2.3E-2</v>
          </cell>
          <cell r="N85">
            <v>1.2E-2</v>
          </cell>
          <cell r="O85">
            <v>1.4E-2</v>
          </cell>
          <cell r="P85">
            <v>1.2E-2</v>
          </cell>
          <cell r="Q85">
            <v>3.0000000000000001E-3</v>
          </cell>
          <cell r="R85">
            <v>1E-3</v>
          </cell>
          <cell r="S85">
            <v>1E-3</v>
          </cell>
          <cell r="T85">
            <v>2E-3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1.0000000000000009E-3</v>
          </cell>
        </row>
        <row r="86">
          <cell r="F86">
            <v>0.26700000000000002</v>
          </cell>
          <cell r="G86">
            <v>0.42099999999999999</v>
          </cell>
          <cell r="H86">
            <v>0.188</v>
          </cell>
          <cell r="I86">
            <v>7.4999999999999997E-2</v>
          </cell>
          <cell r="J86">
            <v>2.8000000000000001E-2</v>
          </cell>
          <cell r="K86">
            <v>1.2999999999999999E-2</v>
          </cell>
          <cell r="L86">
            <v>7.0000000000000001E-3</v>
          </cell>
          <cell r="M86">
            <v>0</v>
          </cell>
          <cell r="N86">
            <v>1E-3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</row>
        <row r="87">
          <cell r="F87">
            <v>4.1000000000000002E-2</v>
          </cell>
          <cell r="G87">
            <v>0.26100000000000001</v>
          </cell>
          <cell r="H87">
            <v>0.252</v>
          </cell>
          <cell r="I87">
            <v>0.14599999999999999</v>
          </cell>
          <cell r="J87">
            <v>0.114</v>
          </cell>
          <cell r="K87">
            <v>8.2000000000000003E-2</v>
          </cell>
          <cell r="L87">
            <v>3.5999999999999997E-2</v>
          </cell>
          <cell r="M87">
            <v>2.5999999999999999E-2</v>
          </cell>
          <cell r="N87">
            <v>0.02</v>
          </cell>
          <cell r="O87">
            <v>7.0000000000000001E-3</v>
          </cell>
          <cell r="P87">
            <v>1E-3</v>
          </cell>
          <cell r="Q87">
            <v>6.0000000000000001E-3</v>
          </cell>
          <cell r="R87">
            <v>5.0000000000000001E-3</v>
          </cell>
          <cell r="S87">
            <v>0</v>
          </cell>
          <cell r="T87">
            <v>2E-3</v>
          </cell>
          <cell r="U87">
            <v>1E-3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</row>
        <row r="88">
          <cell r="F88">
            <v>0.17899999999999999</v>
          </cell>
          <cell r="G88">
            <v>0.378</v>
          </cell>
          <cell r="H88">
            <v>0.22900000000000001</v>
          </cell>
          <cell r="I88">
            <v>0.106</v>
          </cell>
          <cell r="J88">
            <v>0.06</v>
          </cell>
          <cell r="K88">
            <v>2.9000000000000001E-2</v>
          </cell>
          <cell r="L88">
            <v>1.4E-2</v>
          </cell>
          <cell r="M88">
            <v>3.0000000000000001E-3</v>
          </cell>
          <cell r="N88">
            <v>1E-3</v>
          </cell>
          <cell r="O88">
            <v>1E-3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</row>
        <row r="89">
          <cell r="F89">
            <v>4.8000000000000001E-2</v>
          </cell>
          <cell r="G89">
            <v>0.224</v>
          </cell>
          <cell r="H89">
            <v>0.253</v>
          </cell>
          <cell r="I89">
            <v>0.16800000000000001</v>
          </cell>
          <cell r="J89">
            <v>0.129</v>
          </cell>
          <cell r="K89">
            <v>6.5000000000000002E-2</v>
          </cell>
          <cell r="L89">
            <v>4.5999999999999999E-2</v>
          </cell>
          <cell r="M89">
            <v>1.9E-2</v>
          </cell>
          <cell r="N89">
            <v>1.7999999999999999E-2</v>
          </cell>
          <cell r="O89">
            <v>1.4999999999999999E-2</v>
          </cell>
          <cell r="P89">
            <v>6.0000000000000001E-3</v>
          </cell>
          <cell r="Q89">
            <v>2E-3</v>
          </cell>
          <cell r="R89">
            <v>4.0000000000000001E-3</v>
          </cell>
          <cell r="S89">
            <v>0</v>
          </cell>
          <cell r="T89">
            <v>1E-3</v>
          </cell>
          <cell r="U89">
            <v>1E-3</v>
          </cell>
          <cell r="V89">
            <v>0</v>
          </cell>
          <cell r="W89">
            <v>0</v>
          </cell>
          <cell r="X89">
            <v>1E-3</v>
          </cell>
          <cell r="Y89">
            <v>0</v>
          </cell>
        </row>
        <row r="90">
          <cell r="F90">
            <v>0.17799999999999999</v>
          </cell>
          <cell r="G90">
            <v>0.33600000000000002</v>
          </cell>
          <cell r="H90">
            <v>0.23499999999999999</v>
          </cell>
          <cell r="I90">
            <v>0.14599999999999999</v>
          </cell>
          <cell r="J90">
            <v>6.0999999999999999E-2</v>
          </cell>
          <cell r="K90">
            <v>2.9000000000000001E-2</v>
          </cell>
          <cell r="L90">
            <v>7.0000000000000001E-3</v>
          </cell>
          <cell r="M90">
            <v>8.0000000000000002E-3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</row>
        <row r="91">
          <cell r="F91">
            <v>0.17799999999999999</v>
          </cell>
          <cell r="G91">
            <v>0.33600000000000002</v>
          </cell>
          <cell r="H91">
            <v>0.23499999999999999</v>
          </cell>
          <cell r="I91">
            <v>0.14599999999999999</v>
          </cell>
          <cell r="J91">
            <v>6.0999999999999999E-2</v>
          </cell>
          <cell r="K91">
            <v>2.9000000000000001E-2</v>
          </cell>
          <cell r="L91">
            <v>7.0000000000000001E-3</v>
          </cell>
          <cell r="M91">
            <v>8.0000000000000002E-3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</row>
        <row r="92">
          <cell r="F92">
            <v>4.9000000000000002E-2</v>
          </cell>
          <cell r="G92">
            <v>0.23599999999999999</v>
          </cell>
          <cell r="H92">
            <v>0.22</v>
          </cell>
          <cell r="I92">
            <v>0.17199999999999999</v>
          </cell>
          <cell r="J92">
            <v>0.13500000000000001</v>
          </cell>
          <cell r="K92">
            <v>7.3999999999999996E-2</v>
          </cell>
          <cell r="L92">
            <v>4.5999999999999999E-2</v>
          </cell>
          <cell r="M92">
            <v>3.2000000000000001E-2</v>
          </cell>
          <cell r="N92">
            <v>1.4E-2</v>
          </cell>
          <cell r="O92">
            <v>1.0999999999999999E-2</v>
          </cell>
          <cell r="P92">
            <v>6.0000000000000001E-3</v>
          </cell>
          <cell r="Q92">
            <v>1E-3</v>
          </cell>
          <cell r="R92">
            <v>0</v>
          </cell>
          <cell r="S92">
            <v>2E-3</v>
          </cell>
          <cell r="T92">
            <v>2E-3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</row>
        <row r="93">
          <cell r="F93">
            <v>4.9000000000000002E-2</v>
          </cell>
          <cell r="G93">
            <v>0.23599999999999999</v>
          </cell>
          <cell r="H93">
            <v>0.22</v>
          </cell>
          <cell r="I93">
            <v>0.17199999999999999</v>
          </cell>
          <cell r="J93">
            <v>0.13500000000000001</v>
          </cell>
          <cell r="K93">
            <v>7.3999999999999996E-2</v>
          </cell>
          <cell r="L93">
            <v>4.5999999999999999E-2</v>
          </cell>
          <cell r="M93">
            <v>3.2000000000000001E-2</v>
          </cell>
          <cell r="N93">
            <v>1.4E-2</v>
          </cell>
          <cell r="O93">
            <v>1.0999999999999999E-2</v>
          </cell>
          <cell r="P93">
            <v>6.0000000000000001E-3</v>
          </cell>
          <cell r="Q93">
            <v>1E-3</v>
          </cell>
          <cell r="R93">
            <v>0</v>
          </cell>
          <cell r="S93">
            <v>2E-3</v>
          </cell>
          <cell r="T93">
            <v>2E-3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</row>
        <row r="94">
          <cell r="F94">
            <v>0.28499999999999998</v>
          </cell>
          <cell r="G94">
            <v>0.39200000000000002</v>
          </cell>
          <cell r="H94">
            <v>0.20899999999999999</v>
          </cell>
          <cell r="I94">
            <v>7.8E-2</v>
          </cell>
          <cell r="J94">
            <v>2.5000000000000001E-2</v>
          </cell>
          <cell r="K94">
            <v>7.0000000000000001E-3</v>
          </cell>
          <cell r="L94">
            <v>2E-3</v>
          </cell>
          <cell r="M94">
            <v>2E-3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</row>
        <row r="95">
          <cell r="F95">
            <v>4.9000000000000002E-2</v>
          </cell>
          <cell r="G95">
            <v>0.23599999999999999</v>
          </cell>
          <cell r="H95">
            <v>0.22</v>
          </cell>
          <cell r="I95">
            <v>0.17199999999999999</v>
          </cell>
          <cell r="J95">
            <v>0.13500000000000001</v>
          </cell>
          <cell r="K95">
            <v>7.3999999999999996E-2</v>
          </cell>
          <cell r="L95">
            <v>4.5999999999999999E-2</v>
          </cell>
          <cell r="M95">
            <v>3.2000000000000001E-2</v>
          </cell>
          <cell r="N95">
            <v>1.4E-2</v>
          </cell>
          <cell r="O95">
            <v>1.0999999999999999E-2</v>
          </cell>
          <cell r="P95">
            <v>6.0000000000000001E-3</v>
          </cell>
          <cell r="Q95">
            <v>1E-3</v>
          </cell>
          <cell r="R95">
            <v>0</v>
          </cell>
          <cell r="S95">
            <v>2E-3</v>
          </cell>
          <cell r="T95">
            <v>2E-3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</row>
        <row r="96">
          <cell r="F96">
            <v>4.9000000000000002E-2</v>
          </cell>
          <cell r="G96">
            <v>0.23599999999999999</v>
          </cell>
          <cell r="H96">
            <v>0.22</v>
          </cell>
          <cell r="I96">
            <v>0.17199999999999999</v>
          </cell>
          <cell r="J96">
            <v>0.13500000000000001</v>
          </cell>
          <cell r="K96">
            <v>7.3999999999999996E-2</v>
          </cell>
          <cell r="L96">
            <v>4.5999999999999999E-2</v>
          </cell>
          <cell r="M96">
            <v>3.2000000000000001E-2</v>
          </cell>
          <cell r="N96">
            <v>1.4E-2</v>
          </cell>
          <cell r="O96">
            <v>1.0999999999999999E-2</v>
          </cell>
          <cell r="P96">
            <v>6.0000000000000001E-3</v>
          </cell>
          <cell r="Q96">
            <v>1E-3</v>
          </cell>
          <cell r="R96">
            <v>0</v>
          </cell>
          <cell r="S96">
            <v>2E-3</v>
          </cell>
          <cell r="T96">
            <v>2E-3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</row>
        <row r="97">
          <cell r="F97">
            <v>4.9000000000000002E-2</v>
          </cell>
          <cell r="G97">
            <v>0.23599999999999999</v>
          </cell>
          <cell r="H97">
            <v>0.22</v>
          </cell>
          <cell r="I97">
            <v>0.17199999999999999</v>
          </cell>
          <cell r="J97">
            <v>0.13500000000000001</v>
          </cell>
          <cell r="K97">
            <v>7.3999999999999996E-2</v>
          </cell>
          <cell r="L97">
            <v>4.5999999999999999E-2</v>
          </cell>
          <cell r="M97">
            <v>3.2000000000000001E-2</v>
          </cell>
          <cell r="N97">
            <v>1.4E-2</v>
          </cell>
          <cell r="O97">
            <v>1.0999999999999999E-2</v>
          </cell>
          <cell r="P97">
            <v>6.0000000000000001E-3</v>
          </cell>
          <cell r="Q97">
            <v>1E-3</v>
          </cell>
          <cell r="R97">
            <v>0</v>
          </cell>
          <cell r="S97">
            <v>2E-3</v>
          </cell>
          <cell r="T97">
            <v>2E-3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</row>
        <row r="98">
          <cell r="F98">
            <v>3.7999999999999999E-2</v>
          </cell>
          <cell r="G98">
            <v>0.23799999999999999</v>
          </cell>
          <cell r="H98">
            <v>0.20499999999999999</v>
          </cell>
          <cell r="I98">
            <v>0.19600000000000001</v>
          </cell>
          <cell r="J98">
            <v>0.127</v>
          </cell>
          <cell r="K98">
            <v>7.5999999999999998E-2</v>
          </cell>
          <cell r="L98">
            <v>4.2999999999999997E-2</v>
          </cell>
          <cell r="M98">
            <v>3.5000000000000003E-2</v>
          </cell>
          <cell r="N98">
            <v>1.6E-2</v>
          </cell>
          <cell r="O98">
            <v>0.01</v>
          </cell>
          <cell r="P98">
            <v>7.0000000000000001E-3</v>
          </cell>
          <cell r="Q98">
            <v>2E-3</v>
          </cell>
          <cell r="R98">
            <v>4.0000000000000001E-3</v>
          </cell>
          <cell r="S98">
            <v>1E-3</v>
          </cell>
          <cell r="T98">
            <v>2E-3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</row>
        <row r="99">
          <cell r="F99">
            <v>0.16600000000000001</v>
          </cell>
          <cell r="G99">
            <v>0.34200000000000003</v>
          </cell>
          <cell r="H99">
            <v>0.25</v>
          </cell>
          <cell r="I99">
            <v>0.14000000000000001</v>
          </cell>
          <cell r="J99">
            <v>5.2999999999999999E-2</v>
          </cell>
          <cell r="K99">
            <v>2.9000000000000001E-2</v>
          </cell>
          <cell r="L99">
            <v>1.2999999999999999E-2</v>
          </cell>
          <cell r="M99">
            <v>4.0000000000000001E-3</v>
          </cell>
          <cell r="N99">
            <v>3.0000000000000001E-3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</row>
        <row r="100"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1</v>
          </cell>
        </row>
        <row r="101"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1</v>
          </cell>
        </row>
        <row r="102"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1</v>
          </cell>
        </row>
      </sheetData>
      <sheetData sheetId="24" refreshError="1"/>
      <sheetData sheetId="25">
        <row r="18">
          <cell r="F18">
            <v>0</v>
          </cell>
          <cell r="G18">
            <v>2.44E-5</v>
          </cell>
          <cell r="H18">
            <v>6.2999999999999998E-6</v>
          </cell>
          <cell r="I18">
            <v>3.8800000000000001E-5</v>
          </cell>
          <cell r="J18">
            <v>5.086E-4</v>
          </cell>
          <cell r="K18">
            <v>5.6999999999999996E-6</v>
          </cell>
          <cell r="L18">
            <v>4.4800000000000005E-5</v>
          </cell>
          <cell r="M18">
            <v>1.3300000000000001E-5</v>
          </cell>
          <cell r="N18">
            <v>3.2799999999999998E-5</v>
          </cell>
          <cell r="O18">
            <v>1.337E-4</v>
          </cell>
          <cell r="P18">
            <v>7.0000000000000007E-7</v>
          </cell>
          <cell r="Q18">
            <v>5.086E-4</v>
          </cell>
          <cell r="R18">
            <v>6.6199999999999996E-5</v>
          </cell>
          <cell r="S18">
            <v>7.2999999999999996E-6</v>
          </cell>
          <cell r="T18">
            <v>1.5650000000000001E-4</v>
          </cell>
          <cell r="U18">
            <v>2.5599999999999999E-5</v>
          </cell>
          <cell r="V18">
            <v>2.44E-5</v>
          </cell>
          <cell r="W18">
            <v>2.7E-6</v>
          </cell>
          <cell r="X18">
            <v>3.9899999999999999E-4</v>
          </cell>
          <cell r="Y18">
            <v>0</v>
          </cell>
          <cell r="Z18">
            <v>0</v>
          </cell>
          <cell r="AA18">
            <v>0</v>
          </cell>
        </row>
        <row r="19">
          <cell r="F19">
            <v>0</v>
          </cell>
          <cell r="G19">
            <v>2.44E-5</v>
          </cell>
          <cell r="H19">
            <v>6.2999999999999998E-6</v>
          </cell>
          <cell r="I19">
            <v>3.8800000000000001E-5</v>
          </cell>
          <cell r="J19">
            <v>5.086E-4</v>
          </cell>
          <cell r="K19">
            <v>5.6999999999999996E-6</v>
          </cell>
          <cell r="L19">
            <v>4.4800000000000005E-5</v>
          </cell>
          <cell r="M19">
            <v>1.3300000000000001E-5</v>
          </cell>
          <cell r="N19">
            <v>3.2799999999999998E-5</v>
          </cell>
          <cell r="O19">
            <v>1.337E-4</v>
          </cell>
          <cell r="P19">
            <v>7.0000000000000007E-7</v>
          </cell>
          <cell r="Q19">
            <v>5.086E-4</v>
          </cell>
          <cell r="R19">
            <v>6.6199999999999996E-5</v>
          </cell>
          <cell r="S19">
            <v>7.2999999999999996E-6</v>
          </cell>
          <cell r="T19">
            <v>1.5650000000000001E-4</v>
          </cell>
          <cell r="U19">
            <v>2.5599999999999999E-5</v>
          </cell>
          <cell r="V19">
            <v>2.44E-5</v>
          </cell>
          <cell r="W19">
            <v>2.7E-6</v>
          </cell>
          <cell r="X19">
            <v>3.9899999999999999E-4</v>
          </cell>
          <cell r="Y19">
            <v>0</v>
          </cell>
          <cell r="Z19">
            <v>0</v>
          </cell>
          <cell r="AA19">
            <v>0</v>
          </cell>
        </row>
        <row r="20">
          <cell r="F20">
            <v>0</v>
          </cell>
          <cell r="G20">
            <v>2.44E-5</v>
          </cell>
          <cell r="H20">
            <v>6.2999999999999998E-6</v>
          </cell>
          <cell r="I20">
            <v>3.8800000000000001E-5</v>
          </cell>
          <cell r="J20">
            <v>5.086E-4</v>
          </cell>
          <cell r="K20">
            <v>5.6999999999999996E-6</v>
          </cell>
          <cell r="L20">
            <v>4.4800000000000005E-5</v>
          </cell>
          <cell r="M20">
            <v>1.3300000000000001E-5</v>
          </cell>
          <cell r="N20">
            <v>3.2799999999999998E-5</v>
          </cell>
          <cell r="O20">
            <v>1.337E-4</v>
          </cell>
          <cell r="P20">
            <v>7.0000000000000007E-7</v>
          </cell>
          <cell r="Q20">
            <v>5.086E-4</v>
          </cell>
          <cell r="R20">
            <v>6.6199999999999996E-5</v>
          </cell>
          <cell r="S20">
            <v>7.2999999999999996E-6</v>
          </cell>
          <cell r="T20">
            <v>1.5650000000000001E-4</v>
          </cell>
          <cell r="U20">
            <v>2.5599999999999999E-5</v>
          </cell>
          <cell r="V20">
            <v>2.44E-5</v>
          </cell>
          <cell r="W20">
            <v>2.7E-6</v>
          </cell>
          <cell r="X20">
            <v>3.9899999999999999E-4</v>
          </cell>
          <cell r="Y20">
            <v>0</v>
          </cell>
          <cell r="Z20">
            <v>0</v>
          </cell>
          <cell r="AA20">
            <v>0</v>
          </cell>
        </row>
        <row r="21">
          <cell r="F21">
            <v>0</v>
          </cell>
          <cell r="G21">
            <v>2.44E-5</v>
          </cell>
          <cell r="H21">
            <v>6.2999999999999998E-6</v>
          </cell>
          <cell r="I21">
            <v>3.8800000000000001E-5</v>
          </cell>
          <cell r="J21">
            <v>5.086E-4</v>
          </cell>
          <cell r="K21">
            <v>5.6999999999999996E-6</v>
          </cell>
          <cell r="L21">
            <v>4.4800000000000005E-5</v>
          </cell>
          <cell r="M21">
            <v>1.3300000000000001E-5</v>
          </cell>
          <cell r="N21">
            <v>3.2799999999999998E-5</v>
          </cell>
          <cell r="O21">
            <v>1.337E-4</v>
          </cell>
          <cell r="P21">
            <v>7.0000000000000007E-7</v>
          </cell>
          <cell r="Q21">
            <v>5.086E-4</v>
          </cell>
          <cell r="R21">
            <v>6.6199999999999996E-5</v>
          </cell>
          <cell r="S21">
            <v>7.2999999999999996E-6</v>
          </cell>
          <cell r="T21">
            <v>1.5650000000000001E-4</v>
          </cell>
          <cell r="U21">
            <v>2.5599999999999999E-5</v>
          </cell>
          <cell r="V21">
            <v>2.44E-5</v>
          </cell>
          <cell r="W21">
            <v>2.7E-6</v>
          </cell>
          <cell r="X21">
            <v>3.9899999999999999E-4</v>
          </cell>
          <cell r="Y21">
            <v>0</v>
          </cell>
          <cell r="Z21">
            <v>0</v>
          </cell>
          <cell r="AA21">
            <v>0</v>
          </cell>
        </row>
        <row r="22">
          <cell r="F22">
            <v>0</v>
          </cell>
          <cell r="G22">
            <v>2.44E-5</v>
          </cell>
          <cell r="H22">
            <v>6.2999999999999998E-6</v>
          </cell>
          <cell r="I22">
            <v>3.8800000000000001E-5</v>
          </cell>
          <cell r="J22">
            <v>5.086E-4</v>
          </cell>
          <cell r="K22">
            <v>5.6999999999999996E-6</v>
          </cell>
          <cell r="L22">
            <v>4.4800000000000005E-5</v>
          </cell>
          <cell r="M22">
            <v>1.3300000000000001E-5</v>
          </cell>
          <cell r="N22">
            <v>3.2799999999999998E-5</v>
          </cell>
          <cell r="O22">
            <v>1.337E-4</v>
          </cell>
          <cell r="P22">
            <v>7.0000000000000007E-7</v>
          </cell>
          <cell r="Q22">
            <v>5.086E-4</v>
          </cell>
          <cell r="R22">
            <v>6.6199999999999996E-5</v>
          </cell>
          <cell r="S22">
            <v>7.2999999999999996E-6</v>
          </cell>
          <cell r="T22">
            <v>1.5650000000000001E-4</v>
          </cell>
          <cell r="U22">
            <v>2.5599999999999999E-5</v>
          </cell>
          <cell r="V22">
            <v>2.44E-5</v>
          </cell>
          <cell r="W22">
            <v>2.7E-6</v>
          </cell>
          <cell r="X22">
            <v>3.9899999999999999E-4</v>
          </cell>
          <cell r="Y22">
            <v>0</v>
          </cell>
          <cell r="Z22">
            <v>0</v>
          </cell>
          <cell r="AA22">
            <v>0</v>
          </cell>
        </row>
        <row r="23">
          <cell r="F23">
            <v>0</v>
          </cell>
          <cell r="G23">
            <v>1.5099999999999998E-4</v>
          </cell>
          <cell r="H23">
            <v>1.08E-5</v>
          </cell>
          <cell r="I23">
            <v>7.3499999999999998E-5</v>
          </cell>
          <cell r="J23">
            <v>6.3969999999999999E-4</v>
          </cell>
          <cell r="K23">
            <v>1.0900000000000001E-5</v>
          </cell>
          <cell r="L23">
            <v>6.6100000000000007E-5</v>
          </cell>
          <cell r="M23">
            <v>2.02E-5</v>
          </cell>
          <cell r="N23">
            <v>3.4900000000000001E-5</v>
          </cell>
          <cell r="O23">
            <v>1.8539999999999998E-4</v>
          </cell>
          <cell r="P23">
            <v>2.2000000000000001E-6</v>
          </cell>
          <cell r="Q23">
            <v>6.3969999999999999E-4</v>
          </cell>
          <cell r="R23">
            <v>8.6699999999999993E-5</v>
          </cell>
          <cell r="S23">
            <v>8.3000000000000002E-6</v>
          </cell>
          <cell r="T23">
            <v>2.5920000000000001E-4</v>
          </cell>
          <cell r="U23">
            <v>5.0399999999999999E-5</v>
          </cell>
          <cell r="V23">
            <v>2.1299999999999999E-5</v>
          </cell>
          <cell r="W23">
            <v>5.5000000000000007E-6</v>
          </cell>
          <cell r="X23">
            <v>4.618E-4</v>
          </cell>
          <cell r="Y23">
            <v>0</v>
          </cell>
          <cell r="Z23">
            <v>0</v>
          </cell>
          <cell r="AA23">
            <v>0</v>
          </cell>
        </row>
        <row r="24">
          <cell r="F24">
            <v>0</v>
          </cell>
          <cell r="G24">
            <v>1.5099999999999998E-4</v>
          </cell>
          <cell r="H24">
            <v>1.08E-5</v>
          </cell>
          <cell r="I24">
            <v>7.3499999999999998E-5</v>
          </cell>
          <cell r="J24">
            <v>6.3969999999999999E-4</v>
          </cell>
          <cell r="K24">
            <v>1.0900000000000001E-5</v>
          </cell>
          <cell r="L24">
            <v>6.6100000000000007E-5</v>
          </cell>
          <cell r="M24">
            <v>2.02E-5</v>
          </cell>
          <cell r="N24">
            <v>3.4900000000000001E-5</v>
          </cell>
          <cell r="O24">
            <v>1.8539999999999998E-4</v>
          </cell>
          <cell r="P24">
            <v>2.2000000000000001E-6</v>
          </cell>
          <cell r="Q24">
            <v>6.3969999999999999E-4</v>
          </cell>
          <cell r="R24">
            <v>8.6699999999999993E-5</v>
          </cell>
          <cell r="S24">
            <v>8.3000000000000002E-6</v>
          </cell>
          <cell r="T24">
            <v>2.5920000000000001E-4</v>
          </cell>
          <cell r="U24">
            <v>5.0399999999999999E-5</v>
          </cell>
          <cell r="V24">
            <v>2.1299999999999999E-5</v>
          </cell>
          <cell r="W24">
            <v>5.5000000000000007E-6</v>
          </cell>
          <cell r="X24">
            <v>4.618E-4</v>
          </cell>
          <cell r="Y24">
            <v>0</v>
          </cell>
          <cell r="Z24">
            <v>0</v>
          </cell>
          <cell r="AA24">
            <v>0</v>
          </cell>
        </row>
        <row r="25">
          <cell r="F25">
            <v>0</v>
          </cell>
          <cell r="G25">
            <v>1.5099999999999998E-4</v>
          </cell>
          <cell r="H25">
            <v>1.08E-5</v>
          </cell>
          <cell r="I25">
            <v>7.3499999999999998E-5</v>
          </cell>
          <cell r="J25">
            <v>6.3969999999999999E-4</v>
          </cell>
          <cell r="K25">
            <v>1.0900000000000001E-5</v>
          </cell>
          <cell r="L25">
            <v>6.6100000000000007E-5</v>
          </cell>
          <cell r="M25">
            <v>2.02E-5</v>
          </cell>
          <cell r="N25">
            <v>3.4900000000000001E-5</v>
          </cell>
          <cell r="O25">
            <v>1.8539999999999998E-4</v>
          </cell>
          <cell r="P25">
            <v>2.2000000000000001E-6</v>
          </cell>
          <cell r="Q25">
            <v>6.3969999999999999E-4</v>
          </cell>
          <cell r="R25">
            <v>8.6699999999999993E-5</v>
          </cell>
          <cell r="S25">
            <v>8.3000000000000002E-6</v>
          </cell>
          <cell r="T25">
            <v>2.5920000000000001E-4</v>
          </cell>
          <cell r="U25">
            <v>5.0399999999999999E-5</v>
          </cell>
          <cell r="V25">
            <v>2.1299999999999999E-5</v>
          </cell>
          <cell r="W25">
            <v>5.5000000000000007E-6</v>
          </cell>
          <cell r="X25">
            <v>4.618E-4</v>
          </cell>
          <cell r="Y25">
            <v>0</v>
          </cell>
          <cell r="Z25">
            <v>0</v>
          </cell>
          <cell r="AA25">
            <v>0</v>
          </cell>
        </row>
        <row r="26">
          <cell r="F26">
            <v>0</v>
          </cell>
          <cell r="G26">
            <v>1.5099999999999998E-4</v>
          </cell>
          <cell r="H26">
            <v>1.08E-5</v>
          </cell>
          <cell r="I26">
            <v>7.3499999999999998E-5</v>
          </cell>
          <cell r="J26">
            <v>6.3969999999999999E-4</v>
          </cell>
          <cell r="K26">
            <v>1.0900000000000001E-5</v>
          </cell>
          <cell r="L26">
            <v>6.6100000000000007E-5</v>
          </cell>
          <cell r="M26">
            <v>2.02E-5</v>
          </cell>
          <cell r="N26">
            <v>3.4900000000000001E-5</v>
          </cell>
          <cell r="O26">
            <v>1.8539999999999998E-4</v>
          </cell>
          <cell r="P26">
            <v>2.2000000000000001E-6</v>
          </cell>
          <cell r="Q26">
            <v>6.3969999999999999E-4</v>
          </cell>
          <cell r="R26">
            <v>8.6699999999999993E-5</v>
          </cell>
          <cell r="S26">
            <v>8.3000000000000002E-6</v>
          </cell>
          <cell r="T26">
            <v>2.5920000000000001E-4</v>
          </cell>
          <cell r="U26">
            <v>5.0399999999999999E-5</v>
          </cell>
          <cell r="V26">
            <v>2.1299999999999999E-5</v>
          </cell>
          <cell r="W26">
            <v>5.5000000000000007E-6</v>
          </cell>
          <cell r="X26">
            <v>4.618E-4</v>
          </cell>
          <cell r="Y26">
            <v>0</v>
          </cell>
          <cell r="Z26">
            <v>0</v>
          </cell>
          <cell r="AA26">
            <v>0</v>
          </cell>
        </row>
        <row r="27">
          <cell r="F27">
            <v>0</v>
          </cell>
          <cell r="G27">
            <v>1.5099999999999998E-4</v>
          </cell>
          <cell r="H27">
            <v>1.08E-5</v>
          </cell>
          <cell r="I27">
            <v>7.3499999999999998E-5</v>
          </cell>
          <cell r="J27">
            <v>6.3969999999999999E-4</v>
          </cell>
          <cell r="K27">
            <v>1.0900000000000001E-5</v>
          </cell>
          <cell r="L27">
            <v>6.6100000000000007E-5</v>
          </cell>
          <cell r="M27">
            <v>2.02E-5</v>
          </cell>
          <cell r="N27">
            <v>3.4900000000000001E-5</v>
          </cell>
          <cell r="O27">
            <v>1.8539999999999998E-4</v>
          </cell>
          <cell r="P27">
            <v>2.2000000000000001E-6</v>
          </cell>
          <cell r="Q27">
            <v>6.3969999999999999E-4</v>
          </cell>
          <cell r="R27">
            <v>8.6699999999999993E-5</v>
          </cell>
          <cell r="S27">
            <v>8.3000000000000002E-6</v>
          </cell>
          <cell r="T27">
            <v>2.5920000000000001E-4</v>
          </cell>
          <cell r="U27">
            <v>5.0399999999999999E-5</v>
          </cell>
          <cell r="V27">
            <v>2.1299999999999999E-5</v>
          </cell>
          <cell r="W27">
            <v>5.5000000000000007E-6</v>
          </cell>
          <cell r="X27">
            <v>4.618E-4</v>
          </cell>
          <cell r="Y27">
            <v>0</v>
          </cell>
          <cell r="Z27">
            <v>0</v>
          </cell>
          <cell r="AA27">
            <v>0</v>
          </cell>
        </row>
        <row r="28">
          <cell r="F28">
            <v>0</v>
          </cell>
          <cell r="G28">
            <v>2.1219999999999998E-4</v>
          </cell>
          <cell r="H28">
            <v>1.7499999999999998E-5</v>
          </cell>
          <cell r="I28">
            <v>9.1199999999999994E-5</v>
          </cell>
          <cell r="J28">
            <v>8.9760000000000003E-4</v>
          </cell>
          <cell r="K28">
            <v>1.84E-5</v>
          </cell>
          <cell r="L28">
            <v>9.0600000000000007E-5</v>
          </cell>
          <cell r="M28">
            <v>3.3200000000000001E-5</v>
          </cell>
          <cell r="N28">
            <v>3.3500000000000001E-5</v>
          </cell>
          <cell r="O28">
            <v>2.5270000000000002E-4</v>
          </cell>
          <cell r="P28">
            <v>4.8999999999999997E-6</v>
          </cell>
          <cell r="Q28">
            <v>8.9760000000000003E-4</v>
          </cell>
          <cell r="R28">
            <v>1.209E-4</v>
          </cell>
          <cell r="S28">
            <v>1.01E-5</v>
          </cell>
          <cell r="T28">
            <v>3.1930000000000001E-4</v>
          </cell>
          <cell r="U28">
            <v>9.3699999999999987E-5</v>
          </cell>
          <cell r="V28">
            <v>2.1000000000000002E-5</v>
          </cell>
          <cell r="W28">
            <v>9.7999999999999993E-6</v>
          </cell>
          <cell r="X28">
            <v>5.6270000000000007E-4</v>
          </cell>
          <cell r="Y28">
            <v>0</v>
          </cell>
          <cell r="Z28">
            <v>0</v>
          </cell>
          <cell r="AA28">
            <v>0</v>
          </cell>
        </row>
        <row r="29">
          <cell r="F29">
            <v>0</v>
          </cell>
          <cell r="G29">
            <v>2.1219999999999998E-4</v>
          </cell>
          <cell r="H29">
            <v>1.7499999999999998E-5</v>
          </cell>
          <cell r="I29">
            <v>9.1199999999999994E-5</v>
          </cell>
          <cell r="J29">
            <v>8.9760000000000003E-4</v>
          </cell>
          <cell r="K29">
            <v>1.84E-5</v>
          </cell>
          <cell r="L29">
            <v>9.0600000000000007E-5</v>
          </cell>
          <cell r="M29">
            <v>3.3200000000000001E-5</v>
          </cell>
          <cell r="N29">
            <v>3.3500000000000001E-5</v>
          </cell>
          <cell r="O29">
            <v>2.5270000000000002E-4</v>
          </cell>
          <cell r="P29">
            <v>4.8999999999999997E-6</v>
          </cell>
          <cell r="Q29">
            <v>8.9760000000000003E-4</v>
          </cell>
          <cell r="R29">
            <v>1.209E-4</v>
          </cell>
          <cell r="S29">
            <v>1.01E-5</v>
          </cell>
          <cell r="T29">
            <v>3.1930000000000001E-4</v>
          </cell>
          <cell r="U29">
            <v>9.3699999999999987E-5</v>
          </cell>
          <cell r="V29">
            <v>2.1000000000000002E-5</v>
          </cell>
          <cell r="W29">
            <v>9.7999999999999993E-6</v>
          </cell>
          <cell r="X29">
            <v>5.6270000000000007E-4</v>
          </cell>
          <cell r="Y29">
            <v>0</v>
          </cell>
          <cell r="Z29">
            <v>0</v>
          </cell>
          <cell r="AA29">
            <v>0</v>
          </cell>
        </row>
        <row r="30">
          <cell r="F30">
            <v>0</v>
          </cell>
          <cell r="G30">
            <v>2.1219999999999998E-4</v>
          </cell>
          <cell r="H30">
            <v>1.7499999999999998E-5</v>
          </cell>
          <cell r="I30">
            <v>9.1199999999999994E-5</v>
          </cell>
          <cell r="J30">
            <v>8.9760000000000003E-4</v>
          </cell>
          <cell r="K30">
            <v>1.84E-5</v>
          </cell>
          <cell r="L30">
            <v>9.0600000000000007E-5</v>
          </cell>
          <cell r="M30">
            <v>3.3200000000000001E-5</v>
          </cell>
          <cell r="N30">
            <v>3.3500000000000001E-5</v>
          </cell>
          <cell r="O30">
            <v>2.5270000000000002E-4</v>
          </cell>
          <cell r="P30">
            <v>4.8999999999999997E-6</v>
          </cell>
          <cell r="Q30">
            <v>8.9760000000000003E-4</v>
          </cell>
          <cell r="R30">
            <v>1.209E-4</v>
          </cell>
          <cell r="S30">
            <v>1.01E-5</v>
          </cell>
          <cell r="T30">
            <v>3.1930000000000001E-4</v>
          </cell>
          <cell r="U30">
            <v>9.3699999999999987E-5</v>
          </cell>
          <cell r="V30">
            <v>2.1000000000000002E-5</v>
          </cell>
          <cell r="W30">
            <v>9.7999999999999993E-6</v>
          </cell>
          <cell r="X30">
            <v>5.6270000000000007E-4</v>
          </cell>
          <cell r="Y30">
            <v>0</v>
          </cell>
          <cell r="Z30">
            <v>0</v>
          </cell>
          <cell r="AA30">
            <v>0</v>
          </cell>
        </row>
        <row r="31">
          <cell r="F31">
            <v>0</v>
          </cell>
          <cell r="G31">
            <v>2.1219999999999998E-4</v>
          </cell>
          <cell r="H31">
            <v>1.7499999999999998E-5</v>
          </cell>
          <cell r="I31">
            <v>9.1199999999999994E-5</v>
          </cell>
          <cell r="J31">
            <v>8.9760000000000003E-4</v>
          </cell>
          <cell r="K31">
            <v>1.84E-5</v>
          </cell>
          <cell r="L31">
            <v>9.0600000000000007E-5</v>
          </cell>
          <cell r="M31">
            <v>3.3200000000000001E-5</v>
          </cell>
          <cell r="N31">
            <v>3.3500000000000001E-5</v>
          </cell>
          <cell r="O31">
            <v>2.5270000000000002E-4</v>
          </cell>
          <cell r="P31">
            <v>4.8999999999999997E-6</v>
          </cell>
          <cell r="Q31">
            <v>8.9760000000000003E-4</v>
          </cell>
          <cell r="R31">
            <v>1.209E-4</v>
          </cell>
          <cell r="S31">
            <v>1.01E-5</v>
          </cell>
          <cell r="T31">
            <v>3.1930000000000001E-4</v>
          </cell>
          <cell r="U31">
            <v>9.3699999999999987E-5</v>
          </cell>
          <cell r="V31">
            <v>2.1000000000000002E-5</v>
          </cell>
          <cell r="W31">
            <v>9.7999999999999993E-6</v>
          </cell>
          <cell r="X31">
            <v>5.6270000000000007E-4</v>
          </cell>
          <cell r="Y31">
            <v>0</v>
          </cell>
          <cell r="Z31">
            <v>0</v>
          </cell>
          <cell r="AA31">
            <v>0</v>
          </cell>
        </row>
        <row r="32">
          <cell r="F32">
            <v>0</v>
          </cell>
          <cell r="G32">
            <v>2.1219999999999998E-4</v>
          </cell>
          <cell r="H32">
            <v>1.7499999999999998E-5</v>
          </cell>
          <cell r="I32">
            <v>9.1199999999999994E-5</v>
          </cell>
          <cell r="J32">
            <v>8.9760000000000003E-4</v>
          </cell>
          <cell r="K32">
            <v>1.84E-5</v>
          </cell>
          <cell r="L32">
            <v>9.0600000000000007E-5</v>
          </cell>
          <cell r="M32">
            <v>3.3200000000000001E-5</v>
          </cell>
          <cell r="N32">
            <v>3.3500000000000001E-5</v>
          </cell>
          <cell r="O32">
            <v>2.5270000000000002E-4</v>
          </cell>
          <cell r="P32">
            <v>4.8999999999999997E-6</v>
          </cell>
          <cell r="Q32">
            <v>8.9760000000000003E-4</v>
          </cell>
          <cell r="R32">
            <v>1.209E-4</v>
          </cell>
          <cell r="S32">
            <v>1.01E-5</v>
          </cell>
          <cell r="T32">
            <v>3.1930000000000001E-4</v>
          </cell>
          <cell r="U32">
            <v>9.3699999999999987E-5</v>
          </cell>
          <cell r="V32">
            <v>2.1000000000000002E-5</v>
          </cell>
          <cell r="W32">
            <v>9.7999999999999993E-6</v>
          </cell>
          <cell r="X32">
            <v>5.6270000000000007E-4</v>
          </cell>
          <cell r="Y32">
            <v>0</v>
          </cell>
          <cell r="Z32">
            <v>0</v>
          </cell>
          <cell r="AA32">
            <v>0</v>
          </cell>
        </row>
        <row r="33">
          <cell r="F33">
            <v>0</v>
          </cell>
          <cell r="G33">
            <v>3.2979999999999999E-4</v>
          </cell>
          <cell r="H33">
            <v>2.7599999999999997E-5</v>
          </cell>
          <cell r="I33">
            <v>9.6000000000000002E-5</v>
          </cell>
          <cell r="J33">
            <v>1.1931000000000001E-3</v>
          </cell>
          <cell r="K33">
            <v>2.72E-5</v>
          </cell>
          <cell r="L33">
            <v>1.249E-4</v>
          </cell>
          <cell r="M33">
            <v>5.4699999999999995E-5</v>
          </cell>
          <cell r="N33">
            <v>3.4E-5</v>
          </cell>
          <cell r="O33">
            <v>3.3429999999999999E-4</v>
          </cell>
          <cell r="P33">
            <v>1.03E-5</v>
          </cell>
          <cell r="Q33">
            <v>1.1931000000000001E-3</v>
          </cell>
          <cell r="R33">
            <v>1.7690000000000002E-4</v>
          </cell>
          <cell r="S33">
            <v>1.1299999999999999E-5</v>
          </cell>
          <cell r="T33">
            <v>1.84E-5</v>
          </cell>
          <cell r="U33">
            <v>1.6249999999999999E-4</v>
          </cell>
          <cell r="V33">
            <v>2.1099999999999998E-5</v>
          </cell>
          <cell r="W33">
            <v>1.84E-5</v>
          </cell>
          <cell r="X33">
            <v>7.1450000000000007E-4</v>
          </cell>
          <cell r="Y33">
            <v>0</v>
          </cell>
          <cell r="Z33">
            <v>0</v>
          </cell>
          <cell r="AA33">
            <v>0</v>
          </cell>
        </row>
        <row r="34">
          <cell r="F34">
            <v>0</v>
          </cell>
          <cell r="G34">
            <v>3.2979999999999999E-4</v>
          </cell>
          <cell r="H34">
            <v>2.7599999999999997E-5</v>
          </cell>
          <cell r="I34">
            <v>9.6000000000000002E-5</v>
          </cell>
          <cell r="J34">
            <v>1.1931000000000001E-3</v>
          </cell>
          <cell r="K34">
            <v>2.72E-5</v>
          </cell>
          <cell r="L34">
            <v>1.249E-4</v>
          </cell>
          <cell r="M34">
            <v>5.4699999999999995E-5</v>
          </cell>
          <cell r="N34">
            <v>3.4E-5</v>
          </cell>
          <cell r="O34">
            <v>3.3429999999999999E-4</v>
          </cell>
          <cell r="P34">
            <v>1.03E-5</v>
          </cell>
          <cell r="Q34">
            <v>1.1931000000000001E-3</v>
          </cell>
          <cell r="R34">
            <v>1.7690000000000002E-4</v>
          </cell>
          <cell r="S34">
            <v>1.1299999999999999E-5</v>
          </cell>
          <cell r="T34">
            <v>1.84E-5</v>
          </cell>
          <cell r="U34">
            <v>1.6249999999999999E-4</v>
          </cell>
          <cell r="V34">
            <v>2.1099999999999998E-5</v>
          </cell>
          <cell r="W34">
            <v>1.84E-5</v>
          </cell>
          <cell r="X34">
            <v>7.1450000000000007E-4</v>
          </cell>
          <cell r="Y34">
            <v>0</v>
          </cell>
          <cell r="Z34">
            <v>0</v>
          </cell>
          <cell r="AA34">
            <v>0</v>
          </cell>
        </row>
        <row r="35">
          <cell r="F35">
            <v>0</v>
          </cell>
          <cell r="G35">
            <v>3.2979999999999999E-4</v>
          </cell>
          <cell r="H35">
            <v>2.7599999999999997E-5</v>
          </cell>
          <cell r="I35">
            <v>9.6000000000000002E-5</v>
          </cell>
          <cell r="J35">
            <v>1.1931000000000001E-3</v>
          </cell>
          <cell r="K35">
            <v>2.72E-5</v>
          </cell>
          <cell r="L35">
            <v>1.249E-4</v>
          </cell>
          <cell r="M35">
            <v>5.4699999999999995E-5</v>
          </cell>
          <cell r="N35">
            <v>3.4E-5</v>
          </cell>
          <cell r="O35">
            <v>3.3429999999999999E-4</v>
          </cell>
          <cell r="P35">
            <v>1.03E-5</v>
          </cell>
          <cell r="Q35">
            <v>1.1931000000000001E-3</v>
          </cell>
          <cell r="R35">
            <v>1.7690000000000002E-4</v>
          </cell>
          <cell r="S35">
            <v>1.1299999999999999E-5</v>
          </cell>
          <cell r="T35">
            <v>1.84E-5</v>
          </cell>
          <cell r="U35">
            <v>1.6249999999999999E-4</v>
          </cell>
          <cell r="V35">
            <v>2.1099999999999998E-5</v>
          </cell>
          <cell r="W35">
            <v>1.84E-5</v>
          </cell>
          <cell r="X35">
            <v>7.1450000000000007E-4</v>
          </cell>
          <cell r="Y35">
            <v>0</v>
          </cell>
          <cell r="Z35">
            <v>0</v>
          </cell>
          <cell r="AA35">
            <v>0</v>
          </cell>
        </row>
        <row r="36">
          <cell r="F36">
            <v>0</v>
          </cell>
          <cell r="G36">
            <v>3.2979999999999999E-4</v>
          </cell>
          <cell r="H36">
            <v>2.7599999999999997E-5</v>
          </cell>
          <cell r="I36">
            <v>9.6000000000000002E-5</v>
          </cell>
          <cell r="J36">
            <v>1.1931000000000001E-3</v>
          </cell>
          <cell r="K36">
            <v>2.72E-5</v>
          </cell>
          <cell r="L36">
            <v>1.249E-4</v>
          </cell>
          <cell r="M36">
            <v>5.4699999999999995E-5</v>
          </cell>
          <cell r="N36">
            <v>3.4E-5</v>
          </cell>
          <cell r="O36">
            <v>3.3429999999999999E-4</v>
          </cell>
          <cell r="P36">
            <v>1.03E-5</v>
          </cell>
          <cell r="Q36">
            <v>1.1931000000000001E-3</v>
          </cell>
          <cell r="R36">
            <v>1.7690000000000002E-4</v>
          </cell>
          <cell r="S36">
            <v>1.1299999999999999E-5</v>
          </cell>
          <cell r="T36">
            <v>1.84E-5</v>
          </cell>
          <cell r="U36">
            <v>1.6249999999999999E-4</v>
          </cell>
          <cell r="V36">
            <v>2.1099999999999998E-5</v>
          </cell>
          <cell r="W36">
            <v>1.84E-5</v>
          </cell>
          <cell r="X36">
            <v>7.1450000000000007E-4</v>
          </cell>
          <cell r="Y36">
            <v>0</v>
          </cell>
          <cell r="Z36">
            <v>0</v>
          </cell>
          <cell r="AA36">
            <v>0</v>
          </cell>
        </row>
        <row r="37">
          <cell r="F37">
            <v>0</v>
          </cell>
          <cell r="G37">
            <v>3.2979999999999999E-4</v>
          </cell>
          <cell r="H37">
            <v>2.7599999999999997E-5</v>
          </cell>
          <cell r="I37">
            <v>9.6000000000000002E-5</v>
          </cell>
          <cell r="J37">
            <v>1.1931000000000001E-3</v>
          </cell>
          <cell r="K37">
            <v>2.72E-5</v>
          </cell>
          <cell r="L37">
            <v>1.249E-4</v>
          </cell>
          <cell r="M37">
            <v>5.4699999999999995E-5</v>
          </cell>
          <cell r="N37">
            <v>3.4E-5</v>
          </cell>
          <cell r="O37">
            <v>3.3429999999999999E-4</v>
          </cell>
          <cell r="P37">
            <v>1.03E-5</v>
          </cell>
          <cell r="Q37">
            <v>1.1931000000000001E-3</v>
          </cell>
          <cell r="R37">
            <v>1.7690000000000002E-4</v>
          </cell>
          <cell r="S37">
            <v>1.1299999999999999E-5</v>
          </cell>
          <cell r="T37">
            <v>1.84E-5</v>
          </cell>
          <cell r="U37">
            <v>1.6249999999999999E-4</v>
          </cell>
          <cell r="V37">
            <v>2.1099999999999998E-5</v>
          </cell>
          <cell r="W37">
            <v>1.84E-5</v>
          </cell>
          <cell r="X37">
            <v>7.1450000000000007E-4</v>
          </cell>
          <cell r="Y37">
            <v>0</v>
          </cell>
          <cell r="Z37">
            <v>0</v>
          </cell>
          <cell r="AA37">
            <v>0</v>
          </cell>
        </row>
        <row r="38">
          <cell r="F38">
            <v>0</v>
          </cell>
          <cell r="G38">
            <v>4.3889999999999999E-4</v>
          </cell>
          <cell r="H38">
            <v>4.0899999999999998E-5</v>
          </cell>
          <cell r="I38">
            <v>1.0289999999999999E-4</v>
          </cell>
          <cell r="J38">
            <v>1.3202999999999999E-3</v>
          </cell>
          <cell r="K38">
            <v>3.5299999999999997E-5</v>
          </cell>
          <cell r="L38">
            <v>1.495E-4</v>
          </cell>
          <cell r="M38">
            <v>8.6199999999999995E-5</v>
          </cell>
          <cell r="N38">
            <v>3.2299999999999999E-5</v>
          </cell>
          <cell r="O38">
            <v>3.6189999999999996E-4</v>
          </cell>
          <cell r="P38">
            <v>1.59E-5</v>
          </cell>
          <cell r="Q38">
            <v>1.3202999999999999E-3</v>
          </cell>
          <cell r="R38">
            <v>2.2780000000000001E-4</v>
          </cell>
          <cell r="S38">
            <v>1.11E-5</v>
          </cell>
          <cell r="T38">
            <v>3.0269999999999999E-4</v>
          </cell>
          <cell r="U38">
            <v>2.4389999999999999E-4</v>
          </cell>
          <cell r="V38">
            <v>1.8E-5</v>
          </cell>
          <cell r="W38">
            <v>2.6099999999999997E-5</v>
          </cell>
          <cell r="X38">
            <v>7.9080000000000003E-4</v>
          </cell>
          <cell r="Y38">
            <v>0</v>
          </cell>
          <cell r="Z38">
            <v>0</v>
          </cell>
          <cell r="AA38">
            <v>0</v>
          </cell>
        </row>
        <row r="39">
          <cell r="F39">
            <v>0</v>
          </cell>
          <cell r="G39">
            <v>4.3889999999999999E-4</v>
          </cell>
          <cell r="H39">
            <v>4.0899999999999998E-5</v>
          </cell>
          <cell r="I39">
            <v>1.0289999999999999E-4</v>
          </cell>
          <cell r="J39">
            <v>1.3202999999999999E-3</v>
          </cell>
          <cell r="K39">
            <v>3.5299999999999997E-5</v>
          </cell>
          <cell r="L39">
            <v>1.495E-4</v>
          </cell>
          <cell r="M39">
            <v>8.6199999999999995E-5</v>
          </cell>
          <cell r="N39">
            <v>3.2299999999999999E-5</v>
          </cell>
          <cell r="O39">
            <v>3.6189999999999996E-4</v>
          </cell>
          <cell r="P39">
            <v>1.59E-5</v>
          </cell>
          <cell r="Q39">
            <v>1.3202999999999999E-3</v>
          </cell>
          <cell r="R39">
            <v>2.2780000000000001E-4</v>
          </cell>
          <cell r="S39">
            <v>1.11E-5</v>
          </cell>
          <cell r="T39">
            <v>3.0269999999999999E-4</v>
          </cell>
          <cell r="U39">
            <v>2.4389999999999999E-4</v>
          </cell>
          <cell r="V39">
            <v>1.8E-5</v>
          </cell>
          <cell r="W39">
            <v>2.6099999999999997E-5</v>
          </cell>
          <cell r="X39">
            <v>7.9080000000000003E-4</v>
          </cell>
          <cell r="Y39">
            <v>0</v>
          </cell>
          <cell r="Z39">
            <v>0</v>
          </cell>
          <cell r="AA39">
            <v>0</v>
          </cell>
        </row>
        <row r="40">
          <cell r="F40">
            <v>0</v>
          </cell>
          <cell r="G40">
            <v>4.3889999999999999E-4</v>
          </cell>
          <cell r="H40">
            <v>4.0899999999999998E-5</v>
          </cell>
          <cell r="I40">
            <v>1.0289999999999999E-4</v>
          </cell>
          <cell r="J40">
            <v>1.3202999999999999E-3</v>
          </cell>
          <cell r="K40">
            <v>3.5299999999999997E-5</v>
          </cell>
          <cell r="L40">
            <v>1.495E-4</v>
          </cell>
          <cell r="M40">
            <v>8.6199999999999995E-5</v>
          </cell>
          <cell r="N40">
            <v>3.2299999999999999E-5</v>
          </cell>
          <cell r="O40">
            <v>3.6189999999999996E-4</v>
          </cell>
          <cell r="P40">
            <v>1.59E-5</v>
          </cell>
          <cell r="Q40">
            <v>1.3202999999999999E-3</v>
          </cell>
          <cell r="R40">
            <v>2.2780000000000001E-4</v>
          </cell>
          <cell r="S40">
            <v>1.11E-5</v>
          </cell>
          <cell r="T40">
            <v>3.0269999999999999E-4</v>
          </cell>
          <cell r="U40">
            <v>2.4389999999999999E-4</v>
          </cell>
          <cell r="V40">
            <v>1.8E-5</v>
          </cell>
          <cell r="W40">
            <v>2.6099999999999997E-5</v>
          </cell>
          <cell r="X40">
            <v>7.9080000000000003E-4</v>
          </cell>
          <cell r="Y40">
            <v>0</v>
          </cell>
          <cell r="Z40">
            <v>0</v>
          </cell>
          <cell r="AA40">
            <v>0</v>
          </cell>
        </row>
        <row r="41">
          <cell r="F41">
            <v>0</v>
          </cell>
          <cell r="G41">
            <v>4.3889999999999999E-4</v>
          </cell>
          <cell r="H41">
            <v>4.0899999999999998E-5</v>
          </cell>
          <cell r="I41">
            <v>1.0289999999999999E-4</v>
          </cell>
          <cell r="J41">
            <v>1.3202999999999999E-3</v>
          </cell>
          <cell r="K41">
            <v>3.5299999999999997E-5</v>
          </cell>
          <cell r="L41">
            <v>1.495E-4</v>
          </cell>
          <cell r="M41">
            <v>8.6199999999999995E-5</v>
          </cell>
          <cell r="N41">
            <v>3.2299999999999999E-5</v>
          </cell>
          <cell r="O41">
            <v>3.6189999999999996E-4</v>
          </cell>
          <cell r="P41">
            <v>1.59E-5</v>
          </cell>
          <cell r="Q41">
            <v>1.3202999999999999E-3</v>
          </cell>
          <cell r="R41">
            <v>2.2780000000000001E-4</v>
          </cell>
          <cell r="S41">
            <v>1.11E-5</v>
          </cell>
          <cell r="T41">
            <v>3.0269999999999999E-4</v>
          </cell>
          <cell r="U41">
            <v>2.4389999999999999E-4</v>
          </cell>
          <cell r="V41">
            <v>1.8E-5</v>
          </cell>
          <cell r="W41">
            <v>2.6099999999999997E-5</v>
          </cell>
          <cell r="X41">
            <v>7.9080000000000003E-4</v>
          </cell>
          <cell r="Y41">
            <v>0</v>
          </cell>
          <cell r="Z41">
            <v>0</v>
          </cell>
          <cell r="AA41">
            <v>0</v>
          </cell>
        </row>
        <row r="42">
          <cell r="F42">
            <v>0</v>
          </cell>
          <cell r="G42">
            <v>4.3889999999999999E-4</v>
          </cell>
          <cell r="H42">
            <v>4.0899999999999998E-5</v>
          </cell>
          <cell r="I42">
            <v>1.0289999999999999E-4</v>
          </cell>
          <cell r="J42">
            <v>1.3202999999999999E-3</v>
          </cell>
          <cell r="K42">
            <v>3.5299999999999997E-5</v>
          </cell>
          <cell r="L42">
            <v>1.495E-4</v>
          </cell>
          <cell r="M42">
            <v>8.6199999999999995E-5</v>
          </cell>
          <cell r="N42">
            <v>3.2299999999999999E-5</v>
          </cell>
          <cell r="O42">
            <v>3.6189999999999996E-4</v>
          </cell>
          <cell r="P42">
            <v>1.59E-5</v>
          </cell>
          <cell r="Q42">
            <v>1.3202999999999999E-3</v>
          </cell>
          <cell r="R42">
            <v>2.2780000000000001E-4</v>
          </cell>
          <cell r="S42">
            <v>1.11E-5</v>
          </cell>
          <cell r="T42">
            <v>3.0269999999999999E-4</v>
          </cell>
          <cell r="U42">
            <v>2.4389999999999999E-4</v>
          </cell>
          <cell r="V42">
            <v>1.8E-5</v>
          </cell>
          <cell r="W42">
            <v>2.6099999999999997E-5</v>
          </cell>
          <cell r="X42">
            <v>7.9080000000000003E-4</v>
          </cell>
          <cell r="Y42">
            <v>0</v>
          </cell>
          <cell r="Z42">
            <v>0</v>
          </cell>
          <cell r="AA42">
            <v>0</v>
          </cell>
        </row>
        <row r="43">
          <cell r="F43">
            <v>0</v>
          </cell>
          <cell r="G43">
            <v>5.5029999999999999E-4</v>
          </cell>
          <cell r="H43">
            <v>6.0300000000000002E-5</v>
          </cell>
          <cell r="I43">
            <v>1.156E-4</v>
          </cell>
          <cell r="J43">
            <v>1.3372E-3</v>
          </cell>
          <cell r="K43">
            <v>4.4500000000000004E-5</v>
          </cell>
          <cell r="L43">
            <v>1.5800000000000002E-4</v>
          </cell>
          <cell r="M43">
            <v>1.1349999999999999E-4</v>
          </cell>
          <cell r="N43">
            <v>2.87E-5</v>
          </cell>
          <cell r="O43">
            <v>3.5630000000000004E-4</v>
          </cell>
          <cell r="P43">
            <v>1.8700000000000001E-5</v>
          </cell>
          <cell r="Q43">
            <v>1.3372E-3</v>
          </cell>
          <cell r="R43">
            <v>2.7550000000000003E-4</v>
          </cell>
          <cell r="S43">
            <v>1.1200000000000001E-5</v>
          </cell>
          <cell r="T43">
            <v>2.5769999999999998E-4</v>
          </cell>
          <cell r="U43">
            <v>3.3200000000000005E-4</v>
          </cell>
          <cell r="V43">
            <v>1.4800000000000001E-5</v>
          </cell>
          <cell r="W43">
            <v>3.7799999999999997E-5</v>
          </cell>
          <cell r="X43">
            <v>8.6690000000000009E-4</v>
          </cell>
          <cell r="Y43">
            <v>0</v>
          </cell>
          <cell r="Z43">
            <v>0</v>
          </cell>
          <cell r="AA43">
            <v>0</v>
          </cell>
        </row>
        <row r="44">
          <cell r="F44">
            <v>0</v>
          </cell>
          <cell r="G44">
            <v>5.5029999999999999E-4</v>
          </cell>
          <cell r="H44">
            <v>6.0300000000000002E-5</v>
          </cell>
          <cell r="I44">
            <v>1.156E-4</v>
          </cell>
          <cell r="J44">
            <v>1.3372E-3</v>
          </cell>
          <cell r="K44">
            <v>4.4500000000000004E-5</v>
          </cell>
          <cell r="L44">
            <v>1.5800000000000002E-4</v>
          </cell>
          <cell r="M44">
            <v>1.1349999999999999E-4</v>
          </cell>
          <cell r="N44">
            <v>2.87E-5</v>
          </cell>
          <cell r="O44">
            <v>3.5630000000000004E-4</v>
          </cell>
          <cell r="P44">
            <v>1.8700000000000001E-5</v>
          </cell>
          <cell r="Q44">
            <v>1.3372E-3</v>
          </cell>
          <cell r="R44">
            <v>2.7550000000000003E-4</v>
          </cell>
          <cell r="S44">
            <v>1.1200000000000001E-5</v>
          </cell>
          <cell r="T44">
            <v>2.5769999999999998E-4</v>
          </cell>
          <cell r="U44">
            <v>3.3200000000000005E-4</v>
          </cell>
          <cell r="V44">
            <v>1.4800000000000001E-5</v>
          </cell>
          <cell r="W44">
            <v>3.7799999999999997E-5</v>
          </cell>
          <cell r="X44">
            <v>8.6690000000000009E-4</v>
          </cell>
          <cell r="Y44">
            <v>0</v>
          </cell>
          <cell r="Z44">
            <v>0</v>
          </cell>
          <cell r="AA44">
            <v>0</v>
          </cell>
        </row>
        <row r="45">
          <cell r="F45">
            <v>0</v>
          </cell>
          <cell r="G45">
            <v>5.5029999999999999E-4</v>
          </cell>
          <cell r="H45">
            <v>6.0300000000000002E-5</v>
          </cell>
          <cell r="I45">
            <v>1.156E-4</v>
          </cell>
          <cell r="J45">
            <v>1.3372E-3</v>
          </cell>
          <cell r="K45">
            <v>4.4500000000000004E-5</v>
          </cell>
          <cell r="L45">
            <v>1.5800000000000002E-4</v>
          </cell>
          <cell r="M45">
            <v>1.1349999999999999E-4</v>
          </cell>
          <cell r="N45">
            <v>2.87E-5</v>
          </cell>
          <cell r="O45">
            <v>3.5630000000000004E-4</v>
          </cell>
          <cell r="P45">
            <v>1.8700000000000001E-5</v>
          </cell>
          <cell r="Q45">
            <v>1.3372E-3</v>
          </cell>
          <cell r="R45">
            <v>2.7550000000000003E-4</v>
          </cell>
          <cell r="S45">
            <v>1.1200000000000001E-5</v>
          </cell>
          <cell r="T45">
            <v>2.5769999999999998E-4</v>
          </cell>
          <cell r="U45">
            <v>3.3200000000000005E-4</v>
          </cell>
          <cell r="V45">
            <v>1.4800000000000001E-5</v>
          </cell>
          <cell r="W45">
            <v>3.7799999999999997E-5</v>
          </cell>
          <cell r="X45">
            <v>8.6690000000000009E-4</v>
          </cell>
          <cell r="Y45">
            <v>0</v>
          </cell>
          <cell r="Z45">
            <v>0</v>
          </cell>
          <cell r="AA45">
            <v>0</v>
          </cell>
        </row>
        <row r="46">
          <cell r="F46">
            <v>0</v>
          </cell>
          <cell r="G46">
            <v>5.5029999999999999E-4</v>
          </cell>
          <cell r="H46">
            <v>6.0300000000000002E-5</v>
          </cell>
          <cell r="I46">
            <v>1.156E-4</v>
          </cell>
          <cell r="J46">
            <v>1.3372E-3</v>
          </cell>
          <cell r="K46">
            <v>4.4500000000000004E-5</v>
          </cell>
          <cell r="L46">
            <v>1.5800000000000002E-4</v>
          </cell>
          <cell r="M46">
            <v>1.1349999999999999E-4</v>
          </cell>
          <cell r="N46">
            <v>2.87E-5</v>
          </cell>
          <cell r="O46">
            <v>3.5630000000000004E-4</v>
          </cell>
          <cell r="P46">
            <v>1.8700000000000001E-5</v>
          </cell>
          <cell r="Q46">
            <v>1.3372E-3</v>
          </cell>
          <cell r="R46">
            <v>2.7550000000000003E-4</v>
          </cell>
          <cell r="S46">
            <v>1.1200000000000001E-5</v>
          </cell>
          <cell r="T46">
            <v>2.5769999999999998E-4</v>
          </cell>
          <cell r="U46">
            <v>3.3200000000000005E-4</v>
          </cell>
          <cell r="V46">
            <v>1.4800000000000001E-5</v>
          </cell>
          <cell r="W46">
            <v>3.7799999999999997E-5</v>
          </cell>
          <cell r="X46">
            <v>8.6690000000000009E-4</v>
          </cell>
          <cell r="Y46">
            <v>0</v>
          </cell>
          <cell r="Z46">
            <v>0</v>
          </cell>
          <cell r="AA46">
            <v>0</v>
          </cell>
        </row>
        <row r="47">
          <cell r="F47">
            <v>0</v>
          </cell>
          <cell r="G47">
            <v>5.5029999999999999E-4</v>
          </cell>
          <cell r="H47">
            <v>6.0300000000000002E-5</v>
          </cell>
          <cell r="I47">
            <v>1.156E-4</v>
          </cell>
          <cell r="J47">
            <v>1.3372E-3</v>
          </cell>
          <cell r="K47">
            <v>4.4500000000000004E-5</v>
          </cell>
          <cell r="L47">
            <v>1.5800000000000002E-4</v>
          </cell>
          <cell r="M47">
            <v>1.1349999999999999E-4</v>
          </cell>
          <cell r="N47">
            <v>2.87E-5</v>
          </cell>
          <cell r="O47">
            <v>3.5630000000000004E-4</v>
          </cell>
          <cell r="P47">
            <v>1.8700000000000001E-5</v>
          </cell>
          <cell r="Q47">
            <v>1.3372E-3</v>
          </cell>
          <cell r="R47">
            <v>2.7550000000000003E-4</v>
          </cell>
          <cell r="S47">
            <v>1.1200000000000001E-5</v>
          </cell>
          <cell r="T47">
            <v>2.5769999999999998E-4</v>
          </cell>
          <cell r="U47">
            <v>3.3200000000000005E-4</v>
          </cell>
          <cell r="V47">
            <v>1.4800000000000001E-5</v>
          </cell>
          <cell r="W47">
            <v>3.7799999999999997E-5</v>
          </cell>
          <cell r="X47">
            <v>8.6690000000000009E-4</v>
          </cell>
          <cell r="Y47">
            <v>0</v>
          </cell>
          <cell r="Z47">
            <v>0</v>
          </cell>
          <cell r="AA47">
            <v>0</v>
          </cell>
        </row>
        <row r="48">
          <cell r="F48">
            <v>0</v>
          </cell>
          <cell r="G48">
            <v>6.1780000000000005E-4</v>
          </cell>
          <cell r="H48">
            <v>8.2399999999999997E-5</v>
          </cell>
          <cell r="I48">
            <v>1.0670000000000001E-4</v>
          </cell>
          <cell r="J48">
            <v>1.2102E-3</v>
          </cell>
          <cell r="K48">
            <v>4.7500000000000003E-5</v>
          </cell>
          <cell r="L48">
            <v>1.584E-4</v>
          </cell>
          <cell r="M48">
            <v>1.3689999999999999E-4</v>
          </cell>
          <cell r="N48">
            <v>2.8500000000000002E-5</v>
          </cell>
          <cell r="O48">
            <v>2.8049999999999999E-4</v>
          </cell>
          <cell r="P48">
            <v>1.6200000000000001E-5</v>
          </cell>
          <cell r="Q48">
            <v>1.2102E-3</v>
          </cell>
          <cell r="R48">
            <v>3.168E-4</v>
          </cell>
          <cell r="S48">
            <v>1.1299999999999999E-5</v>
          </cell>
          <cell r="T48">
            <v>2.207E-4</v>
          </cell>
          <cell r="U48">
            <v>4.0860000000000001E-4</v>
          </cell>
          <cell r="V48">
            <v>1.3899999999999999E-5</v>
          </cell>
          <cell r="W48">
            <v>4.88E-5</v>
          </cell>
          <cell r="X48">
            <v>8.897000000000001E-4</v>
          </cell>
          <cell r="Y48">
            <v>0</v>
          </cell>
          <cell r="Z48">
            <v>0</v>
          </cell>
          <cell r="AA48">
            <v>0</v>
          </cell>
        </row>
        <row r="49">
          <cell r="F49">
            <v>0</v>
          </cell>
          <cell r="G49">
            <v>6.1780000000000005E-4</v>
          </cell>
          <cell r="H49">
            <v>8.2399999999999997E-5</v>
          </cell>
          <cell r="I49">
            <v>1.0670000000000001E-4</v>
          </cell>
          <cell r="J49">
            <v>1.2102E-3</v>
          </cell>
          <cell r="K49">
            <v>4.7500000000000003E-5</v>
          </cell>
          <cell r="L49">
            <v>1.584E-4</v>
          </cell>
          <cell r="M49">
            <v>1.3689999999999999E-4</v>
          </cell>
          <cell r="N49">
            <v>2.8500000000000002E-5</v>
          </cell>
          <cell r="O49">
            <v>2.8049999999999999E-4</v>
          </cell>
          <cell r="P49">
            <v>1.6200000000000001E-5</v>
          </cell>
          <cell r="Q49">
            <v>1.2102E-3</v>
          </cell>
          <cell r="R49">
            <v>3.168E-4</v>
          </cell>
          <cell r="S49">
            <v>1.1299999999999999E-5</v>
          </cell>
          <cell r="T49">
            <v>2.207E-4</v>
          </cell>
          <cell r="U49">
            <v>4.0860000000000001E-4</v>
          </cell>
          <cell r="V49">
            <v>1.3899999999999999E-5</v>
          </cell>
          <cell r="W49">
            <v>4.88E-5</v>
          </cell>
          <cell r="X49">
            <v>8.897000000000001E-4</v>
          </cell>
          <cell r="Y49">
            <v>0</v>
          </cell>
          <cell r="Z49">
            <v>0</v>
          </cell>
          <cell r="AA49">
            <v>0</v>
          </cell>
        </row>
        <row r="50">
          <cell r="F50">
            <v>0</v>
          </cell>
          <cell r="G50">
            <v>6.1780000000000005E-4</v>
          </cell>
          <cell r="H50">
            <v>8.2399999999999997E-5</v>
          </cell>
          <cell r="I50">
            <v>1.0670000000000001E-4</v>
          </cell>
          <cell r="J50">
            <v>1.2102E-3</v>
          </cell>
          <cell r="K50">
            <v>4.7500000000000003E-5</v>
          </cell>
          <cell r="L50">
            <v>1.584E-4</v>
          </cell>
          <cell r="M50">
            <v>1.3689999999999999E-4</v>
          </cell>
          <cell r="N50">
            <v>2.8500000000000002E-5</v>
          </cell>
          <cell r="O50">
            <v>2.8049999999999999E-4</v>
          </cell>
          <cell r="P50">
            <v>1.6200000000000001E-5</v>
          </cell>
          <cell r="Q50">
            <v>1.2102E-3</v>
          </cell>
          <cell r="R50">
            <v>3.168E-4</v>
          </cell>
          <cell r="S50">
            <v>1.1299999999999999E-5</v>
          </cell>
          <cell r="T50">
            <v>2.207E-4</v>
          </cell>
          <cell r="U50">
            <v>4.0860000000000001E-4</v>
          </cell>
          <cell r="V50">
            <v>1.3899999999999999E-5</v>
          </cell>
          <cell r="W50">
            <v>4.88E-5</v>
          </cell>
          <cell r="X50">
            <v>8.897000000000001E-4</v>
          </cell>
          <cell r="Y50">
            <v>0</v>
          </cell>
          <cell r="Z50">
            <v>0</v>
          </cell>
          <cell r="AA50">
            <v>0</v>
          </cell>
        </row>
        <row r="51">
          <cell r="F51">
            <v>0</v>
          </cell>
          <cell r="G51">
            <v>6.1780000000000005E-4</v>
          </cell>
          <cell r="H51">
            <v>8.2399999999999997E-5</v>
          </cell>
          <cell r="I51">
            <v>1.0670000000000001E-4</v>
          </cell>
          <cell r="J51">
            <v>1.2102E-3</v>
          </cell>
          <cell r="K51">
            <v>4.7500000000000003E-5</v>
          </cell>
          <cell r="L51">
            <v>1.584E-4</v>
          </cell>
          <cell r="M51">
            <v>1.3689999999999999E-4</v>
          </cell>
          <cell r="N51">
            <v>2.8500000000000002E-5</v>
          </cell>
          <cell r="O51">
            <v>2.8049999999999999E-4</v>
          </cell>
          <cell r="P51">
            <v>1.6200000000000001E-5</v>
          </cell>
          <cell r="Q51">
            <v>1.2102E-3</v>
          </cell>
          <cell r="R51">
            <v>3.168E-4</v>
          </cell>
          <cell r="S51">
            <v>1.1299999999999999E-5</v>
          </cell>
          <cell r="T51">
            <v>2.207E-4</v>
          </cell>
          <cell r="U51">
            <v>4.0860000000000001E-4</v>
          </cell>
          <cell r="V51">
            <v>1.3899999999999999E-5</v>
          </cell>
          <cell r="W51">
            <v>4.88E-5</v>
          </cell>
          <cell r="X51">
            <v>8.897000000000001E-4</v>
          </cell>
          <cell r="Y51">
            <v>0</v>
          </cell>
          <cell r="Z51">
            <v>0</v>
          </cell>
          <cell r="AA51">
            <v>0</v>
          </cell>
        </row>
        <row r="52">
          <cell r="F52">
            <v>0</v>
          </cell>
          <cell r="G52">
            <v>6.1780000000000005E-4</v>
          </cell>
          <cell r="H52">
            <v>8.2399999999999997E-5</v>
          </cell>
          <cell r="I52">
            <v>1.0670000000000001E-4</v>
          </cell>
          <cell r="J52">
            <v>1.2102E-3</v>
          </cell>
          <cell r="K52">
            <v>4.7500000000000003E-5</v>
          </cell>
          <cell r="L52">
            <v>1.584E-4</v>
          </cell>
          <cell r="M52">
            <v>1.3689999999999999E-4</v>
          </cell>
          <cell r="N52">
            <v>2.8500000000000002E-5</v>
          </cell>
          <cell r="O52">
            <v>2.8049999999999999E-4</v>
          </cell>
          <cell r="P52">
            <v>1.6200000000000001E-5</v>
          </cell>
          <cell r="Q52">
            <v>1.2102E-3</v>
          </cell>
          <cell r="R52">
            <v>3.168E-4</v>
          </cell>
          <cell r="S52">
            <v>1.1299999999999999E-5</v>
          </cell>
          <cell r="T52">
            <v>2.207E-4</v>
          </cell>
          <cell r="U52">
            <v>4.0860000000000001E-4</v>
          </cell>
          <cell r="V52">
            <v>1.3899999999999999E-5</v>
          </cell>
          <cell r="W52">
            <v>4.88E-5</v>
          </cell>
          <cell r="X52">
            <v>8.897000000000001E-4</v>
          </cell>
          <cell r="Y52">
            <v>0</v>
          </cell>
          <cell r="Z52">
            <v>0</v>
          </cell>
          <cell r="AA52">
            <v>0</v>
          </cell>
        </row>
        <row r="53">
          <cell r="F53">
            <v>0</v>
          </cell>
          <cell r="G53">
            <v>1.1200000000000001E-5</v>
          </cell>
          <cell r="H53">
            <v>1.0509999999999999E-4</v>
          </cell>
          <cell r="I53">
            <v>7.3800000000000005E-5</v>
          </cell>
          <cell r="J53">
            <v>8.3900000000000001E-4</v>
          </cell>
          <cell r="K53">
            <v>4.5599999999999997E-5</v>
          </cell>
          <cell r="L53">
            <v>1.305E-4</v>
          </cell>
          <cell r="M53">
            <v>1.46E-4</v>
          </cell>
          <cell r="N53">
            <v>2.4100000000000003E-5</v>
          </cell>
          <cell r="O53">
            <v>1.7789999999999999E-4</v>
          </cell>
          <cell r="P53">
            <v>1.04E-5</v>
          </cell>
          <cell r="Q53">
            <v>8.3900000000000001E-4</v>
          </cell>
          <cell r="R53">
            <v>2.8690000000000003E-4</v>
          </cell>
          <cell r="S53">
            <v>9.7999999999999993E-6</v>
          </cell>
          <cell r="T53">
            <v>1.516E-4</v>
          </cell>
          <cell r="U53">
            <v>4.4100000000000004E-4</v>
          </cell>
          <cell r="V53">
            <v>1.1200000000000001E-5</v>
          </cell>
          <cell r="W53">
            <v>4.6199999999999998E-5</v>
          </cell>
          <cell r="X53">
            <v>7.7419999999999984E-4</v>
          </cell>
          <cell r="Y53">
            <v>0</v>
          </cell>
          <cell r="Z53">
            <v>0</v>
          </cell>
          <cell r="AA53">
            <v>0</v>
          </cell>
        </row>
        <row r="54">
          <cell r="F54">
            <v>0</v>
          </cell>
          <cell r="G54">
            <v>1.1200000000000001E-5</v>
          </cell>
          <cell r="H54">
            <v>1.0509999999999999E-4</v>
          </cell>
          <cell r="I54">
            <v>7.3800000000000005E-5</v>
          </cell>
          <cell r="J54">
            <v>8.3900000000000001E-4</v>
          </cell>
          <cell r="K54">
            <v>4.5599999999999997E-5</v>
          </cell>
          <cell r="L54">
            <v>1.305E-4</v>
          </cell>
          <cell r="M54">
            <v>1.46E-4</v>
          </cell>
          <cell r="N54">
            <v>2.4100000000000003E-5</v>
          </cell>
          <cell r="O54">
            <v>1.7789999999999999E-4</v>
          </cell>
          <cell r="P54">
            <v>1.04E-5</v>
          </cell>
          <cell r="Q54">
            <v>8.3900000000000001E-4</v>
          </cell>
          <cell r="R54">
            <v>2.8690000000000003E-4</v>
          </cell>
          <cell r="S54">
            <v>9.7999999999999993E-6</v>
          </cell>
          <cell r="T54">
            <v>1.516E-4</v>
          </cell>
          <cell r="U54">
            <v>4.4100000000000004E-4</v>
          </cell>
          <cell r="V54">
            <v>1.1200000000000001E-5</v>
          </cell>
          <cell r="W54">
            <v>4.6199999999999998E-5</v>
          </cell>
          <cell r="X54">
            <v>7.7419999999999984E-4</v>
          </cell>
          <cell r="Y54">
            <v>0</v>
          </cell>
          <cell r="Z54">
            <v>0</v>
          </cell>
          <cell r="AA54">
            <v>0</v>
          </cell>
        </row>
        <row r="55">
          <cell r="F55">
            <v>0</v>
          </cell>
          <cell r="G55">
            <v>1.1200000000000001E-5</v>
          </cell>
          <cell r="H55">
            <v>1.0509999999999999E-4</v>
          </cell>
          <cell r="I55">
            <v>7.3800000000000005E-5</v>
          </cell>
          <cell r="J55">
            <v>8.3900000000000001E-4</v>
          </cell>
          <cell r="K55">
            <v>4.5599999999999997E-5</v>
          </cell>
          <cell r="L55">
            <v>1.305E-4</v>
          </cell>
          <cell r="M55">
            <v>1.46E-4</v>
          </cell>
          <cell r="N55">
            <v>2.4100000000000003E-5</v>
          </cell>
          <cell r="O55">
            <v>1.7789999999999999E-4</v>
          </cell>
          <cell r="P55">
            <v>1.04E-5</v>
          </cell>
          <cell r="Q55">
            <v>8.3900000000000001E-4</v>
          </cell>
          <cell r="R55">
            <v>2.8690000000000003E-4</v>
          </cell>
          <cell r="S55">
            <v>9.7999999999999993E-6</v>
          </cell>
          <cell r="T55">
            <v>1.516E-4</v>
          </cell>
          <cell r="U55">
            <v>4.4100000000000004E-4</v>
          </cell>
          <cell r="V55">
            <v>1.1200000000000001E-5</v>
          </cell>
          <cell r="W55">
            <v>4.6199999999999998E-5</v>
          </cell>
          <cell r="X55">
            <v>7.7419999999999984E-4</v>
          </cell>
          <cell r="Y55">
            <v>0</v>
          </cell>
          <cell r="Z55">
            <v>0</v>
          </cell>
          <cell r="AA55">
            <v>0</v>
          </cell>
        </row>
        <row r="56">
          <cell r="F56">
            <v>0</v>
          </cell>
          <cell r="G56">
            <v>1.1200000000000001E-5</v>
          </cell>
          <cell r="H56">
            <v>1.0509999999999999E-4</v>
          </cell>
          <cell r="I56">
            <v>7.3800000000000005E-5</v>
          </cell>
          <cell r="J56">
            <v>8.3900000000000001E-4</v>
          </cell>
          <cell r="K56">
            <v>4.5599999999999997E-5</v>
          </cell>
          <cell r="L56">
            <v>1.305E-4</v>
          </cell>
          <cell r="M56">
            <v>1.46E-4</v>
          </cell>
          <cell r="N56">
            <v>2.4100000000000003E-5</v>
          </cell>
          <cell r="O56">
            <v>1.7789999999999999E-4</v>
          </cell>
          <cell r="P56">
            <v>1.04E-5</v>
          </cell>
          <cell r="Q56">
            <v>8.3900000000000001E-4</v>
          </cell>
          <cell r="R56">
            <v>2.8690000000000003E-4</v>
          </cell>
          <cell r="S56">
            <v>9.7999999999999993E-6</v>
          </cell>
          <cell r="T56">
            <v>1.516E-4</v>
          </cell>
          <cell r="U56">
            <v>4.4100000000000004E-4</v>
          </cell>
          <cell r="V56">
            <v>1.1200000000000001E-5</v>
          </cell>
          <cell r="W56">
            <v>4.6199999999999998E-5</v>
          </cell>
          <cell r="X56">
            <v>7.7419999999999984E-4</v>
          </cell>
          <cell r="Y56">
            <v>0</v>
          </cell>
          <cell r="Z56">
            <v>0</v>
          </cell>
          <cell r="AA56">
            <v>0</v>
          </cell>
        </row>
        <row r="57">
          <cell r="F57">
            <v>0</v>
          </cell>
          <cell r="G57">
            <v>1.1200000000000001E-5</v>
          </cell>
          <cell r="H57">
            <v>1.0509999999999999E-4</v>
          </cell>
          <cell r="I57">
            <v>7.3800000000000005E-5</v>
          </cell>
          <cell r="J57">
            <v>8.3900000000000001E-4</v>
          </cell>
          <cell r="K57">
            <v>4.5599999999999997E-5</v>
          </cell>
          <cell r="L57">
            <v>1.305E-4</v>
          </cell>
          <cell r="M57">
            <v>1.46E-4</v>
          </cell>
          <cell r="N57">
            <v>2.4100000000000003E-5</v>
          </cell>
          <cell r="O57">
            <v>1.7789999999999999E-4</v>
          </cell>
          <cell r="P57">
            <v>1.04E-5</v>
          </cell>
          <cell r="Q57">
            <v>8.3900000000000001E-4</v>
          </cell>
          <cell r="R57">
            <v>2.8690000000000003E-4</v>
          </cell>
          <cell r="S57">
            <v>9.7999999999999993E-6</v>
          </cell>
          <cell r="T57">
            <v>1.516E-4</v>
          </cell>
          <cell r="U57">
            <v>4.4100000000000004E-4</v>
          </cell>
          <cell r="V57">
            <v>1.1200000000000001E-5</v>
          </cell>
          <cell r="W57">
            <v>4.6199999999999998E-5</v>
          </cell>
          <cell r="X57">
            <v>7.7419999999999984E-4</v>
          </cell>
          <cell r="Y57">
            <v>0</v>
          </cell>
          <cell r="Z57">
            <v>0</v>
          </cell>
          <cell r="AA57">
            <v>0</v>
          </cell>
        </row>
        <row r="58">
          <cell r="F58">
            <v>0</v>
          </cell>
          <cell r="G58">
            <v>1.1200000000000001E-5</v>
          </cell>
          <cell r="H58">
            <v>1.0509999999999999E-4</v>
          </cell>
          <cell r="I58">
            <v>7.3800000000000005E-5</v>
          </cell>
          <cell r="J58">
            <v>8.3900000000000001E-4</v>
          </cell>
          <cell r="K58">
            <v>4.5599999999999997E-5</v>
          </cell>
          <cell r="L58">
            <v>1.305E-4</v>
          </cell>
          <cell r="M58">
            <v>1.46E-4</v>
          </cell>
          <cell r="N58">
            <v>2.4100000000000003E-5</v>
          </cell>
          <cell r="O58">
            <v>1.7789999999999999E-4</v>
          </cell>
          <cell r="P58">
            <v>1.04E-5</v>
          </cell>
          <cell r="Q58">
            <v>8.3900000000000001E-4</v>
          </cell>
          <cell r="R58">
            <v>2.8690000000000003E-4</v>
          </cell>
          <cell r="S58">
            <v>9.7999999999999993E-6</v>
          </cell>
          <cell r="T58">
            <v>1.516E-4</v>
          </cell>
          <cell r="U58">
            <v>4.4100000000000004E-4</v>
          </cell>
          <cell r="V58">
            <v>1.1200000000000001E-5</v>
          </cell>
          <cell r="W58">
            <v>4.6199999999999998E-5</v>
          </cell>
          <cell r="X58">
            <v>7.7419999999999984E-4</v>
          </cell>
          <cell r="Y58">
            <v>0</v>
          </cell>
          <cell r="Z58">
            <v>0</v>
          </cell>
          <cell r="AA58">
            <v>0</v>
          </cell>
        </row>
        <row r="59">
          <cell r="F59">
            <v>0</v>
          </cell>
          <cell r="G59">
            <v>1.1200000000000001E-5</v>
          </cell>
          <cell r="H59">
            <v>1.0509999999999999E-4</v>
          </cell>
          <cell r="I59">
            <v>7.3800000000000005E-5</v>
          </cell>
          <cell r="J59">
            <v>8.3900000000000001E-4</v>
          </cell>
          <cell r="K59">
            <v>4.5599999999999997E-5</v>
          </cell>
          <cell r="L59">
            <v>1.305E-4</v>
          </cell>
          <cell r="M59">
            <v>1.46E-4</v>
          </cell>
          <cell r="N59">
            <v>2.4100000000000003E-5</v>
          </cell>
          <cell r="O59">
            <v>1.7789999999999999E-4</v>
          </cell>
          <cell r="P59">
            <v>1.04E-5</v>
          </cell>
          <cell r="Q59">
            <v>8.3900000000000001E-4</v>
          </cell>
          <cell r="R59">
            <v>2.8690000000000003E-4</v>
          </cell>
          <cell r="S59">
            <v>9.7999999999999993E-6</v>
          </cell>
          <cell r="T59">
            <v>1.516E-4</v>
          </cell>
          <cell r="U59">
            <v>4.4100000000000004E-4</v>
          </cell>
          <cell r="V59">
            <v>1.1200000000000001E-5</v>
          </cell>
          <cell r="W59">
            <v>4.6199999999999998E-5</v>
          </cell>
          <cell r="X59">
            <v>7.7419999999999984E-4</v>
          </cell>
          <cell r="Y59">
            <v>0</v>
          </cell>
          <cell r="Z59">
            <v>0</v>
          </cell>
          <cell r="AA59">
            <v>0</v>
          </cell>
        </row>
        <row r="60">
          <cell r="F60">
            <v>0</v>
          </cell>
          <cell r="G60">
            <v>1.1200000000000001E-5</v>
          </cell>
          <cell r="H60">
            <v>1.0509999999999999E-4</v>
          </cell>
          <cell r="I60">
            <v>7.3800000000000005E-5</v>
          </cell>
          <cell r="J60">
            <v>8.3900000000000001E-4</v>
          </cell>
          <cell r="K60">
            <v>4.5599999999999997E-5</v>
          </cell>
          <cell r="L60">
            <v>1.305E-4</v>
          </cell>
          <cell r="M60">
            <v>1.46E-4</v>
          </cell>
          <cell r="N60">
            <v>2.4100000000000003E-5</v>
          </cell>
          <cell r="O60">
            <v>1.7789999999999999E-4</v>
          </cell>
          <cell r="P60">
            <v>1.04E-5</v>
          </cell>
          <cell r="Q60">
            <v>8.3900000000000001E-4</v>
          </cell>
          <cell r="R60">
            <v>2.8690000000000003E-4</v>
          </cell>
          <cell r="S60">
            <v>9.7999999999999993E-6</v>
          </cell>
          <cell r="T60">
            <v>1.516E-4</v>
          </cell>
          <cell r="U60">
            <v>4.4100000000000004E-4</v>
          </cell>
          <cell r="V60">
            <v>1.1200000000000001E-5</v>
          </cell>
          <cell r="W60">
            <v>4.6199999999999998E-5</v>
          </cell>
          <cell r="X60">
            <v>7.7419999999999984E-4</v>
          </cell>
          <cell r="Y60">
            <v>0</v>
          </cell>
          <cell r="Z60">
            <v>0</v>
          </cell>
          <cell r="AA60">
            <v>0</v>
          </cell>
        </row>
        <row r="61">
          <cell r="F61">
            <v>0</v>
          </cell>
          <cell r="G61">
            <v>1.1200000000000001E-5</v>
          </cell>
          <cell r="H61">
            <v>1.0509999999999999E-4</v>
          </cell>
          <cell r="I61">
            <v>7.3800000000000005E-5</v>
          </cell>
          <cell r="J61">
            <v>8.3900000000000001E-4</v>
          </cell>
          <cell r="K61">
            <v>4.5599999999999997E-5</v>
          </cell>
          <cell r="L61">
            <v>1.305E-4</v>
          </cell>
          <cell r="M61">
            <v>1.46E-4</v>
          </cell>
          <cell r="N61">
            <v>2.4100000000000003E-5</v>
          </cell>
          <cell r="O61">
            <v>1.7789999999999999E-4</v>
          </cell>
          <cell r="P61">
            <v>1.04E-5</v>
          </cell>
          <cell r="Q61">
            <v>8.3900000000000001E-4</v>
          </cell>
          <cell r="R61">
            <v>2.8690000000000003E-4</v>
          </cell>
          <cell r="S61">
            <v>9.7999999999999993E-6</v>
          </cell>
          <cell r="T61">
            <v>1.516E-4</v>
          </cell>
          <cell r="U61">
            <v>4.4100000000000004E-4</v>
          </cell>
          <cell r="V61">
            <v>1.1200000000000001E-5</v>
          </cell>
          <cell r="W61">
            <v>4.6199999999999998E-5</v>
          </cell>
          <cell r="X61">
            <v>7.7419999999999984E-4</v>
          </cell>
          <cell r="Y61">
            <v>0</v>
          </cell>
          <cell r="Z61">
            <v>0</v>
          </cell>
          <cell r="AA61">
            <v>0</v>
          </cell>
        </row>
        <row r="62">
          <cell r="F62">
            <v>0</v>
          </cell>
          <cell r="G62">
            <v>1.1200000000000001E-5</v>
          </cell>
          <cell r="H62">
            <v>1.0509999999999999E-4</v>
          </cell>
          <cell r="I62">
            <v>7.3800000000000005E-5</v>
          </cell>
          <cell r="J62">
            <v>8.3900000000000001E-4</v>
          </cell>
          <cell r="K62">
            <v>4.5599999999999997E-5</v>
          </cell>
          <cell r="L62">
            <v>1.305E-4</v>
          </cell>
          <cell r="M62">
            <v>1.46E-4</v>
          </cell>
          <cell r="N62">
            <v>2.4100000000000003E-5</v>
          </cell>
          <cell r="O62">
            <v>1.7789999999999999E-4</v>
          </cell>
          <cell r="P62">
            <v>1.04E-5</v>
          </cell>
          <cell r="Q62">
            <v>8.3900000000000001E-4</v>
          </cell>
          <cell r="R62">
            <v>2.8690000000000003E-4</v>
          </cell>
          <cell r="S62">
            <v>9.7999999999999993E-6</v>
          </cell>
          <cell r="T62">
            <v>1.516E-4</v>
          </cell>
          <cell r="U62">
            <v>4.4100000000000004E-4</v>
          </cell>
          <cell r="V62">
            <v>1.1200000000000001E-5</v>
          </cell>
          <cell r="W62">
            <v>4.6199999999999998E-5</v>
          </cell>
          <cell r="X62">
            <v>7.7419999999999984E-4</v>
          </cell>
          <cell r="Y62">
            <v>0</v>
          </cell>
          <cell r="Z62">
            <v>0</v>
          </cell>
          <cell r="AA62">
            <v>0</v>
          </cell>
        </row>
        <row r="63">
          <cell r="F63">
            <v>0</v>
          </cell>
          <cell r="G63">
            <v>1.1200000000000001E-5</v>
          </cell>
          <cell r="H63">
            <v>1.0509999999999999E-4</v>
          </cell>
          <cell r="I63">
            <v>7.3800000000000005E-5</v>
          </cell>
          <cell r="J63">
            <v>8.3900000000000001E-4</v>
          </cell>
          <cell r="K63">
            <v>4.5599999999999997E-5</v>
          </cell>
          <cell r="L63">
            <v>1.305E-4</v>
          </cell>
          <cell r="M63">
            <v>1.46E-4</v>
          </cell>
          <cell r="N63">
            <v>2.4100000000000003E-5</v>
          </cell>
          <cell r="O63">
            <v>1.7789999999999999E-4</v>
          </cell>
          <cell r="P63">
            <v>1.04E-5</v>
          </cell>
          <cell r="Q63">
            <v>8.3900000000000001E-4</v>
          </cell>
          <cell r="R63">
            <v>2.8690000000000003E-4</v>
          </cell>
          <cell r="S63">
            <v>9.7999999999999993E-6</v>
          </cell>
          <cell r="T63">
            <v>1.516E-4</v>
          </cell>
          <cell r="U63">
            <v>4.4100000000000004E-4</v>
          </cell>
          <cell r="V63">
            <v>1.1200000000000001E-5</v>
          </cell>
          <cell r="W63">
            <v>4.6199999999999998E-5</v>
          </cell>
          <cell r="X63">
            <v>7.7419999999999984E-4</v>
          </cell>
          <cell r="Y63">
            <v>0</v>
          </cell>
          <cell r="Z63">
            <v>0</v>
          </cell>
          <cell r="AA63">
            <v>0</v>
          </cell>
        </row>
        <row r="64">
          <cell r="F64">
            <v>0</v>
          </cell>
          <cell r="G64">
            <v>1.1200000000000001E-5</v>
          </cell>
          <cell r="H64">
            <v>1.0509999999999999E-4</v>
          </cell>
          <cell r="I64">
            <v>7.3800000000000005E-5</v>
          </cell>
          <cell r="J64">
            <v>8.3900000000000001E-4</v>
          </cell>
          <cell r="K64">
            <v>4.5599999999999997E-5</v>
          </cell>
          <cell r="L64">
            <v>1.305E-4</v>
          </cell>
          <cell r="M64">
            <v>1.46E-4</v>
          </cell>
          <cell r="N64">
            <v>2.4100000000000003E-5</v>
          </cell>
          <cell r="O64">
            <v>1.7789999999999999E-4</v>
          </cell>
          <cell r="P64">
            <v>1.04E-5</v>
          </cell>
          <cell r="Q64">
            <v>8.3900000000000001E-4</v>
          </cell>
          <cell r="R64">
            <v>2.8690000000000003E-4</v>
          </cell>
          <cell r="S64">
            <v>9.7999999999999993E-6</v>
          </cell>
          <cell r="T64">
            <v>1.516E-4</v>
          </cell>
          <cell r="U64">
            <v>4.4100000000000004E-4</v>
          </cell>
          <cell r="V64">
            <v>1.1200000000000001E-5</v>
          </cell>
          <cell r="W64">
            <v>4.6199999999999998E-5</v>
          </cell>
          <cell r="X64">
            <v>7.7419999999999984E-4</v>
          </cell>
          <cell r="Y64">
            <v>0</v>
          </cell>
          <cell r="Z64">
            <v>0</v>
          </cell>
          <cell r="AA64">
            <v>0</v>
          </cell>
        </row>
        <row r="65">
          <cell r="F65">
            <v>0</v>
          </cell>
          <cell r="G65">
            <v>1.1200000000000001E-5</v>
          </cell>
          <cell r="H65">
            <v>1.0509999999999999E-4</v>
          </cell>
          <cell r="I65">
            <v>7.3800000000000005E-5</v>
          </cell>
          <cell r="J65">
            <v>8.3900000000000001E-4</v>
          </cell>
          <cell r="K65">
            <v>4.5599999999999997E-5</v>
          </cell>
          <cell r="L65">
            <v>1.305E-4</v>
          </cell>
          <cell r="M65">
            <v>1.46E-4</v>
          </cell>
          <cell r="N65">
            <v>2.4100000000000003E-5</v>
          </cell>
          <cell r="O65">
            <v>1.7789999999999999E-4</v>
          </cell>
          <cell r="P65">
            <v>1.04E-5</v>
          </cell>
          <cell r="Q65">
            <v>8.3900000000000001E-4</v>
          </cell>
          <cell r="R65">
            <v>2.8690000000000003E-4</v>
          </cell>
          <cell r="S65">
            <v>9.7999999999999993E-6</v>
          </cell>
          <cell r="T65">
            <v>1.516E-4</v>
          </cell>
          <cell r="U65">
            <v>4.4100000000000004E-4</v>
          </cell>
          <cell r="V65">
            <v>1.1200000000000001E-5</v>
          </cell>
          <cell r="W65">
            <v>4.6199999999999998E-5</v>
          </cell>
          <cell r="X65">
            <v>7.7419999999999984E-4</v>
          </cell>
          <cell r="Y65">
            <v>0</v>
          </cell>
          <cell r="Z65">
            <v>0</v>
          </cell>
          <cell r="AA65">
            <v>0</v>
          </cell>
        </row>
        <row r="66">
          <cell r="F66">
            <v>0</v>
          </cell>
          <cell r="G66">
            <v>1.1200000000000001E-5</v>
          </cell>
          <cell r="H66">
            <v>1.0509999999999999E-4</v>
          </cell>
          <cell r="I66">
            <v>7.3800000000000005E-5</v>
          </cell>
          <cell r="J66">
            <v>8.3900000000000001E-4</v>
          </cell>
          <cell r="K66">
            <v>4.5599999999999997E-5</v>
          </cell>
          <cell r="L66">
            <v>1.305E-4</v>
          </cell>
          <cell r="M66">
            <v>1.46E-4</v>
          </cell>
          <cell r="N66">
            <v>2.4100000000000003E-5</v>
          </cell>
          <cell r="O66">
            <v>1.7789999999999999E-4</v>
          </cell>
          <cell r="P66">
            <v>1.04E-5</v>
          </cell>
          <cell r="Q66">
            <v>8.3900000000000001E-4</v>
          </cell>
          <cell r="R66">
            <v>2.8690000000000003E-4</v>
          </cell>
          <cell r="S66">
            <v>9.7999999999999993E-6</v>
          </cell>
          <cell r="T66">
            <v>1.516E-4</v>
          </cell>
          <cell r="U66">
            <v>4.4100000000000004E-4</v>
          </cell>
          <cell r="V66">
            <v>1.1200000000000001E-5</v>
          </cell>
          <cell r="W66">
            <v>4.6199999999999998E-5</v>
          </cell>
          <cell r="X66">
            <v>7.7419999999999984E-4</v>
          </cell>
          <cell r="Y66">
            <v>0</v>
          </cell>
          <cell r="Z66">
            <v>0</v>
          </cell>
          <cell r="AA66">
            <v>0</v>
          </cell>
        </row>
        <row r="67">
          <cell r="F67">
            <v>0</v>
          </cell>
          <cell r="G67">
            <v>1.1200000000000001E-5</v>
          </cell>
          <cell r="H67">
            <v>1.0509999999999999E-4</v>
          </cell>
          <cell r="I67">
            <v>7.3800000000000005E-5</v>
          </cell>
          <cell r="J67">
            <v>8.3900000000000001E-4</v>
          </cell>
          <cell r="K67">
            <v>4.5599999999999997E-5</v>
          </cell>
          <cell r="L67">
            <v>1.305E-4</v>
          </cell>
          <cell r="M67">
            <v>1.46E-4</v>
          </cell>
          <cell r="N67">
            <v>2.4100000000000003E-5</v>
          </cell>
          <cell r="O67">
            <v>1.7789999999999999E-4</v>
          </cell>
          <cell r="P67">
            <v>1.04E-5</v>
          </cell>
          <cell r="Q67">
            <v>8.3900000000000001E-4</v>
          </cell>
          <cell r="R67">
            <v>2.8690000000000003E-4</v>
          </cell>
          <cell r="S67">
            <v>9.7999999999999993E-6</v>
          </cell>
          <cell r="T67">
            <v>1.516E-4</v>
          </cell>
          <cell r="U67">
            <v>4.4100000000000004E-4</v>
          </cell>
          <cell r="V67">
            <v>1.1200000000000001E-5</v>
          </cell>
          <cell r="W67">
            <v>4.6199999999999998E-5</v>
          </cell>
          <cell r="X67">
            <v>7.7419999999999984E-4</v>
          </cell>
          <cell r="Y67">
            <v>0</v>
          </cell>
          <cell r="Z67">
            <v>0</v>
          </cell>
          <cell r="AA67">
            <v>0</v>
          </cell>
        </row>
        <row r="68">
          <cell r="F68">
            <v>0</v>
          </cell>
          <cell r="G68">
            <v>1.1200000000000001E-5</v>
          </cell>
          <cell r="H68">
            <v>1.0509999999999999E-4</v>
          </cell>
          <cell r="I68">
            <v>7.3800000000000005E-5</v>
          </cell>
          <cell r="J68">
            <v>8.3900000000000001E-4</v>
          </cell>
          <cell r="K68">
            <v>4.5599999999999997E-5</v>
          </cell>
          <cell r="L68">
            <v>1.305E-4</v>
          </cell>
          <cell r="M68">
            <v>1.46E-4</v>
          </cell>
          <cell r="N68">
            <v>2.4100000000000003E-5</v>
          </cell>
          <cell r="O68">
            <v>1.7789999999999999E-4</v>
          </cell>
          <cell r="P68">
            <v>1.04E-5</v>
          </cell>
          <cell r="Q68">
            <v>8.3900000000000001E-4</v>
          </cell>
          <cell r="R68">
            <v>2.8690000000000003E-4</v>
          </cell>
          <cell r="S68">
            <v>9.7999999999999993E-6</v>
          </cell>
          <cell r="T68">
            <v>1.516E-4</v>
          </cell>
          <cell r="U68">
            <v>4.4100000000000004E-4</v>
          </cell>
          <cell r="V68">
            <v>1.1200000000000001E-5</v>
          </cell>
          <cell r="W68">
            <v>4.6199999999999998E-5</v>
          </cell>
          <cell r="X68">
            <v>7.7419999999999984E-4</v>
          </cell>
          <cell r="Y68">
            <v>0</v>
          </cell>
          <cell r="Z68">
            <v>0</v>
          </cell>
          <cell r="AA68">
            <v>0</v>
          </cell>
        </row>
        <row r="76">
          <cell r="F76">
            <v>0</v>
          </cell>
          <cell r="G76">
            <v>8.6999999999999997E-6</v>
          </cell>
          <cell r="H76">
            <v>2.5699999999999998E-5</v>
          </cell>
          <cell r="I76">
            <v>2.3599999999999998E-5</v>
          </cell>
          <cell r="J76">
            <v>4.014E-4</v>
          </cell>
          <cell r="K76">
            <v>7.1999999999999997E-6</v>
          </cell>
          <cell r="L76">
            <v>2.6299999999999999E-5</v>
          </cell>
          <cell r="M76">
            <v>7.6000000000000001E-6</v>
          </cell>
          <cell r="N76">
            <v>1.11E-5</v>
          </cell>
          <cell r="O76">
            <v>1.98E-5</v>
          </cell>
          <cell r="P76">
            <v>5.1909999999999999E-4</v>
          </cell>
          <cell r="Q76">
            <v>4.014E-4</v>
          </cell>
          <cell r="R76">
            <v>3.8699999999999999E-5</v>
          </cell>
          <cell r="S76">
            <v>1.0900000000000001E-5</v>
          </cell>
          <cell r="T76">
            <v>1.3300000000000001E-5</v>
          </cell>
          <cell r="U76">
            <v>1.11E-5</v>
          </cell>
          <cell r="V76">
            <v>8.6999999999999997E-6</v>
          </cell>
          <cell r="W76">
            <v>1.1999999999999999E-6</v>
          </cell>
          <cell r="X76">
            <v>7.9800000000000002E-5</v>
          </cell>
          <cell r="Y76">
            <v>0</v>
          </cell>
          <cell r="Z76">
            <v>0</v>
          </cell>
          <cell r="AA76">
            <v>0</v>
          </cell>
        </row>
        <row r="77">
          <cell r="F77">
            <v>0</v>
          </cell>
          <cell r="G77">
            <v>8.6999999999999997E-6</v>
          </cell>
          <cell r="H77">
            <v>2.5699999999999998E-5</v>
          </cell>
          <cell r="I77">
            <v>2.3599999999999998E-5</v>
          </cell>
          <cell r="J77">
            <v>4.014E-4</v>
          </cell>
          <cell r="K77">
            <v>7.1999999999999997E-6</v>
          </cell>
          <cell r="L77">
            <v>2.6299999999999999E-5</v>
          </cell>
          <cell r="M77">
            <v>7.6000000000000001E-6</v>
          </cell>
          <cell r="N77">
            <v>1.11E-5</v>
          </cell>
          <cell r="O77">
            <v>1.98E-5</v>
          </cell>
          <cell r="P77">
            <v>5.1909999999999999E-4</v>
          </cell>
          <cell r="Q77">
            <v>4.014E-4</v>
          </cell>
          <cell r="R77">
            <v>3.8699999999999999E-5</v>
          </cell>
          <cell r="S77">
            <v>1.0900000000000001E-5</v>
          </cell>
          <cell r="T77">
            <v>1.3300000000000001E-5</v>
          </cell>
          <cell r="U77">
            <v>1.11E-5</v>
          </cell>
          <cell r="V77">
            <v>8.6999999999999997E-6</v>
          </cell>
          <cell r="W77">
            <v>1.1999999999999999E-6</v>
          </cell>
          <cell r="X77">
            <v>7.9800000000000002E-5</v>
          </cell>
          <cell r="Y77">
            <v>0</v>
          </cell>
          <cell r="Z77">
            <v>0</v>
          </cell>
          <cell r="AA77">
            <v>0</v>
          </cell>
        </row>
        <row r="78">
          <cell r="F78">
            <v>0</v>
          </cell>
          <cell r="G78">
            <v>8.6999999999999997E-6</v>
          </cell>
          <cell r="H78">
            <v>2.5699999999999998E-5</v>
          </cell>
          <cell r="I78">
            <v>2.3599999999999998E-5</v>
          </cell>
          <cell r="J78">
            <v>4.014E-4</v>
          </cell>
          <cell r="K78">
            <v>7.1999999999999997E-6</v>
          </cell>
          <cell r="L78">
            <v>2.6299999999999999E-5</v>
          </cell>
          <cell r="M78">
            <v>7.6000000000000001E-6</v>
          </cell>
          <cell r="N78">
            <v>1.11E-5</v>
          </cell>
          <cell r="O78">
            <v>1.98E-5</v>
          </cell>
          <cell r="P78">
            <v>5.1909999999999999E-4</v>
          </cell>
          <cell r="Q78">
            <v>4.014E-4</v>
          </cell>
          <cell r="R78">
            <v>3.8699999999999999E-5</v>
          </cell>
          <cell r="S78">
            <v>1.0900000000000001E-5</v>
          </cell>
          <cell r="T78">
            <v>1.3300000000000001E-5</v>
          </cell>
          <cell r="U78">
            <v>1.11E-5</v>
          </cell>
          <cell r="V78">
            <v>8.6999999999999997E-6</v>
          </cell>
          <cell r="W78">
            <v>1.1999999999999999E-6</v>
          </cell>
          <cell r="X78">
            <v>7.9800000000000002E-5</v>
          </cell>
          <cell r="Y78">
            <v>0</v>
          </cell>
          <cell r="Z78">
            <v>0</v>
          </cell>
          <cell r="AA78">
            <v>0</v>
          </cell>
        </row>
        <row r="79">
          <cell r="F79">
            <v>0</v>
          </cell>
          <cell r="G79">
            <v>8.6999999999999997E-6</v>
          </cell>
          <cell r="H79">
            <v>2.5699999999999998E-5</v>
          </cell>
          <cell r="I79">
            <v>2.3599999999999998E-5</v>
          </cell>
          <cell r="J79">
            <v>4.014E-4</v>
          </cell>
          <cell r="K79">
            <v>7.1999999999999997E-6</v>
          </cell>
          <cell r="L79">
            <v>2.6299999999999999E-5</v>
          </cell>
          <cell r="M79">
            <v>7.6000000000000001E-6</v>
          </cell>
          <cell r="N79">
            <v>1.11E-5</v>
          </cell>
          <cell r="O79">
            <v>1.98E-5</v>
          </cell>
          <cell r="P79">
            <v>5.1909999999999999E-4</v>
          </cell>
          <cell r="Q79">
            <v>4.014E-4</v>
          </cell>
          <cell r="R79">
            <v>3.8699999999999999E-5</v>
          </cell>
          <cell r="S79">
            <v>1.0900000000000001E-5</v>
          </cell>
          <cell r="T79">
            <v>1.3300000000000001E-5</v>
          </cell>
          <cell r="U79">
            <v>1.11E-5</v>
          </cell>
          <cell r="V79">
            <v>8.6999999999999997E-6</v>
          </cell>
          <cell r="W79">
            <v>1.1999999999999999E-6</v>
          </cell>
          <cell r="X79">
            <v>7.9800000000000002E-5</v>
          </cell>
          <cell r="Y79">
            <v>0</v>
          </cell>
          <cell r="Z79">
            <v>0</v>
          </cell>
          <cell r="AA79">
            <v>0</v>
          </cell>
        </row>
        <row r="80">
          <cell r="F80">
            <v>0</v>
          </cell>
          <cell r="G80">
            <v>8.6999999999999997E-6</v>
          </cell>
          <cell r="H80">
            <v>2.5699999999999998E-5</v>
          </cell>
          <cell r="I80">
            <v>2.3599999999999998E-5</v>
          </cell>
          <cell r="J80">
            <v>4.014E-4</v>
          </cell>
          <cell r="K80">
            <v>7.1999999999999997E-6</v>
          </cell>
          <cell r="L80">
            <v>2.6299999999999999E-5</v>
          </cell>
          <cell r="M80">
            <v>7.6000000000000001E-6</v>
          </cell>
          <cell r="N80">
            <v>1.11E-5</v>
          </cell>
          <cell r="O80">
            <v>1.98E-5</v>
          </cell>
          <cell r="P80">
            <v>5.1909999999999999E-4</v>
          </cell>
          <cell r="Q80">
            <v>4.014E-4</v>
          </cell>
          <cell r="R80">
            <v>3.8699999999999999E-5</v>
          </cell>
          <cell r="S80">
            <v>1.0900000000000001E-5</v>
          </cell>
          <cell r="T80">
            <v>1.3300000000000001E-5</v>
          </cell>
          <cell r="U80">
            <v>1.11E-5</v>
          </cell>
          <cell r="V80">
            <v>8.6999999999999997E-6</v>
          </cell>
          <cell r="W80">
            <v>1.1999999999999999E-6</v>
          </cell>
          <cell r="X80">
            <v>7.9800000000000002E-5</v>
          </cell>
          <cell r="Y80">
            <v>0</v>
          </cell>
          <cell r="Z80">
            <v>0</v>
          </cell>
          <cell r="AA80">
            <v>0</v>
          </cell>
        </row>
        <row r="81">
          <cell r="F81">
            <v>0</v>
          </cell>
          <cell r="G81">
            <v>1.3890000000000002E-4</v>
          </cell>
          <cell r="H81">
            <v>4.4199999999999997E-5</v>
          </cell>
          <cell r="I81">
            <v>4.3600000000000003E-5</v>
          </cell>
          <cell r="J81">
            <v>4.529E-4</v>
          </cell>
          <cell r="K81">
            <v>1.45E-5</v>
          </cell>
          <cell r="L81">
            <v>3.79E-5</v>
          </cell>
          <cell r="M81">
            <v>1.1499999999999998E-5</v>
          </cell>
          <cell r="N81">
            <v>1.3000000000000001E-5</v>
          </cell>
          <cell r="O81">
            <v>2.7000000000000002E-5</v>
          </cell>
          <cell r="P81">
            <v>1.1221E-3</v>
          </cell>
          <cell r="Q81">
            <v>4.529E-4</v>
          </cell>
          <cell r="R81">
            <v>5.0599999999999997E-5</v>
          </cell>
          <cell r="S81">
            <v>1.3300000000000001E-5</v>
          </cell>
          <cell r="T81">
            <v>2.3300000000000001E-5</v>
          </cell>
          <cell r="U81">
            <v>2.2900000000000001E-5</v>
          </cell>
          <cell r="V81">
            <v>9.100000000000001E-6</v>
          </cell>
          <cell r="W81">
            <v>2.5000000000000002E-6</v>
          </cell>
          <cell r="X81">
            <v>1.0069999999999998E-4</v>
          </cell>
          <cell r="Y81">
            <v>0</v>
          </cell>
          <cell r="Z81">
            <v>0</v>
          </cell>
          <cell r="AA81">
            <v>0</v>
          </cell>
        </row>
        <row r="82">
          <cell r="F82">
            <v>0</v>
          </cell>
          <cell r="G82">
            <v>1.3890000000000002E-4</v>
          </cell>
          <cell r="H82">
            <v>4.4199999999999997E-5</v>
          </cell>
          <cell r="I82">
            <v>4.3600000000000003E-5</v>
          </cell>
          <cell r="J82">
            <v>4.529E-4</v>
          </cell>
          <cell r="K82">
            <v>1.45E-5</v>
          </cell>
          <cell r="L82">
            <v>3.79E-5</v>
          </cell>
          <cell r="M82">
            <v>1.1499999999999998E-5</v>
          </cell>
          <cell r="N82">
            <v>1.3000000000000001E-5</v>
          </cell>
          <cell r="O82">
            <v>2.7000000000000002E-5</v>
          </cell>
          <cell r="P82">
            <v>1.1221E-3</v>
          </cell>
          <cell r="Q82">
            <v>4.529E-4</v>
          </cell>
          <cell r="R82">
            <v>5.0599999999999997E-5</v>
          </cell>
          <cell r="S82">
            <v>1.3300000000000001E-5</v>
          </cell>
          <cell r="T82">
            <v>2.3300000000000001E-5</v>
          </cell>
          <cell r="U82">
            <v>2.2900000000000001E-5</v>
          </cell>
          <cell r="V82">
            <v>9.100000000000001E-6</v>
          </cell>
          <cell r="W82">
            <v>2.5000000000000002E-6</v>
          </cell>
          <cell r="X82">
            <v>1.0069999999999998E-4</v>
          </cell>
          <cell r="Y82">
            <v>0</v>
          </cell>
          <cell r="Z82">
            <v>0</v>
          </cell>
          <cell r="AA82">
            <v>0</v>
          </cell>
        </row>
        <row r="83">
          <cell r="F83">
            <v>0</v>
          </cell>
          <cell r="G83">
            <v>1.3890000000000002E-4</v>
          </cell>
          <cell r="H83">
            <v>4.4199999999999997E-5</v>
          </cell>
          <cell r="I83">
            <v>4.3600000000000003E-5</v>
          </cell>
          <cell r="J83">
            <v>4.529E-4</v>
          </cell>
          <cell r="K83">
            <v>1.45E-5</v>
          </cell>
          <cell r="L83">
            <v>3.79E-5</v>
          </cell>
          <cell r="M83">
            <v>1.1499999999999998E-5</v>
          </cell>
          <cell r="N83">
            <v>1.3000000000000001E-5</v>
          </cell>
          <cell r="O83">
            <v>2.7000000000000002E-5</v>
          </cell>
          <cell r="P83">
            <v>1.1221E-3</v>
          </cell>
          <cell r="Q83">
            <v>4.529E-4</v>
          </cell>
          <cell r="R83">
            <v>5.0599999999999997E-5</v>
          </cell>
          <cell r="S83">
            <v>1.3300000000000001E-5</v>
          </cell>
          <cell r="T83">
            <v>2.3300000000000001E-5</v>
          </cell>
          <cell r="U83">
            <v>2.2900000000000001E-5</v>
          </cell>
          <cell r="V83">
            <v>9.100000000000001E-6</v>
          </cell>
          <cell r="W83">
            <v>2.5000000000000002E-6</v>
          </cell>
          <cell r="X83">
            <v>1.0069999999999998E-4</v>
          </cell>
          <cell r="Y83">
            <v>0</v>
          </cell>
          <cell r="Z83">
            <v>0</v>
          </cell>
          <cell r="AA83">
            <v>0</v>
          </cell>
        </row>
        <row r="84">
          <cell r="F84">
            <v>0</v>
          </cell>
          <cell r="G84">
            <v>1.3890000000000002E-4</v>
          </cell>
          <cell r="H84">
            <v>4.4199999999999997E-5</v>
          </cell>
          <cell r="I84">
            <v>4.3600000000000003E-5</v>
          </cell>
          <cell r="J84">
            <v>4.529E-4</v>
          </cell>
          <cell r="K84">
            <v>1.45E-5</v>
          </cell>
          <cell r="L84">
            <v>3.79E-5</v>
          </cell>
          <cell r="M84">
            <v>1.1499999999999998E-5</v>
          </cell>
          <cell r="N84">
            <v>1.3000000000000001E-5</v>
          </cell>
          <cell r="O84">
            <v>2.7000000000000002E-5</v>
          </cell>
          <cell r="P84">
            <v>1.1221E-3</v>
          </cell>
          <cell r="Q84">
            <v>4.529E-4</v>
          </cell>
          <cell r="R84">
            <v>5.0599999999999997E-5</v>
          </cell>
          <cell r="S84">
            <v>1.3300000000000001E-5</v>
          </cell>
          <cell r="T84">
            <v>2.3300000000000001E-5</v>
          </cell>
          <cell r="U84">
            <v>2.2900000000000001E-5</v>
          </cell>
          <cell r="V84">
            <v>9.100000000000001E-6</v>
          </cell>
          <cell r="W84">
            <v>2.5000000000000002E-6</v>
          </cell>
          <cell r="X84">
            <v>1.0069999999999998E-4</v>
          </cell>
          <cell r="Y84">
            <v>0</v>
          </cell>
          <cell r="Z84">
            <v>0</v>
          </cell>
          <cell r="AA84">
            <v>0</v>
          </cell>
        </row>
        <row r="85">
          <cell r="F85">
            <v>0</v>
          </cell>
          <cell r="G85">
            <v>1.3890000000000002E-4</v>
          </cell>
          <cell r="H85">
            <v>4.4199999999999997E-5</v>
          </cell>
          <cell r="I85">
            <v>4.3600000000000003E-5</v>
          </cell>
          <cell r="J85">
            <v>4.529E-4</v>
          </cell>
          <cell r="K85">
            <v>1.45E-5</v>
          </cell>
          <cell r="L85">
            <v>3.79E-5</v>
          </cell>
          <cell r="M85">
            <v>1.1499999999999998E-5</v>
          </cell>
          <cell r="N85">
            <v>1.3000000000000001E-5</v>
          </cell>
          <cell r="O85">
            <v>2.7000000000000002E-5</v>
          </cell>
          <cell r="P85">
            <v>1.1221E-3</v>
          </cell>
          <cell r="Q85">
            <v>4.529E-4</v>
          </cell>
          <cell r="R85">
            <v>5.0599999999999997E-5</v>
          </cell>
          <cell r="S85">
            <v>1.3300000000000001E-5</v>
          </cell>
          <cell r="T85">
            <v>2.3300000000000001E-5</v>
          </cell>
          <cell r="U85">
            <v>2.2900000000000001E-5</v>
          </cell>
          <cell r="V85">
            <v>9.100000000000001E-6</v>
          </cell>
          <cell r="W85">
            <v>2.5000000000000002E-6</v>
          </cell>
          <cell r="X85">
            <v>1.0069999999999998E-4</v>
          </cell>
          <cell r="Y85">
            <v>0</v>
          </cell>
          <cell r="Z85">
            <v>0</v>
          </cell>
          <cell r="AA85">
            <v>0</v>
          </cell>
        </row>
        <row r="86">
          <cell r="F86">
            <v>0</v>
          </cell>
          <cell r="G86">
            <v>1.9989999999999998E-4</v>
          </cell>
          <cell r="H86">
            <v>7.3300000000000006E-5</v>
          </cell>
          <cell r="I86">
            <v>5.1500000000000005E-5</v>
          </cell>
          <cell r="J86">
            <v>5.6189999999999994E-4</v>
          </cell>
          <cell r="K86">
            <v>2.3099999999999999E-5</v>
          </cell>
          <cell r="L86">
            <v>5.2599999999999998E-5</v>
          </cell>
          <cell r="M86">
            <v>1.8600000000000001E-5</v>
          </cell>
          <cell r="N86">
            <v>1.4399999999999999E-5</v>
          </cell>
          <cell r="O86">
            <v>3.3200000000000001E-5</v>
          </cell>
          <cell r="P86">
            <v>1.8680000000000001E-3</v>
          </cell>
          <cell r="Q86">
            <v>5.6189999999999994E-4</v>
          </cell>
          <cell r="R86">
            <v>6.7000000000000002E-5</v>
          </cell>
          <cell r="S86">
            <v>1.4299999999999999E-5</v>
          </cell>
          <cell r="T86">
            <v>3.1300000000000002E-5</v>
          </cell>
          <cell r="U86">
            <v>4.2199999999999996E-5</v>
          </cell>
          <cell r="V86">
            <v>1.04E-5</v>
          </cell>
          <cell r="W86">
            <v>4.1999999999999996E-6</v>
          </cell>
          <cell r="X86">
            <v>1.2899999999999999E-4</v>
          </cell>
          <cell r="Y86">
            <v>0</v>
          </cell>
          <cell r="Z86">
            <v>0</v>
          </cell>
          <cell r="AA86">
            <v>0</v>
          </cell>
        </row>
        <row r="87">
          <cell r="F87">
            <v>0</v>
          </cell>
          <cell r="G87">
            <v>1.9989999999999998E-4</v>
          </cell>
          <cell r="H87">
            <v>7.3300000000000006E-5</v>
          </cell>
          <cell r="I87">
            <v>5.1500000000000005E-5</v>
          </cell>
          <cell r="J87">
            <v>5.6189999999999994E-4</v>
          </cell>
          <cell r="K87">
            <v>2.3099999999999999E-5</v>
          </cell>
          <cell r="L87">
            <v>5.2599999999999998E-5</v>
          </cell>
          <cell r="M87">
            <v>1.8600000000000001E-5</v>
          </cell>
          <cell r="N87">
            <v>1.4399999999999999E-5</v>
          </cell>
          <cell r="O87">
            <v>3.3200000000000001E-5</v>
          </cell>
          <cell r="P87">
            <v>1.8680000000000001E-3</v>
          </cell>
          <cell r="Q87">
            <v>5.6189999999999994E-4</v>
          </cell>
          <cell r="R87">
            <v>6.7000000000000002E-5</v>
          </cell>
          <cell r="S87">
            <v>1.4299999999999999E-5</v>
          </cell>
          <cell r="T87">
            <v>3.1300000000000002E-5</v>
          </cell>
          <cell r="U87">
            <v>4.2199999999999996E-5</v>
          </cell>
          <cell r="V87">
            <v>1.04E-5</v>
          </cell>
          <cell r="W87">
            <v>4.1999999999999996E-6</v>
          </cell>
          <cell r="X87">
            <v>1.2899999999999999E-4</v>
          </cell>
          <cell r="Y87">
            <v>0</v>
          </cell>
          <cell r="Z87">
            <v>0</v>
          </cell>
          <cell r="AA87">
            <v>0</v>
          </cell>
        </row>
        <row r="88">
          <cell r="F88">
            <v>0</v>
          </cell>
          <cell r="G88">
            <v>1.9989999999999998E-4</v>
          </cell>
          <cell r="H88">
            <v>7.3300000000000006E-5</v>
          </cell>
          <cell r="I88">
            <v>5.1500000000000005E-5</v>
          </cell>
          <cell r="J88">
            <v>5.6189999999999994E-4</v>
          </cell>
          <cell r="K88">
            <v>2.3099999999999999E-5</v>
          </cell>
          <cell r="L88">
            <v>5.2599999999999998E-5</v>
          </cell>
          <cell r="M88">
            <v>1.8600000000000001E-5</v>
          </cell>
          <cell r="N88">
            <v>1.4399999999999999E-5</v>
          </cell>
          <cell r="O88">
            <v>3.3200000000000001E-5</v>
          </cell>
          <cell r="P88">
            <v>1.8680000000000001E-3</v>
          </cell>
          <cell r="Q88">
            <v>5.6189999999999994E-4</v>
          </cell>
          <cell r="R88">
            <v>6.7000000000000002E-5</v>
          </cell>
          <cell r="S88">
            <v>1.4299999999999999E-5</v>
          </cell>
          <cell r="T88">
            <v>3.1300000000000002E-5</v>
          </cell>
          <cell r="U88">
            <v>4.2199999999999996E-5</v>
          </cell>
          <cell r="V88">
            <v>1.04E-5</v>
          </cell>
          <cell r="W88">
            <v>4.1999999999999996E-6</v>
          </cell>
          <cell r="X88">
            <v>1.2899999999999999E-4</v>
          </cell>
          <cell r="Y88">
            <v>0</v>
          </cell>
          <cell r="Z88">
            <v>0</v>
          </cell>
          <cell r="AA88">
            <v>0</v>
          </cell>
        </row>
        <row r="89">
          <cell r="F89">
            <v>0</v>
          </cell>
          <cell r="G89">
            <v>1.9989999999999998E-4</v>
          </cell>
          <cell r="H89">
            <v>7.3300000000000006E-5</v>
          </cell>
          <cell r="I89">
            <v>5.1500000000000005E-5</v>
          </cell>
          <cell r="J89">
            <v>5.6189999999999994E-4</v>
          </cell>
          <cell r="K89">
            <v>2.3099999999999999E-5</v>
          </cell>
          <cell r="L89">
            <v>5.2599999999999998E-5</v>
          </cell>
          <cell r="M89">
            <v>1.8600000000000001E-5</v>
          </cell>
          <cell r="N89">
            <v>1.4399999999999999E-5</v>
          </cell>
          <cell r="O89">
            <v>3.3200000000000001E-5</v>
          </cell>
          <cell r="P89">
            <v>1.8680000000000001E-3</v>
          </cell>
          <cell r="Q89">
            <v>5.6189999999999994E-4</v>
          </cell>
          <cell r="R89">
            <v>6.7000000000000002E-5</v>
          </cell>
          <cell r="S89">
            <v>1.4299999999999999E-5</v>
          </cell>
          <cell r="T89">
            <v>3.1300000000000002E-5</v>
          </cell>
          <cell r="U89">
            <v>4.2199999999999996E-5</v>
          </cell>
          <cell r="V89">
            <v>1.04E-5</v>
          </cell>
          <cell r="W89">
            <v>4.1999999999999996E-6</v>
          </cell>
          <cell r="X89">
            <v>1.2899999999999999E-4</v>
          </cell>
          <cell r="Y89">
            <v>0</v>
          </cell>
          <cell r="Z89">
            <v>0</v>
          </cell>
          <cell r="AA89">
            <v>0</v>
          </cell>
        </row>
        <row r="90">
          <cell r="F90">
            <v>0</v>
          </cell>
          <cell r="G90">
            <v>1.9989999999999998E-4</v>
          </cell>
          <cell r="H90">
            <v>7.3300000000000006E-5</v>
          </cell>
          <cell r="I90">
            <v>5.1500000000000005E-5</v>
          </cell>
          <cell r="J90">
            <v>5.6189999999999994E-4</v>
          </cell>
          <cell r="K90">
            <v>2.3099999999999999E-5</v>
          </cell>
          <cell r="L90">
            <v>5.2599999999999998E-5</v>
          </cell>
          <cell r="M90">
            <v>1.8600000000000001E-5</v>
          </cell>
          <cell r="N90">
            <v>1.4399999999999999E-5</v>
          </cell>
          <cell r="O90">
            <v>3.3200000000000001E-5</v>
          </cell>
          <cell r="P90">
            <v>1.8680000000000001E-3</v>
          </cell>
          <cell r="Q90">
            <v>5.6189999999999994E-4</v>
          </cell>
          <cell r="R90">
            <v>6.7000000000000002E-5</v>
          </cell>
          <cell r="S90">
            <v>1.4299999999999999E-5</v>
          </cell>
          <cell r="T90">
            <v>3.1300000000000002E-5</v>
          </cell>
          <cell r="U90">
            <v>4.2199999999999996E-5</v>
          </cell>
          <cell r="V90">
            <v>1.04E-5</v>
          </cell>
          <cell r="W90">
            <v>4.1999999999999996E-6</v>
          </cell>
          <cell r="X90">
            <v>1.2899999999999999E-4</v>
          </cell>
          <cell r="Y90">
            <v>0</v>
          </cell>
          <cell r="Z90">
            <v>0</v>
          </cell>
          <cell r="AA90">
            <v>0</v>
          </cell>
        </row>
        <row r="91">
          <cell r="F91">
            <v>0</v>
          </cell>
          <cell r="G91">
            <v>3.0629999999999996E-4</v>
          </cell>
          <cell r="H91">
            <v>1.1210000000000001E-4</v>
          </cell>
          <cell r="I91">
            <v>4.9100000000000001E-5</v>
          </cell>
          <cell r="J91">
            <v>6.5900000000000008E-4</v>
          </cell>
          <cell r="K91">
            <v>3.2299999999999999E-5</v>
          </cell>
          <cell r="L91">
            <v>6.5900000000000003E-5</v>
          </cell>
          <cell r="M91">
            <v>2.8100000000000002E-5</v>
          </cell>
          <cell r="N91">
            <v>1.7499999999999998E-5</v>
          </cell>
          <cell r="O91">
            <v>4.2800000000000004E-5</v>
          </cell>
          <cell r="P91">
            <v>2.7656999999999998E-3</v>
          </cell>
          <cell r="Q91">
            <v>6.5900000000000008E-4</v>
          </cell>
          <cell r="R91">
            <v>9.1799999999999995E-5</v>
          </cell>
          <cell r="S91">
            <v>1.7399999999999999E-5</v>
          </cell>
          <cell r="T91">
            <v>8.3000000000000002E-6</v>
          </cell>
          <cell r="U91">
            <v>7.2600000000000003E-5</v>
          </cell>
          <cell r="V91">
            <v>1.06E-5</v>
          </cell>
          <cell r="W91">
            <v>8.3000000000000002E-6</v>
          </cell>
          <cell r="X91">
            <v>1.7969999999999998E-4</v>
          </cell>
          <cell r="Y91">
            <v>0</v>
          </cell>
          <cell r="Z91">
            <v>0</v>
          </cell>
          <cell r="AA91">
            <v>0</v>
          </cell>
        </row>
        <row r="92">
          <cell r="F92">
            <v>0</v>
          </cell>
          <cell r="G92">
            <v>3.0629999999999996E-4</v>
          </cell>
          <cell r="H92">
            <v>1.1210000000000001E-4</v>
          </cell>
          <cell r="I92">
            <v>4.9100000000000001E-5</v>
          </cell>
          <cell r="J92">
            <v>6.5900000000000008E-4</v>
          </cell>
          <cell r="K92">
            <v>3.2299999999999999E-5</v>
          </cell>
          <cell r="L92">
            <v>6.5900000000000003E-5</v>
          </cell>
          <cell r="M92">
            <v>2.8100000000000002E-5</v>
          </cell>
          <cell r="N92">
            <v>1.7499999999999998E-5</v>
          </cell>
          <cell r="O92">
            <v>4.2800000000000004E-5</v>
          </cell>
          <cell r="P92">
            <v>2.7656999999999998E-3</v>
          </cell>
          <cell r="Q92">
            <v>6.5900000000000008E-4</v>
          </cell>
          <cell r="R92">
            <v>9.1799999999999995E-5</v>
          </cell>
          <cell r="S92">
            <v>1.7399999999999999E-5</v>
          </cell>
          <cell r="T92">
            <v>8.3000000000000002E-6</v>
          </cell>
          <cell r="U92">
            <v>7.2600000000000003E-5</v>
          </cell>
          <cell r="V92">
            <v>1.06E-5</v>
          </cell>
          <cell r="W92">
            <v>8.3000000000000002E-6</v>
          </cell>
          <cell r="X92">
            <v>1.7969999999999998E-4</v>
          </cell>
          <cell r="Y92">
            <v>0</v>
          </cell>
          <cell r="Z92">
            <v>0</v>
          </cell>
          <cell r="AA92">
            <v>0</v>
          </cell>
        </row>
        <row r="93">
          <cell r="F93">
            <v>0</v>
          </cell>
          <cell r="G93">
            <v>3.0629999999999996E-4</v>
          </cell>
          <cell r="H93">
            <v>1.1210000000000001E-4</v>
          </cell>
          <cell r="I93">
            <v>4.9100000000000001E-5</v>
          </cell>
          <cell r="J93">
            <v>6.5900000000000008E-4</v>
          </cell>
          <cell r="K93">
            <v>3.2299999999999999E-5</v>
          </cell>
          <cell r="L93">
            <v>6.5900000000000003E-5</v>
          </cell>
          <cell r="M93">
            <v>2.8100000000000002E-5</v>
          </cell>
          <cell r="N93">
            <v>1.7499999999999998E-5</v>
          </cell>
          <cell r="O93">
            <v>4.2800000000000004E-5</v>
          </cell>
          <cell r="P93">
            <v>2.7656999999999998E-3</v>
          </cell>
          <cell r="Q93">
            <v>6.5900000000000008E-4</v>
          </cell>
          <cell r="R93">
            <v>9.1799999999999995E-5</v>
          </cell>
          <cell r="S93">
            <v>1.7399999999999999E-5</v>
          </cell>
          <cell r="T93">
            <v>8.3000000000000002E-6</v>
          </cell>
          <cell r="U93">
            <v>7.2600000000000003E-5</v>
          </cell>
          <cell r="V93">
            <v>1.06E-5</v>
          </cell>
          <cell r="W93">
            <v>8.3000000000000002E-6</v>
          </cell>
          <cell r="X93">
            <v>1.7969999999999998E-4</v>
          </cell>
          <cell r="Y93">
            <v>0</v>
          </cell>
          <cell r="Z93">
            <v>0</v>
          </cell>
          <cell r="AA93">
            <v>0</v>
          </cell>
        </row>
        <row r="94">
          <cell r="F94">
            <v>0</v>
          </cell>
          <cell r="G94">
            <v>3.0629999999999996E-4</v>
          </cell>
          <cell r="H94">
            <v>1.1210000000000001E-4</v>
          </cell>
          <cell r="I94">
            <v>4.9100000000000001E-5</v>
          </cell>
          <cell r="J94">
            <v>6.5900000000000008E-4</v>
          </cell>
          <cell r="K94">
            <v>3.2299999999999999E-5</v>
          </cell>
          <cell r="L94">
            <v>6.5900000000000003E-5</v>
          </cell>
          <cell r="M94">
            <v>2.8100000000000002E-5</v>
          </cell>
          <cell r="N94">
            <v>1.7499999999999998E-5</v>
          </cell>
          <cell r="O94">
            <v>4.2800000000000004E-5</v>
          </cell>
          <cell r="P94">
            <v>2.7656999999999998E-3</v>
          </cell>
          <cell r="Q94">
            <v>6.5900000000000008E-4</v>
          </cell>
          <cell r="R94">
            <v>9.1799999999999995E-5</v>
          </cell>
          <cell r="S94">
            <v>1.7399999999999999E-5</v>
          </cell>
          <cell r="T94">
            <v>8.3000000000000002E-6</v>
          </cell>
          <cell r="U94">
            <v>7.2600000000000003E-5</v>
          </cell>
          <cell r="V94">
            <v>1.06E-5</v>
          </cell>
          <cell r="W94">
            <v>8.3000000000000002E-6</v>
          </cell>
          <cell r="X94">
            <v>1.7969999999999998E-4</v>
          </cell>
          <cell r="Y94">
            <v>0</v>
          </cell>
          <cell r="Z94">
            <v>0</v>
          </cell>
          <cell r="AA94">
            <v>0</v>
          </cell>
        </row>
        <row r="95">
          <cell r="F95">
            <v>0</v>
          </cell>
          <cell r="G95">
            <v>3.0629999999999996E-4</v>
          </cell>
          <cell r="H95">
            <v>1.1210000000000001E-4</v>
          </cell>
          <cell r="I95">
            <v>4.9100000000000001E-5</v>
          </cell>
          <cell r="J95">
            <v>6.5900000000000008E-4</v>
          </cell>
          <cell r="K95">
            <v>3.2299999999999999E-5</v>
          </cell>
          <cell r="L95">
            <v>6.5900000000000003E-5</v>
          </cell>
          <cell r="M95">
            <v>2.8100000000000002E-5</v>
          </cell>
          <cell r="N95">
            <v>1.7499999999999998E-5</v>
          </cell>
          <cell r="O95">
            <v>4.2800000000000004E-5</v>
          </cell>
          <cell r="P95">
            <v>2.7656999999999998E-3</v>
          </cell>
          <cell r="Q95">
            <v>6.5900000000000008E-4</v>
          </cell>
          <cell r="R95">
            <v>9.1799999999999995E-5</v>
          </cell>
          <cell r="S95">
            <v>1.7399999999999999E-5</v>
          </cell>
          <cell r="T95">
            <v>8.3000000000000002E-6</v>
          </cell>
          <cell r="U95">
            <v>7.2600000000000003E-5</v>
          </cell>
          <cell r="V95">
            <v>1.06E-5</v>
          </cell>
          <cell r="W95">
            <v>8.3000000000000002E-6</v>
          </cell>
          <cell r="X95">
            <v>1.7969999999999998E-4</v>
          </cell>
          <cell r="Y95">
            <v>0</v>
          </cell>
          <cell r="Z95">
            <v>0</v>
          </cell>
          <cell r="AA95">
            <v>0</v>
          </cell>
        </row>
        <row r="96">
          <cell r="F96">
            <v>0</v>
          </cell>
          <cell r="G96">
            <v>4.2779999999999999E-4</v>
          </cell>
          <cell r="H96">
            <v>1.474E-4</v>
          </cell>
          <cell r="I96">
            <v>4.4000000000000006E-5</v>
          </cell>
          <cell r="J96">
            <v>6.9430000000000002E-4</v>
          </cell>
          <cell r="K96">
            <v>4.0499999999999995E-5</v>
          </cell>
          <cell r="L96">
            <v>7.6799999999999997E-5</v>
          </cell>
          <cell r="M96">
            <v>3.7499999999999997E-5</v>
          </cell>
          <cell r="N96">
            <v>1.7099999999999999E-5</v>
          </cell>
          <cell r="O96">
            <v>4.3699999999999998E-5</v>
          </cell>
          <cell r="P96">
            <v>2.8530000000000001E-3</v>
          </cell>
          <cell r="Q96">
            <v>6.9430000000000002E-4</v>
          </cell>
          <cell r="R96">
            <v>1.1710000000000001E-4</v>
          </cell>
          <cell r="S96">
            <v>1.66E-5</v>
          </cell>
          <cell r="T96">
            <v>3.6400000000000004E-5</v>
          </cell>
          <cell r="U96">
            <v>1.0740000000000001E-4</v>
          </cell>
          <cell r="V96">
            <v>1.08E-5</v>
          </cell>
          <cell r="W96">
            <v>1.2500000000000001E-5</v>
          </cell>
          <cell r="X96">
            <v>2.2780000000000001E-4</v>
          </cell>
          <cell r="Y96">
            <v>0</v>
          </cell>
          <cell r="Z96">
            <v>0</v>
          </cell>
          <cell r="AA96">
            <v>0</v>
          </cell>
        </row>
        <row r="97">
          <cell r="F97">
            <v>0</v>
          </cell>
          <cell r="G97">
            <v>4.2779999999999999E-4</v>
          </cell>
          <cell r="H97">
            <v>1.474E-4</v>
          </cell>
          <cell r="I97">
            <v>4.4000000000000006E-5</v>
          </cell>
          <cell r="J97">
            <v>6.9430000000000002E-4</v>
          </cell>
          <cell r="K97">
            <v>4.0499999999999995E-5</v>
          </cell>
          <cell r="L97">
            <v>7.6799999999999997E-5</v>
          </cell>
          <cell r="M97">
            <v>3.7499999999999997E-5</v>
          </cell>
          <cell r="N97">
            <v>1.7099999999999999E-5</v>
          </cell>
          <cell r="O97">
            <v>4.3699999999999998E-5</v>
          </cell>
          <cell r="P97">
            <v>2.8530000000000001E-3</v>
          </cell>
          <cell r="Q97">
            <v>6.9430000000000002E-4</v>
          </cell>
          <cell r="R97">
            <v>1.1710000000000001E-4</v>
          </cell>
          <cell r="S97">
            <v>1.66E-5</v>
          </cell>
          <cell r="T97">
            <v>3.6400000000000004E-5</v>
          </cell>
          <cell r="U97">
            <v>1.0740000000000001E-4</v>
          </cell>
          <cell r="V97">
            <v>1.08E-5</v>
          </cell>
          <cell r="W97">
            <v>1.2500000000000001E-5</v>
          </cell>
          <cell r="X97">
            <v>2.2780000000000001E-4</v>
          </cell>
          <cell r="Y97">
            <v>0</v>
          </cell>
          <cell r="Z97">
            <v>0</v>
          </cell>
          <cell r="AA97">
            <v>0</v>
          </cell>
        </row>
        <row r="98">
          <cell r="F98">
            <v>0</v>
          </cell>
          <cell r="G98">
            <v>4.2779999999999999E-4</v>
          </cell>
          <cell r="H98">
            <v>1.474E-4</v>
          </cell>
          <cell r="I98">
            <v>4.4000000000000006E-5</v>
          </cell>
          <cell r="J98">
            <v>6.9430000000000002E-4</v>
          </cell>
          <cell r="K98">
            <v>4.0499999999999995E-5</v>
          </cell>
          <cell r="L98">
            <v>7.6799999999999997E-5</v>
          </cell>
          <cell r="M98">
            <v>3.7499999999999997E-5</v>
          </cell>
          <cell r="N98">
            <v>1.7099999999999999E-5</v>
          </cell>
          <cell r="O98">
            <v>4.3699999999999998E-5</v>
          </cell>
          <cell r="P98">
            <v>2.8530000000000001E-3</v>
          </cell>
          <cell r="Q98">
            <v>6.9430000000000002E-4</v>
          </cell>
          <cell r="R98">
            <v>1.1710000000000001E-4</v>
          </cell>
          <cell r="S98">
            <v>1.66E-5</v>
          </cell>
          <cell r="T98">
            <v>3.6400000000000004E-5</v>
          </cell>
          <cell r="U98">
            <v>1.0740000000000001E-4</v>
          </cell>
          <cell r="V98">
            <v>1.08E-5</v>
          </cell>
          <cell r="W98">
            <v>1.2500000000000001E-5</v>
          </cell>
          <cell r="X98">
            <v>2.2780000000000001E-4</v>
          </cell>
          <cell r="Y98">
            <v>0</v>
          </cell>
          <cell r="Z98">
            <v>0</v>
          </cell>
          <cell r="AA98">
            <v>0</v>
          </cell>
        </row>
        <row r="99">
          <cell r="F99">
            <v>0</v>
          </cell>
          <cell r="G99">
            <v>4.2779999999999999E-4</v>
          </cell>
          <cell r="H99">
            <v>1.474E-4</v>
          </cell>
          <cell r="I99">
            <v>4.4000000000000006E-5</v>
          </cell>
          <cell r="J99">
            <v>6.9430000000000002E-4</v>
          </cell>
          <cell r="K99">
            <v>4.0499999999999995E-5</v>
          </cell>
          <cell r="L99">
            <v>7.6799999999999997E-5</v>
          </cell>
          <cell r="M99">
            <v>3.7499999999999997E-5</v>
          </cell>
          <cell r="N99">
            <v>1.7099999999999999E-5</v>
          </cell>
          <cell r="O99">
            <v>4.3699999999999998E-5</v>
          </cell>
          <cell r="P99">
            <v>2.8530000000000001E-3</v>
          </cell>
          <cell r="Q99">
            <v>6.9430000000000002E-4</v>
          </cell>
          <cell r="R99">
            <v>1.1710000000000001E-4</v>
          </cell>
          <cell r="S99">
            <v>1.66E-5</v>
          </cell>
          <cell r="T99">
            <v>3.6400000000000004E-5</v>
          </cell>
          <cell r="U99">
            <v>1.0740000000000001E-4</v>
          </cell>
          <cell r="V99">
            <v>1.08E-5</v>
          </cell>
          <cell r="W99">
            <v>1.2500000000000001E-5</v>
          </cell>
          <cell r="X99">
            <v>2.2780000000000001E-4</v>
          </cell>
          <cell r="Y99">
            <v>0</v>
          </cell>
          <cell r="Z99">
            <v>0</v>
          </cell>
          <cell r="AA99">
            <v>0</v>
          </cell>
        </row>
        <row r="100">
          <cell r="F100">
            <v>0</v>
          </cell>
          <cell r="G100">
            <v>4.2779999999999999E-4</v>
          </cell>
          <cell r="H100">
            <v>1.474E-4</v>
          </cell>
          <cell r="I100">
            <v>4.4000000000000006E-5</v>
          </cell>
          <cell r="J100">
            <v>6.9430000000000002E-4</v>
          </cell>
          <cell r="K100">
            <v>4.0499999999999995E-5</v>
          </cell>
          <cell r="L100">
            <v>7.6799999999999997E-5</v>
          </cell>
          <cell r="M100">
            <v>3.7499999999999997E-5</v>
          </cell>
          <cell r="N100">
            <v>1.7099999999999999E-5</v>
          </cell>
          <cell r="O100">
            <v>4.3699999999999998E-5</v>
          </cell>
          <cell r="P100">
            <v>2.8530000000000001E-3</v>
          </cell>
          <cell r="Q100">
            <v>6.9430000000000002E-4</v>
          </cell>
          <cell r="R100">
            <v>1.1710000000000001E-4</v>
          </cell>
          <cell r="S100">
            <v>1.66E-5</v>
          </cell>
          <cell r="T100">
            <v>3.6400000000000004E-5</v>
          </cell>
          <cell r="U100">
            <v>1.0740000000000001E-4</v>
          </cell>
          <cell r="V100">
            <v>1.08E-5</v>
          </cell>
          <cell r="W100">
            <v>1.2500000000000001E-5</v>
          </cell>
          <cell r="X100">
            <v>2.2780000000000001E-4</v>
          </cell>
          <cell r="Y100">
            <v>0</v>
          </cell>
          <cell r="Z100">
            <v>0</v>
          </cell>
          <cell r="AA100">
            <v>0</v>
          </cell>
        </row>
        <row r="101">
          <cell r="F101">
            <v>0</v>
          </cell>
          <cell r="G101">
            <v>5.8810000000000004E-4</v>
          </cell>
          <cell r="H101">
            <v>1.8239999999999999E-4</v>
          </cell>
          <cell r="I101">
            <v>4.2199999999999996E-5</v>
          </cell>
          <cell r="J101">
            <v>7.2870000000000009E-4</v>
          </cell>
          <cell r="K101">
            <v>4.4100000000000001E-5</v>
          </cell>
          <cell r="L101">
            <v>7.86E-5</v>
          </cell>
          <cell r="M101">
            <v>4.3300000000000002E-5</v>
          </cell>
          <cell r="N101">
            <v>1.98E-5</v>
          </cell>
          <cell r="O101">
            <v>4.21E-5</v>
          </cell>
          <cell r="P101">
            <v>2.3988E-3</v>
          </cell>
          <cell r="Q101">
            <v>7.2870000000000009E-4</v>
          </cell>
          <cell r="R101">
            <v>1.473E-4</v>
          </cell>
          <cell r="S101">
            <v>1.66E-5</v>
          </cell>
          <cell r="T101">
            <v>3.68E-5</v>
          </cell>
          <cell r="U101">
            <v>1.5890000000000001E-4</v>
          </cell>
          <cell r="V101">
            <v>1.0900000000000001E-5</v>
          </cell>
          <cell r="W101">
            <v>1.8700000000000001E-5</v>
          </cell>
          <cell r="X101">
            <v>2.9520000000000002E-4</v>
          </cell>
          <cell r="Y101">
            <v>0</v>
          </cell>
          <cell r="Z101">
            <v>0</v>
          </cell>
          <cell r="AA101">
            <v>0</v>
          </cell>
        </row>
        <row r="102">
          <cell r="F102">
            <v>0</v>
          </cell>
          <cell r="G102">
            <v>5.8810000000000004E-4</v>
          </cell>
          <cell r="H102">
            <v>1.8239999999999999E-4</v>
          </cell>
          <cell r="I102">
            <v>4.2199999999999996E-5</v>
          </cell>
          <cell r="J102">
            <v>7.2870000000000009E-4</v>
          </cell>
          <cell r="K102">
            <v>4.4100000000000001E-5</v>
          </cell>
          <cell r="L102">
            <v>7.86E-5</v>
          </cell>
          <cell r="M102">
            <v>4.3300000000000002E-5</v>
          </cell>
          <cell r="N102">
            <v>1.98E-5</v>
          </cell>
          <cell r="O102">
            <v>4.21E-5</v>
          </cell>
          <cell r="P102">
            <v>2.3988E-3</v>
          </cell>
          <cell r="Q102">
            <v>7.2870000000000009E-4</v>
          </cell>
          <cell r="R102">
            <v>1.473E-4</v>
          </cell>
          <cell r="S102">
            <v>1.66E-5</v>
          </cell>
          <cell r="T102">
            <v>3.68E-5</v>
          </cell>
          <cell r="U102">
            <v>1.5890000000000001E-4</v>
          </cell>
          <cell r="V102">
            <v>1.0900000000000001E-5</v>
          </cell>
          <cell r="W102">
            <v>1.8700000000000001E-5</v>
          </cell>
          <cell r="X102">
            <v>2.9520000000000002E-4</v>
          </cell>
          <cell r="Y102">
            <v>0</v>
          </cell>
          <cell r="Z102">
            <v>0</v>
          </cell>
          <cell r="AA102">
            <v>0</v>
          </cell>
        </row>
        <row r="103">
          <cell r="F103">
            <v>0</v>
          </cell>
          <cell r="G103">
            <v>5.8810000000000004E-4</v>
          </cell>
          <cell r="H103">
            <v>1.8239999999999999E-4</v>
          </cell>
          <cell r="I103">
            <v>4.2199999999999996E-5</v>
          </cell>
          <cell r="J103">
            <v>7.2870000000000009E-4</v>
          </cell>
          <cell r="K103">
            <v>4.4100000000000001E-5</v>
          </cell>
          <cell r="L103">
            <v>7.86E-5</v>
          </cell>
          <cell r="M103">
            <v>4.3300000000000002E-5</v>
          </cell>
          <cell r="N103">
            <v>1.98E-5</v>
          </cell>
          <cell r="O103">
            <v>4.21E-5</v>
          </cell>
          <cell r="P103">
            <v>2.3988E-3</v>
          </cell>
          <cell r="Q103">
            <v>7.2870000000000009E-4</v>
          </cell>
          <cell r="R103">
            <v>1.473E-4</v>
          </cell>
          <cell r="S103">
            <v>1.66E-5</v>
          </cell>
          <cell r="T103">
            <v>3.68E-5</v>
          </cell>
          <cell r="U103">
            <v>1.5890000000000001E-4</v>
          </cell>
          <cell r="V103">
            <v>1.0900000000000001E-5</v>
          </cell>
          <cell r="W103">
            <v>1.8700000000000001E-5</v>
          </cell>
          <cell r="X103">
            <v>2.9520000000000002E-4</v>
          </cell>
          <cell r="Y103">
            <v>0</v>
          </cell>
          <cell r="Z103">
            <v>0</v>
          </cell>
          <cell r="AA103">
            <v>0</v>
          </cell>
        </row>
        <row r="104">
          <cell r="F104">
            <v>0</v>
          </cell>
          <cell r="G104">
            <v>5.8810000000000004E-4</v>
          </cell>
          <cell r="H104">
            <v>1.8239999999999999E-4</v>
          </cell>
          <cell r="I104">
            <v>4.2199999999999996E-5</v>
          </cell>
          <cell r="J104">
            <v>7.2870000000000009E-4</v>
          </cell>
          <cell r="K104">
            <v>4.4100000000000001E-5</v>
          </cell>
          <cell r="L104">
            <v>7.86E-5</v>
          </cell>
          <cell r="M104">
            <v>4.3300000000000002E-5</v>
          </cell>
          <cell r="N104">
            <v>1.98E-5</v>
          </cell>
          <cell r="O104">
            <v>4.21E-5</v>
          </cell>
          <cell r="P104">
            <v>2.3988E-3</v>
          </cell>
          <cell r="Q104">
            <v>7.2870000000000009E-4</v>
          </cell>
          <cell r="R104">
            <v>1.473E-4</v>
          </cell>
          <cell r="S104">
            <v>1.66E-5</v>
          </cell>
          <cell r="T104">
            <v>3.68E-5</v>
          </cell>
          <cell r="U104">
            <v>1.5890000000000001E-4</v>
          </cell>
          <cell r="V104">
            <v>1.0900000000000001E-5</v>
          </cell>
          <cell r="W104">
            <v>1.8700000000000001E-5</v>
          </cell>
          <cell r="X104">
            <v>2.9520000000000002E-4</v>
          </cell>
          <cell r="Y104">
            <v>0</v>
          </cell>
          <cell r="Z104">
            <v>0</v>
          </cell>
          <cell r="AA104">
            <v>0</v>
          </cell>
        </row>
        <row r="105">
          <cell r="F105">
            <v>0</v>
          </cell>
          <cell r="G105">
            <v>5.8810000000000004E-4</v>
          </cell>
          <cell r="H105">
            <v>1.8239999999999999E-4</v>
          </cell>
          <cell r="I105">
            <v>4.2199999999999996E-5</v>
          </cell>
          <cell r="J105">
            <v>7.2870000000000009E-4</v>
          </cell>
          <cell r="K105">
            <v>4.4100000000000001E-5</v>
          </cell>
          <cell r="L105">
            <v>7.86E-5</v>
          </cell>
          <cell r="M105">
            <v>4.3300000000000002E-5</v>
          </cell>
          <cell r="N105">
            <v>1.98E-5</v>
          </cell>
          <cell r="O105">
            <v>4.21E-5</v>
          </cell>
          <cell r="P105">
            <v>2.3988E-3</v>
          </cell>
          <cell r="Q105">
            <v>7.2870000000000009E-4</v>
          </cell>
          <cell r="R105">
            <v>1.473E-4</v>
          </cell>
          <cell r="S105">
            <v>1.66E-5</v>
          </cell>
          <cell r="T105">
            <v>3.68E-5</v>
          </cell>
          <cell r="U105">
            <v>1.5890000000000001E-4</v>
          </cell>
          <cell r="V105">
            <v>1.0900000000000001E-5</v>
          </cell>
          <cell r="W105">
            <v>1.8700000000000001E-5</v>
          </cell>
          <cell r="X105">
            <v>2.9520000000000002E-4</v>
          </cell>
          <cell r="Y105">
            <v>0</v>
          </cell>
          <cell r="Z105">
            <v>0</v>
          </cell>
          <cell r="AA105">
            <v>0</v>
          </cell>
        </row>
        <row r="106">
          <cell r="F106">
            <v>0</v>
          </cell>
          <cell r="G106">
            <v>7.5359999999999999E-4</v>
          </cell>
          <cell r="H106">
            <v>1.942E-4</v>
          </cell>
          <cell r="I106">
            <v>3.2999999999999996E-5</v>
          </cell>
          <cell r="J106">
            <v>7.4370000000000003E-4</v>
          </cell>
          <cell r="K106">
            <v>4.3899999999999996E-5</v>
          </cell>
          <cell r="L106">
            <v>8.1699999999999994E-5</v>
          </cell>
          <cell r="M106">
            <v>4.6100000000000002E-5</v>
          </cell>
          <cell r="N106">
            <v>1.84E-5</v>
          </cell>
          <cell r="O106">
            <v>3.3200000000000001E-5</v>
          </cell>
          <cell r="P106">
            <v>1.4749000000000001E-3</v>
          </cell>
          <cell r="Q106">
            <v>7.4370000000000003E-4</v>
          </cell>
          <cell r="R106">
            <v>1.7210000000000001E-4</v>
          </cell>
          <cell r="S106">
            <v>2.0800000000000001E-5</v>
          </cell>
          <cell r="T106">
            <v>3.3599999999999997E-5</v>
          </cell>
          <cell r="U106">
            <v>2.2899999999999998E-4</v>
          </cell>
          <cell r="V106">
            <v>1.0500000000000001E-5</v>
          </cell>
          <cell r="W106">
            <v>2.23E-5</v>
          </cell>
          <cell r="X106">
            <v>3.6030000000000003E-4</v>
          </cell>
          <cell r="Y106">
            <v>0</v>
          </cell>
          <cell r="Z106">
            <v>0</v>
          </cell>
          <cell r="AA106">
            <v>0</v>
          </cell>
        </row>
        <row r="107">
          <cell r="F107">
            <v>0</v>
          </cell>
          <cell r="G107">
            <v>7.5359999999999999E-4</v>
          </cell>
          <cell r="H107">
            <v>1.942E-4</v>
          </cell>
          <cell r="I107">
            <v>3.2999999999999996E-5</v>
          </cell>
          <cell r="J107">
            <v>7.4370000000000003E-4</v>
          </cell>
          <cell r="K107">
            <v>4.3899999999999996E-5</v>
          </cell>
          <cell r="L107">
            <v>8.1699999999999994E-5</v>
          </cell>
          <cell r="M107">
            <v>4.6100000000000002E-5</v>
          </cell>
          <cell r="N107">
            <v>1.84E-5</v>
          </cell>
          <cell r="O107">
            <v>3.3200000000000001E-5</v>
          </cell>
          <cell r="P107">
            <v>1.4749000000000001E-3</v>
          </cell>
          <cell r="Q107">
            <v>7.4370000000000003E-4</v>
          </cell>
          <cell r="R107">
            <v>1.7210000000000001E-4</v>
          </cell>
          <cell r="S107">
            <v>2.0800000000000001E-5</v>
          </cell>
          <cell r="T107">
            <v>3.3599999999999997E-5</v>
          </cell>
          <cell r="U107">
            <v>2.2899999999999998E-4</v>
          </cell>
          <cell r="V107">
            <v>1.0500000000000001E-5</v>
          </cell>
          <cell r="W107">
            <v>2.23E-5</v>
          </cell>
          <cell r="X107">
            <v>3.6030000000000003E-4</v>
          </cell>
          <cell r="Y107">
            <v>0</v>
          </cell>
          <cell r="Z107">
            <v>0</v>
          </cell>
          <cell r="AA107">
            <v>0</v>
          </cell>
        </row>
        <row r="108">
          <cell r="F108">
            <v>0</v>
          </cell>
          <cell r="G108">
            <v>7.5359999999999999E-4</v>
          </cell>
          <cell r="H108">
            <v>1.942E-4</v>
          </cell>
          <cell r="I108">
            <v>3.2999999999999996E-5</v>
          </cell>
          <cell r="J108">
            <v>7.4370000000000003E-4</v>
          </cell>
          <cell r="K108">
            <v>4.3899999999999996E-5</v>
          </cell>
          <cell r="L108">
            <v>8.1699999999999994E-5</v>
          </cell>
          <cell r="M108">
            <v>4.6100000000000002E-5</v>
          </cell>
          <cell r="N108">
            <v>1.84E-5</v>
          </cell>
          <cell r="O108">
            <v>3.3200000000000001E-5</v>
          </cell>
          <cell r="P108">
            <v>1.4749000000000001E-3</v>
          </cell>
          <cell r="Q108">
            <v>7.4370000000000003E-4</v>
          </cell>
          <cell r="R108">
            <v>1.7210000000000001E-4</v>
          </cell>
          <cell r="S108">
            <v>2.0800000000000001E-5</v>
          </cell>
          <cell r="T108">
            <v>3.3599999999999997E-5</v>
          </cell>
          <cell r="U108">
            <v>2.2899999999999998E-4</v>
          </cell>
          <cell r="V108">
            <v>1.0500000000000001E-5</v>
          </cell>
          <cell r="W108">
            <v>2.23E-5</v>
          </cell>
          <cell r="X108">
            <v>3.6030000000000003E-4</v>
          </cell>
          <cell r="Y108">
            <v>0</v>
          </cell>
          <cell r="Z108">
            <v>0</v>
          </cell>
          <cell r="AA108">
            <v>0</v>
          </cell>
        </row>
        <row r="109">
          <cell r="F109">
            <v>0</v>
          </cell>
          <cell r="G109">
            <v>7.5359999999999999E-4</v>
          </cell>
          <cell r="H109">
            <v>1.942E-4</v>
          </cell>
          <cell r="I109">
            <v>3.2999999999999996E-5</v>
          </cell>
          <cell r="J109">
            <v>7.4370000000000003E-4</v>
          </cell>
          <cell r="K109">
            <v>4.3899999999999996E-5</v>
          </cell>
          <cell r="L109">
            <v>8.1699999999999994E-5</v>
          </cell>
          <cell r="M109">
            <v>4.6100000000000002E-5</v>
          </cell>
          <cell r="N109">
            <v>1.84E-5</v>
          </cell>
          <cell r="O109">
            <v>3.3200000000000001E-5</v>
          </cell>
          <cell r="P109">
            <v>1.4749000000000001E-3</v>
          </cell>
          <cell r="Q109">
            <v>7.4370000000000003E-4</v>
          </cell>
          <cell r="R109">
            <v>1.7210000000000001E-4</v>
          </cell>
          <cell r="S109">
            <v>2.0800000000000001E-5</v>
          </cell>
          <cell r="T109">
            <v>3.3599999999999997E-5</v>
          </cell>
          <cell r="U109">
            <v>2.2899999999999998E-4</v>
          </cell>
          <cell r="V109">
            <v>1.0500000000000001E-5</v>
          </cell>
          <cell r="W109">
            <v>2.23E-5</v>
          </cell>
          <cell r="X109">
            <v>3.6030000000000003E-4</v>
          </cell>
          <cell r="Y109">
            <v>0</v>
          </cell>
          <cell r="Z109">
            <v>0</v>
          </cell>
          <cell r="AA109">
            <v>0</v>
          </cell>
        </row>
        <row r="110">
          <cell r="F110">
            <v>0</v>
          </cell>
          <cell r="G110">
            <v>7.5359999999999999E-4</v>
          </cell>
          <cell r="H110">
            <v>1.942E-4</v>
          </cell>
          <cell r="I110">
            <v>3.2999999999999996E-5</v>
          </cell>
          <cell r="J110">
            <v>7.4370000000000003E-4</v>
          </cell>
          <cell r="K110">
            <v>4.3899999999999996E-5</v>
          </cell>
          <cell r="L110">
            <v>8.1699999999999994E-5</v>
          </cell>
          <cell r="M110">
            <v>4.6100000000000002E-5</v>
          </cell>
          <cell r="N110">
            <v>1.84E-5</v>
          </cell>
          <cell r="O110">
            <v>3.3200000000000001E-5</v>
          </cell>
          <cell r="P110">
            <v>1.4749000000000001E-3</v>
          </cell>
          <cell r="Q110">
            <v>7.4370000000000003E-4</v>
          </cell>
          <cell r="R110">
            <v>1.7210000000000001E-4</v>
          </cell>
          <cell r="S110">
            <v>2.0800000000000001E-5</v>
          </cell>
          <cell r="T110">
            <v>3.3599999999999997E-5</v>
          </cell>
          <cell r="U110">
            <v>2.2899999999999998E-4</v>
          </cell>
          <cell r="V110">
            <v>1.0500000000000001E-5</v>
          </cell>
          <cell r="W110">
            <v>2.23E-5</v>
          </cell>
          <cell r="X110">
            <v>3.6030000000000003E-4</v>
          </cell>
          <cell r="Y110">
            <v>0</v>
          </cell>
          <cell r="Z110">
            <v>0</v>
          </cell>
          <cell r="AA110">
            <v>0</v>
          </cell>
        </row>
        <row r="111">
          <cell r="F111">
            <v>0</v>
          </cell>
          <cell r="G111">
            <v>9.4999999999999988E-6</v>
          </cell>
          <cell r="H111">
            <v>1.382E-4</v>
          </cell>
          <cell r="I111">
            <v>1.6699999999999999E-5</v>
          </cell>
          <cell r="J111">
            <v>6.9900000000000008E-4</v>
          </cell>
          <cell r="K111">
            <v>3.0499999999999999E-5</v>
          </cell>
          <cell r="L111">
            <v>7.9200000000000001E-5</v>
          </cell>
          <cell r="M111">
            <v>3.3500000000000001E-5</v>
          </cell>
          <cell r="N111">
            <v>1.49E-5</v>
          </cell>
          <cell r="O111">
            <v>2.4300000000000001E-5</v>
          </cell>
          <cell r="P111">
            <v>6.8050000000000001E-4</v>
          </cell>
          <cell r="Q111">
            <v>6.9900000000000008E-4</v>
          </cell>
          <cell r="R111">
            <v>1.641E-4</v>
          </cell>
          <cell r="S111">
            <v>1.8600000000000001E-5</v>
          </cell>
          <cell r="T111">
            <v>2.7000000000000002E-5</v>
          </cell>
          <cell r="U111">
            <v>2.901E-4</v>
          </cell>
          <cell r="V111">
            <v>9.4999999999999988E-6</v>
          </cell>
          <cell r="W111">
            <v>1.8500000000000002E-5</v>
          </cell>
          <cell r="X111">
            <v>4.0920000000000003E-4</v>
          </cell>
          <cell r="Y111">
            <v>0</v>
          </cell>
          <cell r="Z111">
            <v>0</v>
          </cell>
          <cell r="AA111">
            <v>0</v>
          </cell>
        </row>
        <row r="112">
          <cell r="F112">
            <v>0</v>
          </cell>
          <cell r="G112">
            <v>9.4999999999999988E-6</v>
          </cell>
          <cell r="H112">
            <v>1.382E-4</v>
          </cell>
          <cell r="I112">
            <v>1.6699999999999999E-5</v>
          </cell>
          <cell r="J112">
            <v>6.9900000000000008E-4</v>
          </cell>
          <cell r="K112">
            <v>3.0499999999999999E-5</v>
          </cell>
          <cell r="L112">
            <v>7.9200000000000001E-5</v>
          </cell>
          <cell r="M112">
            <v>3.3500000000000001E-5</v>
          </cell>
          <cell r="N112">
            <v>1.49E-5</v>
          </cell>
          <cell r="O112">
            <v>2.4300000000000001E-5</v>
          </cell>
          <cell r="P112">
            <v>6.8050000000000001E-4</v>
          </cell>
          <cell r="Q112">
            <v>6.9900000000000008E-4</v>
          </cell>
          <cell r="R112">
            <v>1.641E-4</v>
          </cell>
          <cell r="S112">
            <v>1.8600000000000001E-5</v>
          </cell>
          <cell r="T112">
            <v>2.7000000000000002E-5</v>
          </cell>
          <cell r="U112">
            <v>2.901E-4</v>
          </cell>
          <cell r="V112">
            <v>9.4999999999999988E-6</v>
          </cell>
          <cell r="W112">
            <v>1.8500000000000002E-5</v>
          </cell>
          <cell r="X112">
            <v>4.0920000000000003E-4</v>
          </cell>
          <cell r="Y112">
            <v>0</v>
          </cell>
          <cell r="Z112">
            <v>0</v>
          </cell>
          <cell r="AA112">
            <v>0</v>
          </cell>
        </row>
        <row r="113">
          <cell r="F113">
            <v>0</v>
          </cell>
          <cell r="G113">
            <v>9.4999999999999988E-6</v>
          </cell>
          <cell r="H113">
            <v>1.382E-4</v>
          </cell>
          <cell r="I113">
            <v>1.6699999999999999E-5</v>
          </cell>
          <cell r="J113">
            <v>6.9900000000000008E-4</v>
          </cell>
          <cell r="K113">
            <v>3.0499999999999999E-5</v>
          </cell>
          <cell r="L113">
            <v>7.9200000000000001E-5</v>
          </cell>
          <cell r="M113">
            <v>3.3500000000000001E-5</v>
          </cell>
          <cell r="N113">
            <v>1.49E-5</v>
          </cell>
          <cell r="O113">
            <v>2.4300000000000001E-5</v>
          </cell>
          <cell r="P113">
            <v>6.8050000000000001E-4</v>
          </cell>
          <cell r="Q113">
            <v>6.9900000000000008E-4</v>
          </cell>
          <cell r="R113">
            <v>1.641E-4</v>
          </cell>
          <cell r="S113">
            <v>1.8600000000000001E-5</v>
          </cell>
          <cell r="T113">
            <v>2.7000000000000002E-5</v>
          </cell>
          <cell r="U113">
            <v>2.901E-4</v>
          </cell>
          <cell r="V113">
            <v>9.4999999999999988E-6</v>
          </cell>
          <cell r="W113">
            <v>1.8500000000000002E-5</v>
          </cell>
          <cell r="X113">
            <v>4.0920000000000003E-4</v>
          </cell>
          <cell r="Y113">
            <v>0</v>
          </cell>
          <cell r="Z113">
            <v>0</v>
          </cell>
          <cell r="AA113">
            <v>0</v>
          </cell>
        </row>
        <row r="114">
          <cell r="F114">
            <v>0</v>
          </cell>
          <cell r="G114">
            <v>9.4999999999999988E-6</v>
          </cell>
          <cell r="H114">
            <v>1.382E-4</v>
          </cell>
          <cell r="I114">
            <v>1.6699999999999999E-5</v>
          </cell>
          <cell r="J114">
            <v>6.9900000000000008E-4</v>
          </cell>
          <cell r="K114">
            <v>3.0499999999999999E-5</v>
          </cell>
          <cell r="L114">
            <v>7.9200000000000001E-5</v>
          </cell>
          <cell r="M114">
            <v>3.3500000000000001E-5</v>
          </cell>
          <cell r="N114">
            <v>1.49E-5</v>
          </cell>
          <cell r="O114">
            <v>2.4300000000000001E-5</v>
          </cell>
          <cell r="P114">
            <v>6.8050000000000001E-4</v>
          </cell>
          <cell r="Q114">
            <v>6.9900000000000008E-4</v>
          </cell>
          <cell r="R114">
            <v>1.641E-4</v>
          </cell>
          <cell r="S114">
            <v>1.8600000000000001E-5</v>
          </cell>
          <cell r="T114">
            <v>2.7000000000000002E-5</v>
          </cell>
          <cell r="U114">
            <v>2.901E-4</v>
          </cell>
          <cell r="V114">
            <v>9.4999999999999988E-6</v>
          </cell>
          <cell r="W114">
            <v>1.8500000000000002E-5</v>
          </cell>
          <cell r="X114">
            <v>4.0920000000000003E-4</v>
          </cell>
          <cell r="Y114">
            <v>0</v>
          </cell>
          <cell r="Z114">
            <v>0</v>
          </cell>
          <cell r="AA114">
            <v>0</v>
          </cell>
        </row>
        <row r="115">
          <cell r="F115">
            <v>0</v>
          </cell>
          <cell r="G115">
            <v>9.4999999999999988E-6</v>
          </cell>
          <cell r="H115">
            <v>1.382E-4</v>
          </cell>
          <cell r="I115">
            <v>1.6699999999999999E-5</v>
          </cell>
          <cell r="J115">
            <v>6.9900000000000008E-4</v>
          </cell>
          <cell r="K115">
            <v>3.0499999999999999E-5</v>
          </cell>
          <cell r="L115">
            <v>7.9200000000000001E-5</v>
          </cell>
          <cell r="M115">
            <v>3.3500000000000001E-5</v>
          </cell>
          <cell r="N115">
            <v>1.49E-5</v>
          </cell>
          <cell r="O115">
            <v>2.4300000000000001E-5</v>
          </cell>
          <cell r="P115">
            <v>6.8050000000000001E-4</v>
          </cell>
          <cell r="Q115">
            <v>6.9900000000000008E-4</v>
          </cell>
          <cell r="R115">
            <v>1.641E-4</v>
          </cell>
          <cell r="S115">
            <v>1.8600000000000001E-5</v>
          </cell>
          <cell r="T115">
            <v>2.7000000000000002E-5</v>
          </cell>
          <cell r="U115">
            <v>2.901E-4</v>
          </cell>
          <cell r="V115">
            <v>9.4999999999999988E-6</v>
          </cell>
          <cell r="W115">
            <v>1.8500000000000002E-5</v>
          </cell>
          <cell r="X115">
            <v>4.0920000000000003E-4</v>
          </cell>
          <cell r="Y115">
            <v>0</v>
          </cell>
          <cell r="Z115">
            <v>0</v>
          </cell>
          <cell r="AA115">
            <v>0</v>
          </cell>
        </row>
        <row r="116">
          <cell r="F116">
            <v>0</v>
          </cell>
          <cell r="G116">
            <v>9.4999999999999988E-6</v>
          </cell>
          <cell r="H116">
            <v>1.382E-4</v>
          </cell>
          <cell r="I116">
            <v>1.6699999999999999E-5</v>
          </cell>
          <cell r="J116">
            <v>6.9900000000000008E-4</v>
          </cell>
          <cell r="K116">
            <v>3.0499999999999999E-5</v>
          </cell>
          <cell r="L116">
            <v>7.9200000000000001E-5</v>
          </cell>
          <cell r="M116">
            <v>3.3500000000000001E-5</v>
          </cell>
          <cell r="N116">
            <v>1.49E-5</v>
          </cell>
          <cell r="O116">
            <v>2.4300000000000001E-5</v>
          </cell>
          <cell r="P116">
            <v>6.8050000000000001E-4</v>
          </cell>
          <cell r="Q116">
            <v>6.9900000000000008E-4</v>
          </cell>
          <cell r="R116">
            <v>1.641E-4</v>
          </cell>
          <cell r="S116">
            <v>1.8600000000000001E-5</v>
          </cell>
          <cell r="T116">
            <v>2.7000000000000002E-5</v>
          </cell>
          <cell r="U116">
            <v>2.901E-4</v>
          </cell>
          <cell r="V116">
            <v>9.4999999999999988E-6</v>
          </cell>
          <cell r="W116">
            <v>1.8500000000000002E-5</v>
          </cell>
          <cell r="X116">
            <v>4.0920000000000003E-4</v>
          </cell>
          <cell r="Y116">
            <v>0</v>
          </cell>
          <cell r="Z116">
            <v>0</v>
          </cell>
          <cell r="AA116">
            <v>0</v>
          </cell>
        </row>
        <row r="117">
          <cell r="F117">
            <v>0</v>
          </cell>
          <cell r="G117">
            <v>9.4999999999999988E-6</v>
          </cell>
          <cell r="H117">
            <v>1.382E-4</v>
          </cell>
          <cell r="I117">
            <v>1.6699999999999999E-5</v>
          </cell>
          <cell r="J117">
            <v>6.9900000000000008E-4</v>
          </cell>
          <cell r="K117">
            <v>3.0499999999999999E-5</v>
          </cell>
          <cell r="L117">
            <v>7.9200000000000001E-5</v>
          </cell>
          <cell r="M117">
            <v>3.3500000000000001E-5</v>
          </cell>
          <cell r="N117">
            <v>1.49E-5</v>
          </cell>
          <cell r="O117">
            <v>2.4300000000000001E-5</v>
          </cell>
          <cell r="P117">
            <v>6.8050000000000001E-4</v>
          </cell>
          <cell r="Q117">
            <v>6.9900000000000008E-4</v>
          </cell>
          <cell r="R117">
            <v>1.641E-4</v>
          </cell>
          <cell r="S117">
            <v>1.8600000000000001E-5</v>
          </cell>
          <cell r="T117">
            <v>2.7000000000000002E-5</v>
          </cell>
          <cell r="U117">
            <v>2.901E-4</v>
          </cell>
          <cell r="V117">
            <v>9.4999999999999988E-6</v>
          </cell>
          <cell r="W117">
            <v>1.8500000000000002E-5</v>
          </cell>
          <cell r="X117">
            <v>4.0920000000000003E-4</v>
          </cell>
          <cell r="Y117">
            <v>0</v>
          </cell>
          <cell r="Z117">
            <v>0</v>
          </cell>
          <cell r="AA117">
            <v>0</v>
          </cell>
        </row>
        <row r="118">
          <cell r="F118">
            <v>0</v>
          </cell>
          <cell r="G118">
            <v>9.4999999999999988E-6</v>
          </cell>
          <cell r="H118">
            <v>1.382E-4</v>
          </cell>
          <cell r="I118">
            <v>1.6699999999999999E-5</v>
          </cell>
          <cell r="J118">
            <v>6.9900000000000008E-4</v>
          </cell>
          <cell r="K118">
            <v>3.0499999999999999E-5</v>
          </cell>
          <cell r="L118">
            <v>7.9200000000000001E-5</v>
          </cell>
          <cell r="M118">
            <v>3.3500000000000001E-5</v>
          </cell>
          <cell r="N118">
            <v>1.49E-5</v>
          </cell>
          <cell r="O118">
            <v>2.4300000000000001E-5</v>
          </cell>
          <cell r="P118">
            <v>6.8050000000000001E-4</v>
          </cell>
          <cell r="Q118">
            <v>6.9900000000000008E-4</v>
          </cell>
          <cell r="R118">
            <v>1.641E-4</v>
          </cell>
          <cell r="S118">
            <v>1.8600000000000001E-5</v>
          </cell>
          <cell r="T118">
            <v>2.7000000000000002E-5</v>
          </cell>
          <cell r="U118">
            <v>2.901E-4</v>
          </cell>
          <cell r="V118">
            <v>9.4999999999999988E-6</v>
          </cell>
          <cell r="W118">
            <v>1.8500000000000002E-5</v>
          </cell>
          <cell r="X118">
            <v>4.0920000000000003E-4</v>
          </cell>
          <cell r="Y118">
            <v>0</v>
          </cell>
          <cell r="Z118">
            <v>0</v>
          </cell>
          <cell r="AA118">
            <v>0</v>
          </cell>
        </row>
        <row r="119">
          <cell r="F119">
            <v>0</v>
          </cell>
          <cell r="G119">
            <v>9.4999999999999988E-6</v>
          </cell>
          <cell r="H119">
            <v>1.382E-4</v>
          </cell>
          <cell r="I119">
            <v>1.6699999999999999E-5</v>
          </cell>
          <cell r="J119">
            <v>6.9900000000000008E-4</v>
          </cell>
          <cell r="K119">
            <v>3.0499999999999999E-5</v>
          </cell>
          <cell r="L119">
            <v>7.9200000000000001E-5</v>
          </cell>
          <cell r="M119">
            <v>3.3500000000000001E-5</v>
          </cell>
          <cell r="N119">
            <v>1.49E-5</v>
          </cell>
          <cell r="O119">
            <v>2.4300000000000001E-5</v>
          </cell>
          <cell r="P119">
            <v>6.8050000000000001E-4</v>
          </cell>
          <cell r="Q119">
            <v>6.9900000000000008E-4</v>
          </cell>
          <cell r="R119">
            <v>1.641E-4</v>
          </cell>
          <cell r="S119">
            <v>1.8600000000000001E-5</v>
          </cell>
          <cell r="T119">
            <v>2.7000000000000002E-5</v>
          </cell>
          <cell r="U119">
            <v>2.901E-4</v>
          </cell>
          <cell r="V119">
            <v>9.4999999999999988E-6</v>
          </cell>
          <cell r="W119">
            <v>1.8500000000000002E-5</v>
          </cell>
          <cell r="X119">
            <v>4.0920000000000003E-4</v>
          </cell>
          <cell r="Y119">
            <v>0</v>
          </cell>
          <cell r="Z119">
            <v>0</v>
          </cell>
          <cell r="AA119">
            <v>0</v>
          </cell>
        </row>
        <row r="120">
          <cell r="F120">
            <v>0</v>
          </cell>
          <cell r="G120">
            <v>9.4999999999999988E-6</v>
          </cell>
          <cell r="H120">
            <v>1.382E-4</v>
          </cell>
          <cell r="I120">
            <v>1.6699999999999999E-5</v>
          </cell>
          <cell r="J120">
            <v>6.9900000000000008E-4</v>
          </cell>
          <cell r="K120">
            <v>3.0499999999999999E-5</v>
          </cell>
          <cell r="L120">
            <v>7.9200000000000001E-5</v>
          </cell>
          <cell r="M120">
            <v>3.3500000000000001E-5</v>
          </cell>
          <cell r="N120">
            <v>1.49E-5</v>
          </cell>
          <cell r="O120">
            <v>2.4300000000000001E-5</v>
          </cell>
          <cell r="P120">
            <v>6.8050000000000001E-4</v>
          </cell>
          <cell r="Q120">
            <v>6.9900000000000008E-4</v>
          </cell>
          <cell r="R120">
            <v>1.641E-4</v>
          </cell>
          <cell r="S120">
            <v>1.8600000000000001E-5</v>
          </cell>
          <cell r="T120">
            <v>2.7000000000000002E-5</v>
          </cell>
          <cell r="U120">
            <v>2.901E-4</v>
          </cell>
          <cell r="V120">
            <v>9.4999999999999988E-6</v>
          </cell>
          <cell r="W120">
            <v>1.8500000000000002E-5</v>
          </cell>
          <cell r="X120">
            <v>4.0920000000000003E-4</v>
          </cell>
          <cell r="Y120">
            <v>0</v>
          </cell>
          <cell r="Z120">
            <v>0</v>
          </cell>
          <cell r="AA120">
            <v>0</v>
          </cell>
        </row>
        <row r="121">
          <cell r="F121">
            <v>0</v>
          </cell>
          <cell r="G121">
            <v>9.4999999999999988E-6</v>
          </cell>
          <cell r="H121">
            <v>1.382E-4</v>
          </cell>
          <cell r="I121">
            <v>1.6699999999999999E-5</v>
          </cell>
          <cell r="J121">
            <v>6.9900000000000008E-4</v>
          </cell>
          <cell r="K121">
            <v>3.0499999999999999E-5</v>
          </cell>
          <cell r="L121">
            <v>7.9200000000000001E-5</v>
          </cell>
          <cell r="M121">
            <v>3.3500000000000001E-5</v>
          </cell>
          <cell r="N121">
            <v>1.49E-5</v>
          </cell>
          <cell r="O121">
            <v>2.4300000000000001E-5</v>
          </cell>
          <cell r="P121">
            <v>6.8050000000000001E-4</v>
          </cell>
          <cell r="Q121">
            <v>6.9900000000000008E-4</v>
          </cell>
          <cell r="R121">
            <v>1.641E-4</v>
          </cell>
          <cell r="S121">
            <v>1.8600000000000001E-5</v>
          </cell>
          <cell r="T121">
            <v>2.7000000000000002E-5</v>
          </cell>
          <cell r="U121">
            <v>2.901E-4</v>
          </cell>
          <cell r="V121">
            <v>9.4999999999999988E-6</v>
          </cell>
          <cell r="W121">
            <v>1.8500000000000002E-5</v>
          </cell>
          <cell r="X121">
            <v>4.0920000000000003E-4</v>
          </cell>
          <cell r="Y121">
            <v>0</v>
          </cell>
          <cell r="Z121">
            <v>0</v>
          </cell>
          <cell r="AA121">
            <v>0</v>
          </cell>
        </row>
        <row r="122">
          <cell r="F122">
            <v>0</v>
          </cell>
          <cell r="G122">
            <v>9.4999999999999988E-6</v>
          </cell>
          <cell r="H122">
            <v>1.382E-4</v>
          </cell>
          <cell r="I122">
            <v>1.6699999999999999E-5</v>
          </cell>
          <cell r="J122">
            <v>6.9900000000000008E-4</v>
          </cell>
          <cell r="K122">
            <v>3.0499999999999999E-5</v>
          </cell>
          <cell r="L122">
            <v>7.9200000000000001E-5</v>
          </cell>
          <cell r="M122">
            <v>3.3500000000000001E-5</v>
          </cell>
          <cell r="N122">
            <v>1.49E-5</v>
          </cell>
          <cell r="O122">
            <v>2.4300000000000001E-5</v>
          </cell>
          <cell r="P122">
            <v>6.8050000000000001E-4</v>
          </cell>
          <cell r="Q122">
            <v>6.9900000000000008E-4</v>
          </cell>
          <cell r="R122">
            <v>1.641E-4</v>
          </cell>
          <cell r="S122">
            <v>1.8600000000000001E-5</v>
          </cell>
          <cell r="T122">
            <v>2.7000000000000002E-5</v>
          </cell>
          <cell r="U122">
            <v>2.901E-4</v>
          </cell>
          <cell r="V122">
            <v>9.4999999999999988E-6</v>
          </cell>
          <cell r="W122">
            <v>1.8500000000000002E-5</v>
          </cell>
          <cell r="X122">
            <v>4.0920000000000003E-4</v>
          </cell>
          <cell r="Y122">
            <v>0</v>
          </cell>
          <cell r="Z122">
            <v>0</v>
          </cell>
          <cell r="AA122">
            <v>0</v>
          </cell>
        </row>
        <row r="123">
          <cell r="F123">
            <v>0</v>
          </cell>
          <cell r="G123">
            <v>9.4999999999999988E-6</v>
          </cell>
          <cell r="H123">
            <v>1.382E-4</v>
          </cell>
          <cell r="I123">
            <v>1.6699999999999999E-5</v>
          </cell>
          <cell r="J123">
            <v>6.9900000000000008E-4</v>
          </cell>
          <cell r="K123">
            <v>3.0499999999999999E-5</v>
          </cell>
          <cell r="L123">
            <v>7.9200000000000001E-5</v>
          </cell>
          <cell r="M123">
            <v>3.3500000000000001E-5</v>
          </cell>
          <cell r="N123">
            <v>1.49E-5</v>
          </cell>
          <cell r="O123">
            <v>2.4300000000000001E-5</v>
          </cell>
          <cell r="P123">
            <v>6.8050000000000001E-4</v>
          </cell>
          <cell r="Q123">
            <v>6.9900000000000008E-4</v>
          </cell>
          <cell r="R123">
            <v>1.641E-4</v>
          </cell>
          <cell r="S123">
            <v>1.8600000000000001E-5</v>
          </cell>
          <cell r="T123">
            <v>2.7000000000000002E-5</v>
          </cell>
          <cell r="U123">
            <v>2.901E-4</v>
          </cell>
          <cell r="V123">
            <v>9.4999999999999988E-6</v>
          </cell>
          <cell r="W123">
            <v>1.8500000000000002E-5</v>
          </cell>
          <cell r="X123">
            <v>4.0920000000000003E-4</v>
          </cell>
          <cell r="Y123">
            <v>0</v>
          </cell>
          <cell r="Z123">
            <v>0</v>
          </cell>
          <cell r="AA123">
            <v>0</v>
          </cell>
        </row>
        <row r="124">
          <cell r="F124">
            <v>0</v>
          </cell>
          <cell r="G124">
            <v>9.4999999999999988E-6</v>
          </cell>
          <cell r="H124">
            <v>1.382E-4</v>
          </cell>
          <cell r="I124">
            <v>1.6699999999999999E-5</v>
          </cell>
          <cell r="J124">
            <v>6.9900000000000008E-4</v>
          </cell>
          <cell r="K124">
            <v>3.0499999999999999E-5</v>
          </cell>
          <cell r="L124">
            <v>7.9200000000000001E-5</v>
          </cell>
          <cell r="M124">
            <v>3.3500000000000001E-5</v>
          </cell>
          <cell r="N124">
            <v>1.49E-5</v>
          </cell>
          <cell r="O124">
            <v>2.4300000000000001E-5</v>
          </cell>
          <cell r="P124">
            <v>6.8050000000000001E-4</v>
          </cell>
          <cell r="Q124">
            <v>6.9900000000000008E-4</v>
          </cell>
          <cell r="R124">
            <v>1.641E-4</v>
          </cell>
          <cell r="S124">
            <v>1.8600000000000001E-5</v>
          </cell>
          <cell r="T124">
            <v>2.7000000000000002E-5</v>
          </cell>
          <cell r="U124">
            <v>2.901E-4</v>
          </cell>
          <cell r="V124">
            <v>9.4999999999999988E-6</v>
          </cell>
          <cell r="W124">
            <v>1.8500000000000002E-5</v>
          </cell>
          <cell r="X124">
            <v>4.0920000000000003E-4</v>
          </cell>
          <cell r="Y124">
            <v>0</v>
          </cell>
          <cell r="Z124">
            <v>0</v>
          </cell>
          <cell r="AA124">
            <v>0</v>
          </cell>
        </row>
        <row r="125">
          <cell r="F125">
            <v>0</v>
          </cell>
          <cell r="G125">
            <v>9.4999999999999988E-6</v>
          </cell>
          <cell r="H125">
            <v>1.382E-4</v>
          </cell>
          <cell r="I125">
            <v>1.6699999999999999E-5</v>
          </cell>
          <cell r="J125">
            <v>6.9900000000000008E-4</v>
          </cell>
          <cell r="K125">
            <v>3.0499999999999999E-5</v>
          </cell>
          <cell r="L125">
            <v>7.9200000000000001E-5</v>
          </cell>
          <cell r="M125">
            <v>3.3500000000000001E-5</v>
          </cell>
          <cell r="N125">
            <v>1.49E-5</v>
          </cell>
          <cell r="O125">
            <v>2.4300000000000001E-5</v>
          </cell>
          <cell r="P125">
            <v>6.8050000000000001E-4</v>
          </cell>
          <cell r="Q125">
            <v>6.9900000000000008E-4</v>
          </cell>
          <cell r="R125">
            <v>1.641E-4</v>
          </cell>
          <cell r="S125">
            <v>1.8600000000000001E-5</v>
          </cell>
          <cell r="T125">
            <v>2.7000000000000002E-5</v>
          </cell>
          <cell r="U125">
            <v>2.901E-4</v>
          </cell>
          <cell r="V125">
            <v>9.4999999999999988E-6</v>
          </cell>
          <cell r="W125">
            <v>1.8500000000000002E-5</v>
          </cell>
          <cell r="X125">
            <v>4.0920000000000003E-4</v>
          </cell>
          <cell r="Y125">
            <v>0</v>
          </cell>
          <cell r="Z125">
            <v>0</v>
          </cell>
          <cell r="AA125">
            <v>0</v>
          </cell>
        </row>
        <row r="126">
          <cell r="F126">
            <v>0</v>
          </cell>
          <cell r="G126">
            <v>9.4999999999999988E-6</v>
          </cell>
          <cell r="H126">
            <v>1.382E-4</v>
          </cell>
          <cell r="I126">
            <v>1.6699999999999999E-5</v>
          </cell>
          <cell r="J126">
            <v>6.9900000000000008E-4</v>
          </cell>
          <cell r="K126">
            <v>3.0499999999999999E-5</v>
          </cell>
          <cell r="L126">
            <v>7.9200000000000001E-5</v>
          </cell>
          <cell r="M126">
            <v>3.3500000000000001E-5</v>
          </cell>
          <cell r="N126">
            <v>1.49E-5</v>
          </cell>
          <cell r="O126">
            <v>2.4300000000000001E-5</v>
          </cell>
          <cell r="P126">
            <v>6.8050000000000001E-4</v>
          </cell>
          <cell r="Q126">
            <v>6.9900000000000008E-4</v>
          </cell>
          <cell r="R126">
            <v>1.641E-4</v>
          </cell>
          <cell r="S126">
            <v>1.8600000000000001E-5</v>
          </cell>
          <cell r="T126">
            <v>2.7000000000000002E-5</v>
          </cell>
          <cell r="U126">
            <v>2.901E-4</v>
          </cell>
          <cell r="V126">
            <v>9.4999999999999988E-6</v>
          </cell>
          <cell r="W126">
            <v>1.8500000000000002E-5</v>
          </cell>
          <cell r="X126">
            <v>4.0920000000000003E-4</v>
          </cell>
          <cell r="Y126">
            <v>0</v>
          </cell>
          <cell r="Z126">
            <v>0</v>
          </cell>
          <cell r="AA126">
            <v>0</v>
          </cell>
        </row>
        <row r="134">
          <cell r="F134">
            <v>0</v>
          </cell>
          <cell r="G134">
            <v>1.5700000000000002E-5</v>
          </cell>
          <cell r="H134">
            <v>9.5999999999999996E-6</v>
          </cell>
          <cell r="I134">
            <v>2.4500000000000003E-5</v>
          </cell>
          <cell r="J134">
            <v>1.416E-4</v>
          </cell>
          <cell r="K134">
            <v>9.7999999999999993E-6</v>
          </cell>
          <cell r="L134">
            <v>3.6199999999999999E-5</v>
          </cell>
          <cell r="M134">
            <v>7.7000000000000008E-6</v>
          </cell>
          <cell r="N134">
            <v>3.6099999999999997E-5</v>
          </cell>
          <cell r="O134">
            <v>2.5699999999999998E-5</v>
          </cell>
          <cell r="P134">
            <v>6.0999999999999999E-5</v>
          </cell>
          <cell r="Q134">
            <v>1.416E-4</v>
          </cell>
          <cell r="R134">
            <v>4.0899999999999998E-5</v>
          </cell>
          <cell r="S134">
            <v>1.01E-5</v>
          </cell>
          <cell r="T134">
            <v>2.6400000000000001E-5</v>
          </cell>
          <cell r="U134">
            <v>5.0000000000000004E-6</v>
          </cell>
          <cell r="V134">
            <v>1.5700000000000002E-5</v>
          </cell>
          <cell r="W134">
            <v>2.2000000000000001E-6</v>
          </cell>
          <cell r="X134">
            <v>9.1099999999999992E-5</v>
          </cell>
          <cell r="Y134">
            <v>0</v>
          </cell>
          <cell r="Z134">
            <v>0</v>
          </cell>
          <cell r="AA134">
            <v>0</v>
          </cell>
        </row>
        <row r="135">
          <cell r="F135">
            <v>0</v>
          </cell>
          <cell r="G135">
            <v>1.5700000000000002E-5</v>
          </cell>
          <cell r="H135">
            <v>9.5999999999999996E-6</v>
          </cell>
          <cell r="I135">
            <v>2.4500000000000003E-5</v>
          </cell>
          <cell r="J135">
            <v>1.416E-4</v>
          </cell>
          <cell r="K135">
            <v>9.7999999999999993E-6</v>
          </cell>
          <cell r="L135">
            <v>3.6199999999999999E-5</v>
          </cell>
          <cell r="M135">
            <v>7.7000000000000008E-6</v>
          </cell>
          <cell r="N135">
            <v>3.6099999999999997E-5</v>
          </cell>
          <cell r="O135">
            <v>2.5699999999999998E-5</v>
          </cell>
          <cell r="P135">
            <v>6.0999999999999999E-5</v>
          </cell>
          <cell r="Q135">
            <v>1.416E-4</v>
          </cell>
          <cell r="R135">
            <v>4.0899999999999998E-5</v>
          </cell>
          <cell r="S135">
            <v>1.01E-5</v>
          </cell>
          <cell r="T135">
            <v>2.6400000000000001E-5</v>
          </cell>
          <cell r="U135">
            <v>5.0000000000000004E-6</v>
          </cell>
          <cell r="V135">
            <v>1.5700000000000002E-5</v>
          </cell>
          <cell r="W135">
            <v>2.2000000000000001E-6</v>
          </cell>
          <cell r="X135">
            <v>9.1099999999999992E-5</v>
          </cell>
          <cell r="Y135">
            <v>0</v>
          </cell>
          <cell r="Z135">
            <v>0</v>
          </cell>
          <cell r="AA135">
            <v>0</v>
          </cell>
        </row>
        <row r="136">
          <cell r="F136">
            <v>0</v>
          </cell>
          <cell r="G136">
            <v>1.5700000000000002E-5</v>
          </cell>
          <cell r="H136">
            <v>9.5999999999999996E-6</v>
          </cell>
          <cell r="I136">
            <v>2.4500000000000003E-5</v>
          </cell>
          <cell r="J136">
            <v>1.416E-4</v>
          </cell>
          <cell r="K136">
            <v>9.7999999999999993E-6</v>
          </cell>
          <cell r="L136">
            <v>3.6199999999999999E-5</v>
          </cell>
          <cell r="M136">
            <v>7.7000000000000008E-6</v>
          </cell>
          <cell r="N136">
            <v>3.6099999999999997E-5</v>
          </cell>
          <cell r="O136">
            <v>2.5699999999999998E-5</v>
          </cell>
          <cell r="P136">
            <v>6.0999999999999999E-5</v>
          </cell>
          <cell r="Q136">
            <v>1.416E-4</v>
          </cell>
          <cell r="R136">
            <v>4.0899999999999998E-5</v>
          </cell>
          <cell r="S136">
            <v>1.01E-5</v>
          </cell>
          <cell r="T136">
            <v>2.6400000000000001E-5</v>
          </cell>
          <cell r="U136">
            <v>5.0000000000000004E-6</v>
          </cell>
          <cell r="V136">
            <v>1.5700000000000002E-5</v>
          </cell>
          <cell r="W136">
            <v>2.2000000000000001E-6</v>
          </cell>
          <cell r="X136">
            <v>9.1099999999999992E-5</v>
          </cell>
          <cell r="Y136">
            <v>0</v>
          </cell>
          <cell r="Z136">
            <v>0</v>
          </cell>
          <cell r="AA136">
            <v>0</v>
          </cell>
        </row>
        <row r="137">
          <cell r="F137">
            <v>0</v>
          </cell>
          <cell r="G137">
            <v>1.5700000000000002E-5</v>
          </cell>
          <cell r="H137">
            <v>9.5999999999999996E-6</v>
          </cell>
          <cell r="I137">
            <v>2.4500000000000003E-5</v>
          </cell>
          <cell r="J137">
            <v>1.416E-4</v>
          </cell>
          <cell r="K137">
            <v>9.7999999999999993E-6</v>
          </cell>
          <cell r="L137">
            <v>3.6199999999999999E-5</v>
          </cell>
          <cell r="M137">
            <v>7.7000000000000008E-6</v>
          </cell>
          <cell r="N137">
            <v>3.6099999999999997E-5</v>
          </cell>
          <cell r="O137">
            <v>2.5699999999999998E-5</v>
          </cell>
          <cell r="P137">
            <v>6.0999999999999999E-5</v>
          </cell>
          <cell r="Q137">
            <v>1.416E-4</v>
          </cell>
          <cell r="R137">
            <v>4.0899999999999998E-5</v>
          </cell>
          <cell r="S137">
            <v>1.01E-5</v>
          </cell>
          <cell r="T137">
            <v>2.6400000000000001E-5</v>
          </cell>
          <cell r="U137">
            <v>5.0000000000000004E-6</v>
          </cell>
          <cell r="V137">
            <v>1.5700000000000002E-5</v>
          </cell>
          <cell r="W137">
            <v>2.2000000000000001E-6</v>
          </cell>
          <cell r="X137">
            <v>9.1099999999999992E-5</v>
          </cell>
          <cell r="Y137">
            <v>0</v>
          </cell>
          <cell r="Z137">
            <v>0</v>
          </cell>
          <cell r="AA137">
            <v>0</v>
          </cell>
        </row>
        <row r="138">
          <cell r="F138">
            <v>0</v>
          </cell>
          <cell r="G138">
            <v>1.5700000000000002E-5</v>
          </cell>
          <cell r="H138">
            <v>9.5999999999999996E-6</v>
          </cell>
          <cell r="I138">
            <v>2.4500000000000003E-5</v>
          </cell>
          <cell r="J138">
            <v>1.416E-4</v>
          </cell>
          <cell r="K138">
            <v>9.7999999999999993E-6</v>
          </cell>
          <cell r="L138">
            <v>3.6199999999999999E-5</v>
          </cell>
          <cell r="M138">
            <v>7.7000000000000008E-6</v>
          </cell>
          <cell r="N138">
            <v>3.6099999999999997E-5</v>
          </cell>
          <cell r="O138">
            <v>2.5699999999999998E-5</v>
          </cell>
          <cell r="P138">
            <v>6.0999999999999999E-5</v>
          </cell>
          <cell r="Q138">
            <v>1.416E-4</v>
          </cell>
          <cell r="R138">
            <v>4.0899999999999998E-5</v>
          </cell>
          <cell r="S138">
            <v>1.01E-5</v>
          </cell>
          <cell r="T138">
            <v>2.6400000000000001E-5</v>
          </cell>
          <cell r="U138">
            <v>5.0000000000000004E-6</v>
          </cell>
          <cell r="V138">
            <v>1.5700000000000002E-5</v>
          </cell>
          <cell r="W138">
            <v>2.2000000000000001E-6</v>
          </cell>
          <cell r="X138">
            <v>9.1099999999999992E-5</v>
          </cell>
          <cell r="Y138">
            <v>0</v>
          </cell>
          <cell r="Z138">
            <v>0</v>
          </cell>
          <cell r="AA138">
            <v>0</v>
          </cell>
        </row>
        <row r="139">
          <cell r="F139">
            <v>0</v>
          </cell>
          <cell r="G139">
            <v>1.728E-4</v>
          </cell>
          <cell r="H139">
            <v>1.7099999999999999E-5</v>
          </cell>
          <cell r="I139">
            <v>4.9500000000000004E-5</v>
          </cell>
          <cell r="J139">
            <v>1.5640000000000001E-4</v>
          </cell>
          <cell r="K139">
            <v>1.73E-5</v>
          </cell>
          <cell r="L139">
            <v>5.2099999999999999E-5</v>
          </cell>
          <cell r="M139">
            <v>1.1200000000000001E-5</v>
          </cell>
          <cell r="N139">
            <v>4.8399999999999997E-5</v>
          </cell>
          <cell r="O139">
            <v>3.8500000000000001E-5</v>
          </cell>
          <cell r="P139">
            <v>1.2970000000000001E-4</v>
          </cell>
          <cell r="Q139">
            <v>1.5640000000000001E-4</v>
          </cell>
          <cell r="R139">
            <v>5.5800000000000001E-5</v>
          </cell>
          <cell r="S139">
            <v>1.31E-5</v>
          </cell>
          <cell r="T139">
            <v>4.74E-5</v>
          </cell>
          <cell r="U139">
            <v>9.3999999999999998E-6</v>
          </cell>
          <cell r="V139">
            <v>1.4099999999999999E-5</v>
          </cell>
          <cell r="W139">
            <v>4.0999999999999997E-6</v>
          </cell>
          <cell r="X139">
            <v>1.077E-4</v>
          </cell>
          <cell r="Y139">
            <v>0</v>
          </cell>
          <cell r="Z139">
            <v>0</v>
          </cell>
          <cell r="AA139">
            <v>0</v>
          </cell>
        </row>
        <row r="140">
          <cell r="F140">
            <v>0</v>
          </cell>
          <cell r="G140">
            <v>1.728E-4</v>
          </cell>
          <cell r="H140">
            <v>1.7099999999999999E-5</v>
          </cell>
          <cell r="I140">
            <v>4.9500000000000004E-5</v>
          </cell>
          <cell r="J140">
            <v>1.5640000000000001E-4</v>
          </cell>
          <cell r="K140">
            <v>1.73E-5</v>
          </cell>
          <cell r="L140">
            <v>5.2099999999999999E-5</v>
          </cell>
          <cell r="M140">
            <v>1.1200000000000001E-5</v>
          </cell>
          <cell r="N140">
            <v>4.8399999999999997E-5</v>
          </cell>
          <cell r="O140">
            <v>3.8500000000000001E-5</v>
          </cell>
          <cell r="P140">
            <v>1.2970000000000001E-4</v>
          </cell>
          <cell r="Q140">
            <v>1.5640000000000001E-4</v>
          </cell>
          <cell r="R140">
            <v>5.5800000000000001E-5</v>
          </cell>
          <cell r="S140">
            <v>1.31E-5</v>
          </cell>
          <cell r="T140">
            <v>4.74E-5</v>
          </cell>
          <cell r="U140">
            <v>9.3999999999999998E-6</v>
          </cell>
          <cell r="V140">
            <v>1.4099999999999999E-5</v>
          </cell>
          <cell r="W140">
            <v>4.0999999999999997E-6</v>
          </cell>
          <cell r="X140">
            <v>1.077E-4</v>
          </cell>
          <cell r="Y140">
            <v>0</v>
          </cell>
          <cell r="Z140">
            <v>0</v>
          </cell>
          <cell r="AA140">
            <v>0</v>
          </cell>
        </row>
        <row r="141">
          <cell r="F141">
            <v>0</v>
          </cell>
          <cell r="G141">
            <v>1.728E-4</v>
          </cell>
          <cell r="H141">
            <v>1.7099999999999999E-5</v>
          </cell>
          <cell r="I141">
            <v>4.9500000000000004E-5</v>
          </cell>
          <cell r="J141">
            <v>1.5640000000000001E-4</v>
          </cell>
          <cell r="K141">
            <v>1.73E-5</v>
          </cell>
          <cell r="L141">
            <v>5.2099999999999999E-5</v>
          </cell>
          <cell r="M141">
            <v>1.1200000000000001E-5</v>
          </cell>
          <cell r="N141">
            <v>4.8399999999999997E-5</v>
          </cell>
          <cell r="O141">
            <v>3.8500000000000001E-5</v>
          </cell>
          <cell r="P141">
            <v>1.2970000000000001E-4</v>
          </cell>
          <cell r="Q141">
            <v>1.5640000000000001E-4</v>
          </cell>
          <cell r="R141">
            <v>5.5800000000000001E-5</v>
          </cell>
          <cell r="S141">
            <v>1.31E-5</v>
          </cell>
          <cell r="T141">
            <v>4.74E-5</v>
          </cell>
          <cell r="U141">
            <v>9.3999999999999998E-6</v>
          </cell>
          <cell r="V141">
            <v>1.4099999999999999E-5</v>
          </cell>
          <cell r="W141">
            <v>4.0999999999999997E-6</v>
          </cell>
          <cell r="X141">
            <v>1.077E-4</v>
          </cell>
          <cell r="Y141">
            <v>0</v>
          </cell>
          <cell r="Z141">
            <v>0</v>
          </cell>
          <cell r="AA141">
            <v>0</v>
          </cell>
        </row>
        <row r="142">
          <cell r="F142">
            <v>0</v>
          </cell>
          <cell r="G142">
            <v>1.728E-4</v>
          </cell>
          <cell r="H142">
            <v>1.7099999999999999E-5</v>
          </cell>
          <cell r="I142">
            <v>4.9500000000000004E-5</v>
          </cell>
          <cell r="J142">
            <v>1.5640000000000001E-4</v>
          </cell>
          <cell r="K142">
            <v>1.73E-5</v>
          </cell>
          <cell r="L142">
            <v>5.2099999999999999E-5</v>
          </cell>
          <cell r="M142">
            <v>1.1200000000000001E-5</v>
          </cell>
          <cell r="N142">
            <v>4.8399999999999997E-5</v>
          </cell>
          <cell r="O142">
            <v>3.8500000000000001E-5</v>
          </cell>
          <cell r="P142">
            <v>1.2970000000000001E-4</v>
          </cell>
          <cell r="Q142">
            <v>1.5640000000000001E-4</v>
          </cell>
          <cell r="R142">
            <v>5.5800000000000001E-5</v>
          </cell>
          <cell r="S142">
            <v>1.31E-5</v>
          </cell>
          <cell r="T142">
            <v>4.74E-5</v>
          </cell>
          <cell r="U142">
            <v>9.3999999999999998E-6</v>
          </cell>
          <cell r="V142">
            <v>1.4099999999999999E-5</v>
          </cell>
          <cell r="W142">
            <v>4.0999999999999997E-6</v>
          </cell>
          <cell r="X142">
            <v>1.077E-4</v>
          </cell>
          <cell r="Y142">
            <v>0</v>
          </cell>
          <cell r="Z142">
            <v>0</v>
          </cell>
          <cell r="AA142">
            <v>0</v>
          </cell>
        </row>
        <row r="143">
          <cell r="F143">
            <v>0</v>
          </cell>
          <cell r="G143">
            <v>1.728E-4</v>
          </cell>
          <cell r="H143">
            <v>1.7099999999999999E-5</v>
          </cell>
          <cell r="I143">
            <v>4.9500000000000004E-5</v>
          </cell>
          <cell r="J143">
            <v>1.5640000000000001E-4</v>
          </cell>
          <cell r="K143">
            <v>1.73E-5</v>
          </cell>
          <cell r="L143">
            <v>5.2099999999999999E-5</v>
          </cell>
          <cell r="M143">
            <v>1.1200000000000001E-5</v>
          </cell>
          <cell r="N143">
            <v>4.8399999999999997E-5</v>
          </cell>
          <cell r="O143">
            <v>3.8500000000000001E-5</v>
          </cell>
          <cell r="P143">
            <v>1.2970000000000001E-4</v>
          </cell>
          <cell r="Q143">
            <v>1.5640000000000001E-4</v>
          </cell>
          <cell r="R143">
            <v>5.5800000000000001E-5</v>
          </cell>
          <cell r="S143">
            <v>1.31E-5</v>
          </cell>
          <cell r="T143">
            <v>4.74E-5</v>
          </cell>
          <cell r="U143">
            <v>9.3999999999999998E-6</v>
          </cell>
          <cell r="V143">
            <v>1.4099999999999999E-5</v>
          </cell>
          <cell r="W143">
            <v>4.0999999999999997E-6</v>
          </cell>
          <cell r="X143">
            <v>1.077E-4</v>
          </cell>
          <cell r="Y143">
            <v>0</v>
          </cell>
          <cell r="Z143">
            <v>0</v>
          </cell>
          <cell r="AA143">
            <v>0</v>
          </cell>
        </row>
        <row r="144">
          <cell r="F144">
            <v>0</v>
          </cell>
          <cell r="G144">
            <v>2.3120000000000001E-4</v>
          </cell>
          <cell r="H144">
            <v>2.6800000000000001E-5</v>
          </cell>
          <cell r="I144">
            <v>5.8E-5</v>
          </cell>
          <cell r="J144">
            <v>1.7640000000000001E-4</v>
          </cell>
          <cell r="K144">
            <v>2.72E-5</v>
          </cell>
          <cell r="L144">
            <v>6.8200000000000004E-5</v>
          </cell>
          <cell r="M144">
            <v>1.5400000000000002E-5</v>
          </cell>
          <cell r="N144">
            <v>6.5199999999999999E-5</v>
          </cell>
          <cell r="O144">
            <v>5.5899999999999997E-5</v>
          </cell>
          <cell r="P144">
            <v>2.1770000000000001E-4</v>
          </cell>
          <cell r="Q144">
            <v>1.7640000000000001E-4</v>
          </cell>
          <cell r="R144">
            <v>7.7100000000000004E-5</v>
          </cell>
          <cell r="S144">
            <v>1.45E-5</v>
          </cell>
          <cell r="T144">
            <v>6.1400000000000002E-5</v>
          </cell>
          <cell r="U144">
            <v>1.6699999999999999E-5</v>
          </cell>
          <cell r="V144">
            <v>1.34E-5</v>
          </cell>
          <cell r="W144">
            <v>7.7999999999999999E-6</v>
          </cell>
          <cell r="X144">
            <v>1.2339999999999999E-4</v>
          </cell>
          <cell r="Y144">
            <v>0</v>
          </cell>
          <cell r="Z144">
            <v>0</v>
          </cell>
          <cell r="AA144">
            <v>0</v>
          </cell>
        </row>
        <row r="145">
          <cell r="F145">
            <v>0</v>
          </cell>
          <cell r="G145">
            <v>2.3120000000000001E-4</v>
          </cell>
          <cell r="H145">
            <v>2.6800000000000001E-5</v>
          </cell>
          <cell r="I145">
            <v>5.8E-5</v>
          </cell>
          <cell r="J145">
            <v>1.7640000000000001E-4</v>
          </cell>
          <cell r="K145">
            <v>2.72E-5</v>
          </cell>
          <cell r="L145">
            <v>6.8200000000000004E-5</v>
          </cell>
          <cell r="M145">
            <v>1.5400000000000002E-5</v>
          </cell>
          <cell r="N145">
            <v>6.5199999999999999E-5</v>
          </cell>
          <cell r="O145">
            <v>5.5899999999999997E-5</v>
          </cell>
          <cell r="P145">
            <v>2.1770000000000001E-4</v>
          </cell>
          <cell r="Q145">
            <v>1.7640000000000001E-4</v>
          </cell>
          <cell r="R145">
            <v>7.7100000000000004E-5</v>
          </cell>
          <cell r="S145">
            <v>1.45E-5</v>
          </cell>
          <cell r="T145">
            <v>6.1400000000000002E-5</v>
          </cell>
          <cell r="U145">
            <v>1.6699999999999999E-5</v>
          </cell>
          <cell r="V145">
            <v>1.34E-5</v>
          </cell>
          <cell r="W145">
            <v>7.7999999999999999E-6</v>
          </cell>
          <cell r="X145">
            <v>1.2339999999999999E-4</v>
          </cell>
          <cell r="Y145">
            <v>0</v>
          </cell>
          <cell r="Z145">
            <v>0</v>
          </cell>
          <cell r="AA145">
            <v>0</v>
          </cell>
        </row>
        <row r="146">
          <cell r="F146">
            <v>0</v>
          </cell>
          <cell r="G146">
            <v>2.3120000000000001E-4</v>
          </cell>
          <cell r="H146">
            <v>2.6800000000000001E-5</v>
          </cell>
          <cell r="I146">
            <v>5.8E-5</v>
          </cell>
          <cell r="J146">
            <v>1.7640000000000001E-4</v>
          </cell>
          <cell r="K146">
            <v>2.72E-5</v>
          </cell>
          <cell r="L146">
            <v>6.8200000000000004E-5</v>
          </cell>
          <cell r="M146">
            <v>1.5400000000000002E-5</v>
          </cell>
          <cell r="N146">
            <v>6.5199999999999999E-5</v>
          </cell>
          <cell r="O146">
            <v>5.5899999999999997E-5</v>
          </cell>
          <cell r="P146">
            <v>2.1770000000000001E-4</v>
          </cell>
          <cell r="Q146">
            <v>1.7640000000000001E-4</v>
          </cell>
          <cell r="R146">
            <v>7.7100000000000004E-5</v>
          </cell>
          <cell r="S146">
            <v>1.45E-5</v>
          </cell>
          <cell r="T146">
            <v>6.1400000000000002E-5</v>
          </cell>
          <cell r="U146">
            <v>1.6699999999999999E-5</v>
          </cell>
          <cell r="V146">
            <v>1.34E-5</v>
          </cell>
          <cell r="W146">
            <v>7.7999999999999999E-6</v>
          </cell>
          <cell r="X146">
            <v>1.2339999999999999E-4</v>
          </cell>
          <cell r="Y146">
            <v>0</v>
          </cell>
          <cell r="Z146">
            <v>0</v>
          </cell>
          <cell r="AA146">
            <v>0</v>
          </cell>
        </row>
        <row r="147">
          <cell r="F147">
            <v>0</v>
          </cell>
          <cell r="G147">
            <v>2.3120000000000001E-4</v>
          </cell>
          <cell r="H147">
            <v>2.6800000000000001E-5</v>
          </cell>
          <cell r="I147">
            <v>5.8E-5</v>
          </cell>
          <cell r="J147">
            <v>1.7640000000000001E-4</v>
          </cell>
          <cell r="K147">
            <v>2.72E-5</v>
          </cell>
          <cell r="L147">
            <v>6.8200000000000004E-5</v>
          </cell>
          <cell r="M147">
            <v>1.5400000000000002E-5</v>
          </cell>
          <cell r="N147">
            <v>6.5199999999999999E-5</v>
          </cell>
          <cell r="O147">
            <v>5.5899999999999997E-5</v>
          </cell>
          <cell r="P147">
            <v>2.1770000000000001E-4</v>
          </cell>
          <cell r="Q147">
            <v>1.7640000000000001E-4</v>
          </cell>
          <cell r="R147">
            <v>7.7100000000000004E-5</v>
          </cell>
          <cell r="S147">
            <v>1.45E-5</v>
          </cell>
          <cell r="T147">
            <v>6.1400000000000002E-5</v>
          </cell>
          <cell r="U147">
            <v>1.6699999999999999E-5</v>
          </cell>
          <cell r="V147">
            <v>1.34E-5</v>
          </cell>
          <cell r="W147">
            <v>7.7999999999999999E-6</v>
          </cell>
          <cell r="X147">
            <v>1.2339999999999999E-4</v>
          </cell>
          <cell r="Y147">
            <v>0</v>
          </cell>
          <cell r="Z147">
            <v>0</v>
          </cell>
          <cell r="AA147">
            <v>0</v>
          </cell>
        </row>
        <row r="148">
          <cell r="F148">
            <v>0</v>
          </cell>
          <cell r="G148">
            <v>2.3120000000000001E-4</v>
          </cell>
          <cell r="H148">
            <v>2.6800000000000001E-5</v>
          </cell>
          <cell r="I148">
            <v>5.8E-5</v>
          </cell>
          <cell r="J148">
            <v>1.7640000000000001E-4</v>
          </cell>
          <cell r="K148">
            <v>2.72E-5</v>
          </cell>
          <cell r="L148">
            <v>6.8200000000000004E-5</v>
          </cell>
          <cell r="M148">
            <v>1.5400000000000002E-5</v>
          </cell>
          <cell r="N148">
            <v>6.5199999999999999E-5</v>
          </cell>
          <cell r="O148">
            <v>5.5899999999999997E-5</v>
          </cell>
          <cell r="P148">
            <v>2.1770000000000001E-4</v>
          </cell>
          <cell r="Q148">
            <v>1.7640000000000001E-4</v>
          </cell>
          <cell r="R148">
            <v>7.7100000000000004E-5</v>
          </cell>
          <cell r="S148">
            <v>1.45E-5</v>
          </cell>
          <cell r="T148">
            <v>6.1400000000000002E-5</v>
          </cell>
          <cell r="U148">
            <v>1.6699999999999999E-5</v>
          </cell>
          <cell r="V148">
            <v>1.34E-5</v>
          </cell>
          <cell r="W148">
            <v>7.7999999999999999E-6</v>
          </cell>
          <cell r="X148">
            <v>1.2339999999999999E-4</v>
          </cell>
          <cell r="Y148">
            <v>0</v>
          </cell>
          <cell r="Z148">
            <v>0</v>
          </cell>
          <cell r="AA148">
            <v>0</v>
          </cell>
        </row>
        <row r="149">
          <cell r="F149">
            <v>0</v>
          </cell>
          <cell r="G149">
            <v>3.1829999999999998E-4</v>
          </cell>
          <cell r="H149">
            <v>3.7100000000000001E-5</v>
          </cell>
          <cell r="I149">
            <v>6.1299999999999999E-5</v>
          </cell>
          <cell r="J149">
            <v>1.9510000000000003E-4</v>
          </cell>
          <cell r="K149">
            <v>3.68E-5</v>
          </cell>
          <cell r="L149">
            <v>7.4500000000000008E-5</v>
          </cell>
          <cell r="M149">
            <v>2.3799999999999999E-5</v>
          </cell>
          <cell r="N149">
            <v>8.03E-5</v>
          </cell>
          <cell r="O149">
            <v>7.5400000000000003E-5</v>
          </cell>
          <cell r="P149">
            <v>3.0260000000000004E-4</v>
          </cell>
          <cell r="Q149">
            <v>1.9510000000000003E-4</v>
          </cell>
          <cell r="R149">
            <v>1.086E-4</v>
          </cell>
          <cell r="S149">
            <v>1.3200000000000001E-5</v>
          </cell>
          <cell r="T149">
            <v>1.4099999999999999E-5</v>
          </cell>
          <cell r="U149">
            <v>2.8599999999999997E-5</v>
          </cell>
          <cell r="V149">
            <v>1.3500000000000001E-5</v>
          </cell>
          <cell r="W149">
            <v>1.4099999999999999E-5</v>
          </cell>
          <cell r="X149">
            <v>1.5090000000000001E-4</v>
          </cell>
          <cell r="Y149">
            <v>0</v>
          </cell>
          <cell r="Z149">
            <v>0</v>
          </cell>
          <cell r="AA149">
            <v>0</v>
          </cell>
        </row>
        <row r="150">
          <cell r="F150">
            <v>0</v>
          </cell>
          <cell r="G150">
            <v>3.1829999999999998E-4</v>
          </cell>
          <cell r="H150">
            <v>3.7100000000000001E-5</v>
          </cell>
          <cell r="I150">
            <v>6.1299999999999999E-5</v>
          </cell>
          <cell r="J150">
            <v>1.9510000000000003E-4</v>
          </cell>
          <cell r="K150">
            <v>3.68E-5</v>
          </cell>
          <cell r="L150">
            <v>7.4500000000000008E-5</v>
          </cell>
          <cell r="M150">
            <v>2.3799999999999999E-5</v>
          </cell>
          <cell r="N150">
            <v>8.03E-5</v>
          </cell>
          <cell r="O150">
            <v>7.5400000000000003E-5</v>
          </cell>
          <cell r="P150">
            <v>3.0260000000000004E-4</v>
          </cell>
          <cell r="Q150">
            <v>1.9510000000000003E-4</v>
          </cell>
          <cell r="R150">
            <v>1.086E-4</v>
          </cell>
          <cell r="S150">
            <v>1.3200000000000001E-5</v>
          </cell>
          <cell r="T150">
            <v>1.4099999999999999E-5</v>
          </cell>
          <cell r="U150">
            <v>2.8599999999999997E-5</v>
          </cell>
          <cell r="V150">
            <v>1.3500000000000001E-5</v>
          </cell>
          <cell r="W150">
            <v>1.4099999999999999E-5</v>
          </cell>
          <cell r="X150">
            <v>1.5090000000000001E-4</v>
          </cell>
          <cell r="Y150">
            <v>0</v>
          </cell>
          <cell r="Z150">
            <v>0</v>
          </cell>
          <cell r="AA150">
            <v>0</v>
          </cell>
        </row>
        <row r="151">
          <cell r="F151">
            <v>0</v>
          </cell>
          <cell r="G151">
            <v>3.1829999999999998E-4</v>
          </cell>
          <cell r="H151">
            <v>3.7100000000000001E-5</v>
          </cell>
          <cell r="I151">
            <v>6.1299999999999999E-5</v>
          </cell>
          <cell r="J151">
            <v>1.9510000000000003E-4</v>
          </cell>
          <cell r="K151">
            <v>3.68E-5</v>
          </cell>
          <cell r="L151">
            <v>7.4500000000000008E-5</v>
          </cell>
          <cell r="M151">
            <v>2.3799999999999999E-5</v>
          </cell>
          <cell r="N151">
            <v>8.03E-5</v>
          </cell>
          <cell r="O151">
            <v>7.5400000000000003E-5</v>
          </cell>
          <cell r="P151">
            <v>3.0260000000000004E-4</v>
          </cell>
          <cell r="Q151">
            <v>1.9510000000000003E-4</v>
          </cell>
          <cell r="R151">
            <v>1.086E-4</v>
          </cell>
          <cell r="S151">
            <v>1.3200000000000001E-5</v>
          </cell>
          <cell r="T151">
            <v>1.4099999999999999E-5</v>
          </cell>
          <cell r="U151">
            <v>2.8599999999999997E-5</v>
          </cell>
          <cell r="V151">
            <v>1.3500000000000001E-5</v>
          </cell>
          <cell r="W151">
            <v>1.4099999999999999E-5</v>
          </cell>
          <cell r="X151">
            <v>1.5090000000000001E-4</v>
          </cell>
          <cell r="Y151">
            <v>0</v>
          </cell>
          <cell r="Z151">
            <v>0</v>
          </cell>
          <cell r="AA151">
            <v>0</v>
          </cell>
        </row>
        <row r="152">
          <cell r="F152">
            <v>0</v>
          </cell>
          <cell r="G152">
            <v>3.1829999999999998E-4</v>
          </cell>
          <cell r="H152">
            <v>3.7100000000000001E-5</v>
          </cell>
          <cell r="I152">
            <v>6.1299999999999999E-5</v>
          </cell>
          <cell r="J152">
            <v>1.9510000000000003E-4</v>
          </cell>
          <cell r="K152">
            <v>3.68E-5</v>
          </cell>
          <cell r="L152">
            <v>7.4500000000000008E-5</v>
          </cell>
          <cell r="M152">
            <v>2.3799999999999999E-5</v>
          </cell>
          <cell r="N152">
            <v>8.03E-5</v>
          </cell>
          <cell r="O152">
            <v>7.5400000000000003E-5</v>
          </cell>
          <cell r="P152">
            <v>3.0260000000000004E-4</v>
          </cell>
          <cell r="Q152">
            <v>1.9510000000000003E-4</v>
          </cell>
          <cell r="R152">
            <v>1.086E-4</v>
          </cell>
          <cell r="S152">
            <v>1.3200000000000001E-5</v>
          </cell>
          <cell r="T152">
            <v>1.4099999999999999E-5</v>
          </cell>
          <cell r="U152">
            <v>2.8599999999999997E-5</v>
          </cell>
          <cell r="V152">
            <v>1.3500000000000001E-5</v>
          </cell>
          <cell r="W152">
            <v>1.4099999999999999E-5</v>
          </cell>
          <cell r="X152">
            <v>1.5090000000000001E-4</v>
          </cell>
          <cell r="Y152">
            <v>0</v>
          </cell>
          <cell r="Z152">
            <v>0</v>
          </cell>
          <cell r="AA152">
            <v>0</v>
          </cell>
        </row>
        <row r="153">
          <cell r="F153">
            <v>0</v>
          </cell>
          <cell r="G153">
            <v>3.1829999999999998E-4</v>
          </cell>
          <cell r="H153">
            <v>3.7100000000000001E-5</v>
          </cell>
          <cell r="I153">
            <v>6.1299999999999999E-5</v>
          </cell>
          <cell r="J153">
            <v>1.9510000000000003E-4</v>
          </cell>
          <cell r="K153">
            <v>3.68E-5</v>
          </cell>
          <cell r="L153">
            <v>7.4500000000000008E-5</v>
          </cell>
          <cell r="M153">
            <v>2.3799999999999999E-5</v>
          </cell>
          <cell r="N153">
            <v>8.03E-5</v>
          </cell>
          <cell r="O153">
            <v>7.5400000000000003E-5</v>
          </cell>
          <cell r="P153">
            <v>3.0260000000000004E-4</v>
          </cell>
          <cell r="Q153">
            <v>1.9510000000000003E-4</v>
          </cell>
          <cell r="R153">
            <v>1.086E-4</v>
          </cell>
          <cell r="S153">
            <v>1.3200000000000001E-5</v>
          </cell>
          <cell r="T153">
            <v>1.4099999999999999E-5</v>
          </cell>
          <cell r="U153">
            <v>2.8599999999999997E-5</v>
          </cell>
          <cell r="V153">
            <v>1.3500000000000001E-5</v>
          </cell>
          <cell r="W153">
            <v>1.4099999999999999E-5</v>
          </cell>
          <cell r="X153">
            <v>1.5090000000000001E-4</v>
          </cell>
          <cell r="Y153">
            <v>0</v>
          </cell>
          <cell r="Z153">
            <v>0</v>
          </cell>
          <cell r="AA153">
            <v>0</v>
          </cell>
        </row>
        <row r="154">
          <cell r="F154">
            <v>0</v>
          </cell>
          <cell r="G154">
            <v>4.1219999999999999E-4</v>
          </cell>
          <cell r="H154">
            <v>4.7300000000000005E-5</v>
          </cell>
          <cell r="I154">
            <v>6.5199999999999999E-5</v>
          </cell>
          <cell r="J154">
            <v>1.9760000000000001E-4</v>
          </cell>
          <cell r="K154">
            <v>4.0800000000000002E-5</v>
          </cell>
          <cell r="L154">
            <v>8.2600000000000002E-5</v>
          </cell>
          <cell r="M154">
            <v>3.2299999999999999E-5</v>
          </cell>
          <cell r="N154">
            <v>9.6199999999999994E-5</v>
          </cell>
          <cell r="O154">
            <v>8.8000000000000011E-5</v>
          </cell>
          <cell r="P154">
            <v>2.1850000000000003E-4</v>
          </cell>
          <cell r="Q154">
            <v>1.9760000000000001E-4</v>
          </cell>
          <cell r="R154">
            <v>1.3789999999999999E-4</v>
          </cell>
          <cell r="S154">
            <v>1.27E-5</v>
          </cell>
          <cell r="T154">
            <v>7.2300000000000009E-5</v>
          </cell>
          <cell r="U154">
            <v>4.3800000000000001E-5</v>
          </cell>
          <cell r="V154">
            <v>1.4E-5</v>
          </cell>
          <cell r="W154">
            <v>2.5599999999999999E-5</v>
          </cell>
          <cell r="X154">
            <v>1.7109999999999998E-4</v>
          </cell>
          <cell r="Y154">
            <v>0</v>
          </cell>
          <cell r="Z154">
            <v>0</v>
          </cell>
          <cell r="AA154">
            <v>0</v>
          </cell>
        </row>
        <row r="155">
          <cell r="F155">
            <v>0</v>
          </cell>
          <cell r="G155">
            <v>4.1219999999999999E-4</v>
          </cell>
          <cell r="H155">
            <v>4.7300000000000005E-5</v>
          </cell>
          <cell r="I155">
            <v>6.5199999999999999E-5</v>
          </cell>
          <cell r="J155">
            <v>1.9760000000000001E-4</v>
          </cell>
          <cell r="K155">
            <v>4.0800000000000002E-5</v>
          </cell>
          <cell r="L155">
            <v>8.2600000000000002E-5</v>
          </cell>
          <cell r="M155">
            <v>3.2299999999999999E-5</v>
          </cell>
          <cell r="N155">
            <v>9.6199999999999994E-5</v>
          </cell>
          <cell r="O155">
            <v>8.8000000000000011E-5</v>
          </cell>
          <cell r="P155">
            <v>2.1850000000000003E-4</v>
          </cell>
          <cell r="Q155">
            <v>1.9760000000000001E-4</v>
          </cell>
          <cell r="R155">
            <v>1.3789999999999999E-4</v>
          </cell>
          <cell r="S155">
            <v>1.27E-5</v>
          </cell>
          <cell r="T155">
            <v>7.2300000000000009E-5</v>
          </cell>
          <cell r="U155">
            <v>4.3800000000000001E-5</v>
          </cell>
          <cell r="V155">
            <v>1.4E-5</v>
          </cell>
          <cell r="W155">
            <v>2.5599999999999999E-5</v>
          </cell>
          <cell r="X155">
            <v>1.7109999999999998E-4</v>
          </cell>
          <cell r="Y155">
            <v>0</v>
          </cell>
          <cell r="Z155">
            <v>0</v>
          </cell>
          <cell r="AA155">
            <v>0</v>
          </cell>
        </row>
        <row r="156">
          <cell r="F156">
            <v>0</v>
          </cell>
          <cell r="G156">
            <v>4.1219999999999999E-4</v>
          </cell>
          <cell r="H156">
            <v>4.7300000000000005E-5</v>
          </cell>
          <cell r="I156">
            <v>6.5199999999999999E-5</v>
          </cell>
          <cell r="J156">
            <v>1.9760000000000001E-4</v>
          </cell>
          <cell r="K156">
            <v>4.0800000000000002E-5</v>
          </cell>
          <cell r="L156">
            <v>8.2600000000000002E-5</v>
          </cell>
          <cell r="M156">
            <v>3.2299999999999999E-5</v>
          </cell>
          <cell r="N156">
            <v>9.6199999999999994E-5</v>
          </cell>
          <cell r="O156">
            <v>8.8000000000000011E-5</v>
          </cell>
          <cell r="P156">
            <v>2.1850000000000003E-4</v>
          </cell>
          <cell r="Q156">
            <v>1.9760000000000001E-4</v>
          </cell>
          <cell r="R156">
            <v>1.3789999999999999E-4</v>
          </cell>
          <cell r="S156">
            <v>1.27E-5</v>
          </cell>
          <cell r="T156">
            <v>7.2300000000000009E-5</v>
          </cell>
          <cell r="U156">
            <v>4.3800000000000001E-5</v>
          </cell>
          <cell r="V156">
            <v>1.4E-5</v>
          </cell>
          <cell r="W156">
            <v>2.5599999999999999E-5</v>
          </cell>
          <cell r="X156">
            <v>1.7109999999999998E-4</v>
          </cell>
          <cell r="Y156">
            <v>0</v>
          </cell>
          <cell r="Z156">
            <v>0</v>
          </cell>
          <cell r="AA156">
            <v>0</v>
          </cell>
        </row>
        <row r="157">
          <cell r="F157">
            <v>0</v>
          </cell>
          <cell r="G157">
            <v>4.1219999999999999E-4</v>
          </cell>
          <cell r="H157">
            <v>4.7300000000000005E-5</v>
          </cell>
          <cell r="I157">
            <v>6.5199999999999999E-5</v>
          </cell>
          <cell r="J157">
            <v>1.9760000000000001E-4</v>
          </cell>
          <cell r="K157">
            <v>4.0800000000000002E-5</v>
          </cell>
          <cell r="L157">
            <v>8.2600000000000002E-5</v>
          </cell>
          <cell r="M157">
            <v>3.2299999999999999E-5</v>
          </cell>
          <cell r="N157">
            <v>9.6199999999999994E-5</v>
          </cell>
          <cell r="O157">
            <v>8.8000000000000011E-5</v>
          </cell>
          <cell r="P157">
            <v>2.1850000000000003E-4</v>
          </cell>
          <cell r="Q157">
            <v>1.9760000000000001E-4</v>
          </cell>
          <cell r="R157">
            <v>1.3789999999999999E-4</v>
          </cell>
          <cell r="S157">
            <v>1.27E-5</v>
          </cell>
          <cell r="T157">
            <v>7.2300000000000009E-5</v>
          </cell>
          <cell r="U157">
            <v>4.3800000000000001E-5</v>
          </cell>
          <cell r="V157">
            <v>1.4E-5</v>
          </cell>
          <cell r="W157">
            <v>2.5599999999999999E-5</v>
          </cell>
          <cell r="X157">
            <v>1.7109999999999998E-4</v>
          </cell>
          <cell r="Y157">
            <v>0</v>
          </cell>
          <cell r="Z157">
            <v>0</v>
          </cell>
          <cell r="AA157">
            <v>0</v>
          </cell>
        </row>
        <row r="158">
          <cell r="F158">
            <v>0</v>
          </cell>
          <cell r="G158">
            <v>4.1219999999999999E-4</v>
          </cell>
          <cell r="H158">
            <v>4.7300000000000005E-5</v>
          </cell>
          <cell r="I158">
            <v>6.5199999999999999E-5</v>
          </cell>
          <cell r="J158">
            <v>1.9760000000000001E-4</v>
          </cell>
          <cell r="K158">
            <v>4.0800000000000002E-5</v>
          </cell>
          <cell r="L158">
            <v>8.2600000000000002E-5</v>
          </cell>
          <cell r="M158">
            <v>3.2299999999999999E-5</v>
          </cell>
          <cell r="N158">
            <v>9.6199999999999994E-5</v>
          </cell>
          <cell r="O158">
            <v>8.8000000000000011E-5</v>
          </cell>
          <cell r="P158">
            <v>2.1850000000000003E-4</v>
          </cell>
          <cell r="Q158">
            <v>1.9760000000000001E-4</v>
          </cell>
          <cell r="R158">
            <v>1.3789999999999999E-4</v>
          </cell>
          <cell r="S158">
            <v>1.27E-5</v>
          </cell>
          <cell r="T158">
            <v>7.2300000000000009E-5</v>
          </cell>
          <cell r="U158">
            <v>4.3800000000000001E-5</v>
          </cell>
          <cell r="V158">
            <v>1.4E-5</v>
          </cell>
          <cell r="W158">
            <v>2.5599999999999999E-5</v>
          </cell>
          <cell r="X158">
            <v>1.7109999999999998E-4</v>
          </cell>
          <cell r="Y158">
            <v>0</v>
          </cell>
          <cell r="Z158">
            <v>0</v>
          </cell>
          <cell r="AA158">
            <v>0</v>
          </cell>
        </row>
        <row r="159">
          <cell r="F159">
            <v>0</v>
          </cell>
          <cell r="G159">
            <v>5.1110000000000001E-4</v>
          </cell>
          <cell r="H159">
            <v>6.0599999999999996E-5</v>
          </cell>
          <cell r="I159">
            <v>6.9200000000000002E-5</v>
          </cell>
          <cell r="J159">
            <v>2.1589999999999999E-4</v>
          </cell>
          <cell r="K159">
            <v>4.3600000000000003E-5</v>
          </cell>
          <cell r="L159">
            <v>7.9300000000000003E-5</v>
          </cell>
          <cell r="M159">
            <v>3.6199999999999999E-5</v>
          </cell>
          <cell r="N159">
            <v>1.042E-4</v>
          </cell>
          <cell r="O159">
            <v>8.6300000000000011E-5</v>
          </cell>
          <cell r="P159">
            <v>1.0210000000000002E-4</v>
          </cell>
          <cell r="Q159">
            <v>2.1589999999999999E-4</v>
          </cell>
          <cell r="R159">
            <v>1.7399999999999997E-4</v>
          </cell>
          <cell r="S159">
            <v>1.2299999999999999E-5</v>
          </cell>
          <cell r="T159">
            <v>6.9200000000000002E-5</v>
          </cell>
          <cell r="U159">
            <v>6.0800000000000001E-5</v>
          </cell>
          <cell r="V159">
            <v>1.3300000000000001E-5</v>
          </cell>
          <cell r="W159">
            <v>3.4600000000000001E-5</v>
          </cell>
          <cell r="X159">
            <v>1.9309999999999998E-4</v>
          </cell>
          <cell r="Y159">
            <v>0</v>
          </cell>
          <cell r="Z159">
            <v>0</v>
          </cell>
          <cell r="AA159">
            <v>0</v>
          </cell>
        </row>
        <row r="160">
          <cell r="F160">
            <v>0</v>
          </cell>
          <cell r="G160">
            <v>5.1110000000000001E-4</v>
          </cell>
          <cell r="H160">
            <v>6.0599999999999996E-5</v>
          </cell>
          <cell r="I160">
            <v>6.9200000000000002E-5</v>
          </cell>
          <cell r="J160">
            <v>2.1589999999999999E-4</v>
          </cell>
          <cell r="K160">
            <v>4.3600000000000003E-5</v>
          </cell>
          <cell r="L160">
            <v>7.9300000000000003E-5</v>
          </cell>
          <cell r="M160">
            <v>3.6199999999999999E-5</v>
          </cell>
          <cell r="N160">
            <v>1.042E-4</v>
          </cell>
          <cell r="O160">
            <v>8.6300000000000011E-5</v>
          </cell>
          <cell r="P160">
            <v>1.0210000000000002E-4</v>
          </cell>
          <cell r="Q160">
            <v>2.1589999999999999E-4</v>
          </cell>
          <cell r="R160">
            <v>1.7399999999999997E-4</v>
          </cell>
          <cell r="S160">
            <v>1.2299999999999999E-5</v>
          </cell>
          <cell r="T160">
            <v>6.9200000000000002E-5</v>
          </cell>
          <cell r="U160">
            <v>6.0800000000000001E-5</v>
          </cell>
          <cell r="V160">
            <v>1.3300000000000001E-5</v>
          </cell>
          <cell r="W160">
            <v>3.4600000000000001E-5</v>
          </cell>
          <cell r="X160">
            <v>1.9309999999999998E-4</v>
          </cell>
          <cell r="Y160">
            <v>0</v>
          </cell>
          <cell r="Z160">
            <v>0</v>
          </cell>
          <cell r="AA160">
            <v>0</v>
          </cell>
        </row>
        <row r="161">
          <cell r="F161">
            <v>0</v>
          </cell>
          <cell r="G161">
            <v>5.1110000000000001E-4</v>
          </cell>
          <cell r="H161">
            <v>6.0599999999999996E-5</v>
          </cell>
          <cell r="I161">
            <v>6.9200000000000002E-5</v>
          </cell>
          <cell r="J161">
            <v>2.1589999999999999E-4</v>
          </cell>
          <cell r="K161">
            <v>4.3600000000000003E-5</v>
          </cell>
          <cell r="L161">
            <v>7.9300000000000003E-5</v>
          </cell>
          <cell r="M161">
            <v>3.6199999999999999E-5</v>
          </cell>
          <cell r="N161">
            <v>1.042E-4</v>
          </cell>
          <cell r="O161">
            <v>8.6300000000000011E-5</v>
          </cell>
          <cell r="P161">
            <v>1.0210000000000002E-4</v>
          </cell>
          <cell r="Q161">
            <v>2.1589999999999999E-4</v>
          </cell>
          <cell r="R161">
            <v>1.7399999999999997E-4</v>
          </cell>
          <cell r="S161">
            <v>1.2299999999999999E-5</v>
          </cell>
          <cell r="T161">
            <v>6.9200000000000002E-5</v>
          </cell>
          <cell r="U161">
            <v>6.0800000000000001E-5</v>
          </cell>
          <cell r="V161">
            <v>1.3300000000000001E-5</v>
          </cell>
          <cell r="W161">
            <v>3.4600000000000001E-5</v>
          </cell>
          <cell r="X161">
            <v>1.9309999999999998E-4</v>
          </cell>
          <cell r="Y161">
            <v>0</v>
          </cell>
          <cell r="Z161">
            <v>0</v>
          </cell>
          <cell r="AA161">
            <v>0</v>
          </cell>
        </row>
        <row r="162">
          <cell r="F162">
            <v>0</v>
          </cell>
          <cell r="G162">
            <v>5.1110000000000001E-4</v>
          </cell>
          <cell r="H162">
            <v>6.0599999999999996E-5</v>
          </cell>
          <cell r="I162">
            <v>6.9200000000000002E-5</v>
          </cell>
          <cell r="J162">
            <v>2.1589999999999999E-4</v>
          </cell>
          <cell r="K162">
            <v>4.3600000000000003E-5</v>
          </cell>
          <cell r="L162">
            <v>7.9300000000000003E-5</v>
          </cell>
          <cell r="M162">
            <v>3.6199999999999999E-5</v>
          </cell>
          <cell r="N162">
            <v>1.042E-4</v>
          </cell>
          <cell r="O162">
            <v>8.6300000000000011E-5</v>
          </cell>
          <cell r="P162">
            <v>1.0210000000000002E-4</v>
          </cell>
          <cell r="Q162">
            <v>2.1589999999999999E-4</v>
          </cell>
          <cell r="R162">
            <v>1.7399999999999997E-4</v>
          </cell>
          <cell r="S162">
            <v>1.2299999999999999E-5</v>
          </cell>
          <cell r="T162">
            <v>6.9200000000000002E-5</v>
          </cell>
          <cell r="U162">
            <v>6.0800000000000001E-5</v>
          </cell>
          <cell r="V162">
            <v>1.3300000000000001E-5</v>
          </cell>
          <cell r="W162">
            <v>3.4600000000000001E-5</v>
          </cell>
          <cell r="X162">
            <v>1.9309999999999998E-4</v>
          </cell>
          <cell r="Y162">
            <v>0</v>
          </cell>
          <cell r="Z162">
            <v>0</v>
          </cell>
          <cell r="AA162">
            <v>0</v>
          </cell>
        </row>
        <row r="163">
          <cell r="F163">
            <v>0</v>
          </cell>
          <cell r="G163">
            <v>5.1110000000000001E-4</v>
          </cell>
          <cell r="H163">
            <v>6.0599999999999996E-5</v>
          </cell>
          <cell r="I163">
            <v>6.9200000000000002E-5</v>
          </cell>
          <cell r="J163">
            <v>2.1589999999999999E-4</v>
          </cell>
          <cell r="K163">
            <v>4.3600000000000003E-5</v>
          </cell>
          <cell r="L163">
            <v>7.9300000000000003E-5</v>
          </cell>
          <cell r="M163">
            <v>3.6199999999999999E-5</v>
          </cell>
          <cell r="N163">
            <v>1.042E-4</v>
          </cell>
          <cell r="O163">
            <v>8.6300000000000011E-5</v>
          </cell>
          <cell r="P163">
            <v>1.0210000000000002E-4</v>
          </cell>
          <cell r="Q163">
            <v>2.1589999999999999E-4</v>
          </cell>
          <cell r="R163">
            <v>1.7399999999999997E-4</v>
          </cell>
          <cell r="S163">
            <v>1.2299999999999999E-5</v>
          </cell>
          <cell r="T163">
            <v>6.9200000000000002E-5</v>
          </cell>
          <cell r="U163">
            <v>6.0800000000000001E-5</v>
          </cell>
          <cell r="V163">
            <v>1.3300000000000001E-5</v>
          </cell>
          <cell r="W163">
            <v>3.4600000000000001E-5</v>
          </cell>
          <cell r="X163">
            <v>1.9309999999999998E-4</v>
          </cell>
          <cell r="Y163">
            <v>0</v>
          </cell>
          <cell r="Z163">
            <v>0</v>
          </cell>
          <cell r="AA163">
            <v>0</v>
          </cell>
        </row>
        <row r="164">
          <cell r="F164">
            <v>0</v>
          </cell>
          <cell r="G164">
            <v>6.0729999999999996E-4</v>
          </cell>
          <cell r="H164">
            <v>5.4299999999999998E-5</v>
          </cell>
          <cell r="I164">
            <v>6.4499999999999996E-5</v>
          </cell>
          <cell r="J164">
            <v>2.1940000000000002E-4</v>
          </cell>
          <cell r="K164">
            <v>3.6900000000000002E-5</v>
          </cell>
          <cell r="L164">
            <v>7.8899999999999993E-5</v>
          </cell>
          <cell r="M164">
            <v>4.07E-5</v>
          </cell>
          <cell r="N164">
            <v>1.0070000000000001E-4</v>
          </cell>
          <cell r="O164">
            <v>7.3399999999999995E-5</v>
          </cell>
          <cell r="P164">
            <v>4.9000000000000005E-5</v>
          </cell>
          <cell r="Q164">
            <v>2.1940000000000002E-4</v>
          </cell>
          <cell r="R164">
            <v>1.9030000000000002E-4</v>
          </cell>
          <cell r="S164">
            <v>1.31E-5</v>
          </cell>
          <cell r="T164">
            <v>5.9699999999999994E-5</v>
          </cell>
          <cell r="U164">
            <v>7.0099999999999996E-5</v>
          </cell>
          <cell r="V164">
            <v>1.29E-5</v>
          </cell>
          <cell r="W164">
            <v>4.2000000000000004E-5</v>
          </cell>
          <cell r="X164">
            <v>1.9539999999999998E-4</v>
          </cell>
          <cell r="Y164">
            <v>0</v>
          </cell>
          <cell r="Z164">
            <v>0</v>
          </cell>
          <cell r="AA164">
            <v>0</v>
          </cell>
        </row>
        <row r="165">
          <cell r="F165">
            <v>0</v>
          </cell>
          <cell r="G165">
            <v>6.0729999999999996E-4</v>
          </cell>
          <cell r="H165">
            <v>5.4299999999999998E-5</v>
          </cell>
          <cell r="I165">
            <v>6.4499999999999996E-5</v>
          </cell>
          <cell r="J165">
            <v>2.1940000000000002E-4</v>
          </cell>
          <cell r="K165">
            <v>3.6900000000000002E-5</v>
          </cell>
          <cell r="L165">
            <v>7.8899999999999993E-5</v>
          </cell>
          <cell r="M165">
            <v>4.07E-5</v>
          </cell>
          <cell r="N165">
            <v>1.0070000000000001E-4</v>
          </cell>
          <cell r="O165">
            <v>7.3399999999999995E-5</v>
          </cell>
          <cell r="P165">
            <v>4.9000000000000005E-5</v>
          </cell>
          <cell r="Q165">
            <v>2.1940000000000002E-4</v>
          </cell>
          <cell r="R165">
            <v>1.9030000000000002E-4</v>
          </cell>
          <cell r="S165">
            <v>1.31E-5</v>
          </cell>
          <cell r="T165">
            <v>5.9699999999999994E-5</v>
          </cell>
          <cell r="U165">
            <v>7.0099999999999996E-5</v>
          </cell>
          <cell r="V165">
            <v>1.29E-5</v>
          </cell>
          <cell r="W165">
            <v>4.2000000000000004E-5</v>
          </cell>
          <cell r="X165">
            <v>1.9539999999999998E-4</v>
          </cell>
          <cell r="Y165">
            <v>0</v>
          </cell>
          <cell r="Z165">
            <v>0</v>
          </cell>
          <cell r="AA165">
            <v>0</v>
          </cell>
        </row>
        <row r="166">
          <cell r="F166">
            <v>0</v>
          </cell>
          <cell r="G166">
            <v>6.0729999999999996E-4</v>
          </cell>
          <cell r="H166">
            <v>5.4299999999999998E-5</v>
          </cell>
          <cell r="I166">
            <v>6.4499999999999996E-5</v>
          </cell>
          <cell r="J166">
            <v>2.1940000000000002E-4</v>
          </cell>
          <cell r="K166">
            <v>3.6900000000000002E-5</v>
          </cell>
          <cell r="L166">
            <v>7.8899999999999993E-5</v>
          </cell>
          <cell r="M166">
            <v>4.07E-5</v>
          </cell>
          <cell r="N166">
            <v>1.0070000000000001E-4</v>
          </cell>
          <cell r="O166">
            <v>7.3399999999999995E-5</v>
          </cell>
          <cell r="P166">
            <v>4.9000000000000005E-5</v>
          </cell>
          <cell r="Q166">
            <v>2.1940000000000002E-4</v>
          </cell>
          <cell r="R166">
            <v>1.9030000000000002E-4</v>
          </cell>
          <cell r="S166">
            <v>1.31E-5</v>
          </cell>
          <cell r="T166">
            <v>5.9699999999999994E-5</v>
          </cell>
          <cell r="U166">
            <v>7.0099999999999996E-5</v>
          </cell>
          <cell r="V166">
            <v>1.29E-5</v>
          </cell>
          <cell r="W166">
            <v>4.2000000000000004E-5</v>
          </cell>
          <cell r="X166">
            <v>1.9539999999999998E-4</v>
          </cell>
          <cell r="Y166">
            <v>0</v>
          </cell>
          <cell r="Z166">
            <v>0</v>
          </cell>
          <cell r="AA166">
            <v>0</v>
          </cell>
        </row>
        <row r="167">
          <cell r="F167">
            <v>0</v>
          </cell>
          <cell r="G167">
            <v>6.0729999999999996E-4</v>
          </cell>
          <cell r="H167">
            <v>5.4299999999999998E-5</v>
          </cell>
          <cell r="I167">
            <v>6.4499999999999996E-5</v>
          </cell>
          <cell r="J167">
            <v>2.1940000000000002E-4</v>
          </cell>
          <cell r="K167">
            <v>3.6900000000000002E-5</v>
          </cell>
          <cell r="L167">
            <v>7.8899999999999993E-5</v>
          </cell>
          <cell r="M167">
            <v>4.07E-5</v>
          </cell>
          <cell r="N167">
            <v>1.0070000000000001E-4</v>
          </cell>
          <cell r="O167">
            <v>7.3399999999999995E-5</v>
          </cell>
          <cell r="P167">
            <v>4.9000000000000005E-5</v>
          </cell>
          <cell r="Q167">
            <v>2.1940000000000002E-4</v>
          </cell>
          <cell r="R167">
            <v>1.9030000000000002E-4</v>
          </cell>
          <cell r="S167">
            <v>1.31E-5</v>
          </cell>
          <cell r="T167">
            <v>5.9699999999999994E-5</v>
          </cell>
          <cell r="U167">
            <v>7.0099999999999996E-5</v>
          </cell>
          <cell r="V167">
            <v>1.29E-5</v>
          </cell>
          <cell r="W167">
            <v>4.2000000000000004E-5</v>
          </cell>
          <cell r="X167">
            <v>1.9539999999999998E-4</v>
          </cell>
          <cell r="Y167">
            <v>0</v>
          </cell>
          <cell r="Z167">
            <v>0</v>
          </cell>
          <cell r="AA167">
            <v>0</v>
          </cell>
        </row>
        <row r="168">
          <cell r="F168">
            <v>0</v>
          </cell>
          <cell r="G168">
            <v>6.0729999999999996E-4</v>
          </cell>
          <cell r="H168">
            <v>5.4299999999999998E-5</v>
          </cell>
          <cell r="I168">
            <v>6.4499999999999996E-5</v>
          </cell>
          <cell r="J168">
            <v>2.1940000000000002E-4</v>
          </cell>
          <cell r="K168">
            <v>3.6900000000000002E-5</v>
          </cell>
          <cell r="L168">
            <v>7.8899999999999993E-5</v>
          </cell>
          <cell r="M168">
            <v>4.07E-5</v>
          </cell>
          <cell r="N168">
            <v>1.0070000000000001E-4</v>
          </cell>
          <cell r="O168">
            <v>7.3399999999999995E-5</v>
          </cell>
          <cell r="P168">
            <v>4.9000000000000005E-5</v>
          </cell>
          <cell r="Q168">
            <v>2.1940000000000002E-4</v>
          </cell>
          <cell r="R168">
            <v>1.9030000000000002E-4</v>
          </cell>
          <cell r="S168">
            <v>1.31E-5</v>
          </cell>
          <cell r="T168">
            <v>5.9699999999999994E-5</v>
          </cell>
          <cell r="U168">
            <v>7.0099999999999996E-5</v>
          </cell>
          <cell r="V168">
            <v>1.29E-5</v>
          </cell>
          <cell r="W168">
            <v>4.2000000000000004E-5</v>
          </cell>
          <cell r="X168">
            <v>1.9539999999999998E-4</v>
          </cell>
          <cell r="Y168">
            <v>0</v>
          </cell>
          <cell r="Z168">
            <v>0</v>
          </cell>
          <cell r="AA168">
            <v>0</v>
          </cell>
        </row>
        <row r="169">
          <cell r="F169">
            <v>0</v>
          </cell>
          <cell r="G169">
            <v>9.9000000000000001E-6</v>
          </cell>
          <cell r="H169">
            <v>4.2300000000000005E-5</v>
          </cell>
          <cell r="I169">
            <v>4.1500000000000006E-5</v>
          </cell>
          <cell r="J169">
            <v>2.3690000000000001E-4</v>
          </cell>
          <cell r="K169">
            <v>2.12E-5</v>
          </cell>
          <cell r="L169">
            <v>7.0900000000000002E-5</v>
          </cell>
          <cell r="M169">
            <v>2.9799999999999999E-5</v>
          </cell>
          <cell r="N169">
            <v>6.6500000000000004E-5</v>
          </cell>
          <cell r="O169">
            <v>4.1500000000000006E-5</v>
          </cell>
          <cell r="P169">
            <v>2.3799999999999999E-5</v>
          </cell>
          <cell r="Q169">
            <v>2.3690000000000001E-4</v>
          </cell>
          <cell r="R169">
            <v>1.5080000000000001E-4</v>
          </cell>
          <cell r="S169">
            <v>9.3999999999999998E-6</v>
          </cell>
          <cell r="T169">
            <v>4.5800000000000002E-5</v>
          </cell>
          <cell r="U169">
            <v>5.5999999999999999E-5</v>
          </cell>
          <cell r="V169">
            <v>9.9000000000000001E-6</v>
          </cell>
          <cell r="W169">
            <v>3.1099999999999997E-5</v>
          </cell>
          <cell r="X169">
            <v>1.6550000000000001E-4</v>
          </cell>
          <cell r="Y169">
            <v>0</v>
          </cell>
          <cell r="Z169">
            <v>0</v>
          </cell>
          <cell r="AA169">
            <v>0</v>
          </cell>
        </row>
        <row r="170">
          <cell r="F170">
            <v>0</v>
          </cell>
          <cell r="G170">
            <v>9.9000000000000001E-6</v>
          </cell>
          <cell r="H170">
            <v>4.2300000000000005E-5</v>
          </cell>
          <cell r="I170">
            <v>4.1500000000000006E-5</v>
          </cell>
          <cell r="J170">
            <v>2.3690000000000001E-4</v>
          </cell>
          <cell r="K170">
            <v>2.12E-5</v>
          </cell>
          <cell r="L170">
            <v>7.0900000000000002E-5</v>
          </cell>
          <cell r="M170">
            <v>2.9799999999999999E-5</v>
          </cell>
          <cell r="N170">
            <v>6.6500000000000004E-5</v>
          </cell>
          <cell r="O170">
            <v>4.1500000000000006E-5</v>
          </cell>
          <cell r="P170">
            <v>2.3799999999999999E-5</v>
          </cell>
          <cell r="Q170">
            <v>2.3690000000000001E-4</v>
          </cell>
          <cell r="R170">
            <v>1.5080000000000001E-4</v>
          </cell>
          <cell r="S170">
            <v>9.3999999999999998E-6</v>
          </cell>
          <cell r="T170">
            <v>4.5800000000000002E-5</v>
          </cell>
          <cell r="U170">
            <v>5.5999999999999999E-5</v>
          </cell>
          <cell r="V170">
            <v>9.9000000000000001E-6</v>
          </cell>
          <cell r="W170">
            <v>3.1099999999999997E-5</v>
          </cell>
          <cell r="X170">
            <v>1.6550000000000001E-4</v>
          </cell>
          <cell r="Y170">
            <v>0</v>
          </cell>
          <cell r="Z170">
            <v>0</v>
          </cell>
          <cell r="AA170">
            <v>0</v>
          </cell>
        </row>
        <row r="171">
          <cell r="F171">
            <v>0</v>
          </cell>
          <cell r="G171">
            <v>9.9000000000000001E-6</v>
          </cell>
          <cell r="H171">
            <v>4.2300000000000005E-5</v>
          </cell>
          <cell r="I171">
            <v>4.1500000000000006E-5</v>
          </cell>
          <cell r="J171">
            <v>2.3690000000000001E-4</v>
          </cell>
          <cell r="K171">
            <v>2.12E-5</v>
          </cell>
          <cell r="L171">
            <v>7.0900000000000002E-5</v>
          </cell>
          <cell r="M171">
            <v>2.9799999999999999E-5</v>
          </cell>
          <cell r="N171">
            <v>6.6500000000000004E-5</v>
          </cell>
          <cell r="O171">
            <v>4.1500000000000006E-5</v>
          </cell>
          <cell r="P171">
            <v>2.3799999999999999E-5</v>
          </cell>
          <cell r="Q171">
            <v>2.3690000000000001E-4</v>
          </cell>
          <cell r="R171">
            <v>1.5080000000000001E-4</v>
          </cell>
          <cell r="S171">
            <v>9.3999999999999998E-6</v>
          </cell>
          <cell r="T171">
            <v>4.5800000000000002E-5</v>
          </cell>
          <cell r="U171">
            <v>5.5999999999999999E-5</v>
          </cell>
          <cell r="V171">
            <v>9.9000000000000001E-6</v>
          </cell>
          <cell r="W171">
            <v>3.1099999999999997E-5</v>
          </cell>
          <cell r="X171">
            <v>1.6550000000000001E-4</v>
          </cell>
          <cell r="Y171">
            <v>0</v>
          </cell>
          <cell r="Z171">
            <v>0</v>
          </cell>
          <cell r="AA171">
            <v>0</v>
          </cell>
        </row>
        <row r="172">
          <cell r="F172">
            <v>0</v>
          </cell>
          <cell r="G172">
            <v>9.9000000000000001E-6</v>
          </cell>
          <cell r="H172">
            <v>4.2300000000000005E-5</v>
          </cell>
          <cell r="I172">
            <v>4.1500000000000006E-5</v>
          </cell>
          <cell r="J172">
            <v>2.3690000000000001E-4</v>
          </cell>
          <cell r="K172">
            <v>2.12E-5</v>
          </cell>
          <cell r="L172">
            <v>7.0900000000000002E-5</v>
          </cell>
          <cell r="M172">
            <v>2.9799999999999999E-5</v>
          </cell>
          <cell r="N172">
            <v>6.6500000000000004E-5</v>
          </cell>
          <cell r="O172">
            <v>4.1500000000000006E-5</v>
          </cell>
          <cell r="P172">
            <v>2.3799999999999999E-5</v>
          </cell>
          <cell r="Q172">
            <v>2.3690000000000001E-4</v>
          </cell>
          <cell r="R172">
            <v>1.5080000000000001E-4</v>
          </cell>
          <cell r="S172">
            <v>9.3999999999999998E-6</v>
          </cell>
          <cell r="T172">
            <v>4.5800000000000002E-5</v>
          </cell>
          <cell r="U172">
            <v>5.5999999999999999E-5</v>
          </cell>
          <cell r="V172">
            <v>9.9000000000000001E-6</v>
          </cell>
          <cell r="W172">
            <v>3.1099999999999997E-5</v>
          </cell>
          <cell r="X172">
            <v>1.6550000000000001E-4</v>
          </cell>
          <cell r="Y172">
            <v>0</v>
          </cell>
          <cell r="Z172">
            <v>0</v>
          </cell>
          <cell r="AA172">
            <v>0</v>
          </cell>
        </row>
        <row r="173">
          <cell r="F173">
            <v>0</v>
          </cell>
          <cell r="G173">
            <v>9.9000000000000001E-6</v>
          </cell>
          <cell r="H173">
            <v>4.2300000000000005E-5</v>
          </cell>
          <cell r="I173">
            <v>4.1500000000000006E-5</v>
          </cell>
          <cell r="J173">
            <v>2.3690000000000001E-4</v>
          </cell>
          <cell r="K173">
            <v>2.12E-5</v>
          </cell>
          <cell r="L173">
            <v>7.0900000000000002E-5</v>
          </cell>
          <cell r="M173">
            <v>2.9799999999999999E-5</v>
          </cell>
          <cell r="N173">
            <v>6.6500000000000004E-5</v>
          </cell>
          <cell r="O173">
            <v>4.1500000000000006E-5</v>
          </cell>
          <cell r="P173">
            <v>2.3799999999999999E-5</v>
          </cell>
          <cell r="Q173">
            <v>2.3690000000000001E-4</v>
          </cell>
          <cell r="R173">
            <v>1.5080000000000001E-4</v>
          </cell>
          <cell r="S173">
            <v>9.3999999999999998E-6</v>
          </cell>
          <cell r="T173">
            <v>4.5800000000000002E-5</v>
          </cell>
          <cell r="U173">
            <v>5.5999999999999999E-5</v>
          </cell>
          <cell r="V173">
            <v>9.9000000000000001E-6</v>
          </cell>
          <cell r="W173">
            <v>3.1099999999999997E-5</v>
          </cell>
          <cell r="X173">
            <v>1.6550000000000001E-4</v>
          </cell>
          <cell r="Y173">
            <v>0</v>
          </cell>
          <cell r="Z173">
            <v>0</v>
          </cell>
          <cell r="AA173">
            <v>0</v>
          </cell>
        </row>
        <row r="174">
          <cell r="F174">
            <v>0</v>
          </cell>
          <cell r="G174">
            <v>9.9000000000000001E-6</v>
          </cell>
          <cell r="H174">
            <v>4.2300000000000005E-5</v>
          </cell>
          <cell r="I174">
            <v>4.1500000000000006E-5</v>
          </cell>
          <cell r="J174">
            <v>2.3690000000000001E-4</v>
          </cell>
          <cell r="K174">
            <v>2.12E-5</v>
          </cell>
          <cell r="L174">
            <v>7.0900000000000002E-5</v>
          </cell>
          <cell r="M174">
            <v>2.9799999999999999E-5</v>
          </cell>
          <cell r="N174">
            <v>6.6500000000000004E-5</v>
          </cell>
          <cell r="O174">
            <v>4.1500000000000006E-5</v>
          </cell>
          <cell r="P174">
            <v>2.3799999999999999E-5</v>
          </cell>
          <cell r="Q174">
            <v>2.3690000000000001E-4</v>
          </cell>
          <cell r="R174">
            <v>1.5080000000000001E-4</v>
          </cell>
          <cell r="S174">
            <v>9.3999999999999998E-6</v>
          </cell>
          <cell r="T174">
            <v>4.5800000000000002E-5</v>
          </cell>
          <cell r="U174">
            <v>5.5999999999999999E-5</v>
          </cell>
          <cell r="V174">
            <v>9.9000000000000001E-6</v>
          </cell>
          <cell r="W174">
            <v>3.1099999999999997E-5</v>
          </cell>
          <cell r="X174">
            <v>1.6550000000000001E-4</v>
          </cell>
          <cell r="Y174">
            <v>0</v>
          </cell>
          <cell r="Z174">
            <v>0</v>
          </cell>
          <cell r="AA174">
            <v>0</v>
          </cell>
        </row>
        <row r="175">
          <cell r="F175">
            <v>0</v>
          </cell>
          <cell r="G175">
            <v>9.9000000000000001E-6</v>
          </cell>
          <cell r="H175">
            <v>4.2300000000000005E-5</v>
          </cell>
          <cell r="I175">
            <v>4.1500000000000006E-5</v>
          </cell>
          <cell r="J175">
            <v>2.3690000000000001E-4</v>
          </cell>
          <cell r="K175">
            <v>2.12E-5</v>
          </cell>
          <cell r="L175">
            <v>7.0900000000000002E-5</v>
          </cell>
          <cell r="M175">
            <v>2.9799999999999999E-5</v>
          </cell>
          <cell r="N175">
            <v>6.6500000000000004E-5</v>
          </cell>
          <cell r="O175">
            <v>4.1500000000000006E-5</v>
          </cell>
          <cell r="P175">
            <v>2.3799999999999999E-5</v>
          </cell>
          <cell r="Q175">
            <v>2.3690000000000001E-4</v>
          </cell>
          <cell r="R175">
            <v>1.5080000000000001E-4</v>
          </cell>
          <cell r="S175">
            <v>9.3999999999999998E-6</v>
          </cell>
          <cell r="T175">
            <v>4.5800000000000002E-5</v>
          </cell>
          <cell r="U175">
            <v>5.5999999999999999E-5</v>
          </cell>
          <cell r="V175">
            <v>9.9000000000000001E-6</v>
          </cell>
          <cell r="W175">
            <v>3.1099999999999997E-5</v>
          </cell>
          <cell r="X175">
            <v>1.6550000000000001E-4</v>
          </cell>
          <cell r="Y175">
            <v>0</v>
          </cell>
          <cell r="Z175">
            <v>0</v>
          </cell>
          <cell r="AA175">
            <v>0</v>
          </cell>
        </row>
        <row r="176">
          <cell r="F176">
            <v>0</v>
          </cell>
          <cell r="G176">
            <v>9.9000000000000001E-6</v>
          </cell>
          <cell r="H176">
            <v>4.2300000000000005E-5</v>
          </cell>
          <cell r="I176">
            <v>4.1500000000000006E-5</v>
          </cell>
          <cell r="J176">
            <v>2.3690000000000001E-4</v>
          </cell>
          <cell r="K176">
            <v>2.12E-5</v>
          </cell>
          <cell r="L176">
            <v>7.0900000000000002E-5</v>
          </cell>
          <cell r="M176">
            <v>2.9799999999999999E-5</v>
          </cell>
          <cell r="N176">
            <v>6.6500000000000004E-5</v>
          </cell>
          <cell r="O176">
            <v>4.1500000000000006E-5</v>
          </cell>
          <cell r="P176">
            <v>2.3799999999999999E-5</v>
          </cell>
          <cell r="Q176">
            <v>2.3690000000000001E-4</v>
          </cell>
          <cell r="R176">
            <v>1.5080000000000001E-4</v>
          </cell>
          <cell r="S176">
            <v>9.3999999999999998E-6</v>
          </cell>
          <cell r="T176">
            <v>4.5800000000000002E-5</v>
          </cell>
          <cell r="U176">
            <v>5.5999999999999999E-5</v>
          </cell>
          <cell r="V176">
            <v>9.9000000000000001E-6</v>
          </cell>
          <cell r="W176">
            <v>3.1099999999999997E-5</v>
          </cell>
          <cell r="X176">
            <v>1.6550000000000001E-4</v>
          </cell>
          <cell r="Y176">
            <v>0</v>
          </cell>
          <cell r="Z176">
            <v>0</v>
          </cell>
          <cell r="AA176">
            <v>0</v>
          </cell>
        </row>
        <row r="177">
          <cell r="F177">
            <v>0</v>
          </cell>
          <cell r="G177">
            <v>9.9000000000000001E-6</v>
          </cell>
          <cell r="H177">
            <v>4.2300000000000005E-5</v>
          </cell>
          <cell r="I177">
            <v>4.1500000000000006E-5</v>
          </cell>
          <cell r="J177">
            <v>2.3690000000000001E-4</v>
          </cell>
          <cell r="K177">
            <v>2.12E-5</v>
          </cell>
          <cell r="L177">
            <v>7.0900000000000002E-5</v>
          </cell>
          <cell r="M177">
            <v>2.9799999999999999E-5</v>
          </cell>
          <cell r="N177">
            <v>6.6500000000000004E-5</v>
          </cell>
          <cell r="O177">
            <v>4.1500000000000006E-5</v>
          </cell>
          <cell r="P177">
            <v>2.3799999999999999E-5</v>
          </cell>
          <cell r="Q177">
            <v>2.3690000000000001E-4</v>
          </cell>
          <cell r="R177">
            <v>1.5080000000000001E-4</v>
          </cell>
          <cell r="S177">
            <v>9.3999999999999998E-6</v>
          </cell>
          <cell r="T177">
            <v>4.5800000000000002E-5</v>
          </cell>
          <cell r="U177">
            <v>5.5999999999999999E-5</v>
          </cell>
          <cell r="V177">
            <v>9.9000000000000001E-6</v>
          </cell>
          <cell r="W177">
            <v>3.1099999999999997E-5</v>
          </cell>
          <cell r="X177">
            <v>1.6550000000000001E-4</v>
          </cell>
          <cell r="Y177">
            <v>0</v>
          </cell>
          <cell r="Z177">
            <v>0</v>
          </cell>
          <cell r="AA177">
            <v>0</v>
          </cell>
        </row>
        <row r="178">
          <cell r="F178">
            <v>0</v>
          </cell>
          <cell r="G178">
            <v>9.9000000000000001E-6</v>
          </cell>
          <cell r="H178">
            <v>4.2300000000000005E-5</v>
          </cell>
          <cell r="I178">
            <v>4.1500000000000006E-5</v>
          </cell>
          <cell r="J178">
            <v>2.3690000000000001E-4</v>
          </cell>
          <cell r="K178">
            <v>2.12E-5</v>
          </cell>
          <cell r="L178">
            <v>7.0900000000000002E-5</v>
          </cell>
          <cell r="M178">
            <v>2.9799999999999999E-5</v>
          </cell>
          <cell r="N178">
            <v>6.6500000000000004E-5</v>
          </cell>
          <cell r="O178">
            <v>4.1500000000000006E-5</v>
          </cell>
          <cell r="P178">
            <v>2.3799999999999999E-5</v>
          </cell>
          <cell r="Q178">
            <v>2.3690000000000001E-4</v>
          </cell>
          <cell r="R178">
            <v>1.5080000000000001E-4</v>
          </cell>
          <cell r="S178">
            <v>9.3999999999999998E-6</v>
          </cell>
          <cell r="T178">
            <v>4.5800000000000002E-5</v>
          </cell>
          <cell r="U178">
            <v>5.5999999999999999E-5</v>
          </cell>
          <cell r="V178">
            <v>9.9000000000000001E-6</v>
          </cell>
          <cell r="W178">
            <v>3.1099999999999997E-5</v>
          </cell>
          <cell r="X178">
            <v>1.6550000000000001E-4</v>
          </cell>
          <cell r="Y178">
            <v>0</v>
          </cell>
          <cell r="Z178">
            <v>0</v>
          </cell>
          <cell r="AA178">
            <v>0</v>
          </cell>
        </row>
        <row r="179">
          <cell r="F179">
            <v>0</v>
          </cell>
          <cell r="G179">
            <v>9.9000000000000001E-6</v>
          </cell>
          <cell r="H179">
            <v>4.2300000000000005E-5</v>
          </cell>
          <cell r="I179">
            <v>4.1500000000000006E-5</v>
          </cell>
          <cell r="J179">
            <v>2.3690000000000001E-4</v>
          </cell>
          <cell r="K179">
            <v>2.12E-5</v>
          </cell>
          <cell r="L179">
            <v>7.0900000000000002E-5</v>
          </cell>
          <cell r="M179">
            <v>2.9799999999999999E-5</v>
          </cell>
          <cell r="N179">
            <v>6.6500000000000004E-5</v>
          </cell>
          <cell r="O179">
            <v>4.1500000000000006E-5</v>
          </cell>
          <cell r="P179">
            <v>2.3799999999999999E-5</v>
          </cell>
          <cell r="Q179">
            <v>2.3690000000000001E-4</v>
          </cell>
          <cell r="R179">
            <v>1.5080000000000001E-4</v>
          </cell>
          <cell r="S179">
            <v>9.3999999999999998E-6</v>
          </cell>
          <cell r="T179">
            <v>4.5800000000000002E-5</v>
          </cell>
          <cell r="U179">
            <v>5.5999999999999999E-5</v>
          </cell>
          <cell r="V179">
            <v>9.9000000000000001E-6</v>
          </cell>
          <cell r="W179">
            <v>3.1099999999999997E-5</v>
          </cell>
          <cell r="X179">
            <v>1.6550000000000001E-4</v>
          </cell>
          <cell r="Y179">
            <v>0</v>
          </cell>
          <cell r="Z179">
            <v>0</v>
          </cell>
          <cell r="AA179">
            <v>0</v>
          </cell>
        </row>
        <row r="180">
          <cell r="F180">
            <v>0</v>
          </cell>
          <cell r="G180">
            <v>9.9000000000000001E-6</v>
          </cell>
          <cell r="H180">
            <v>4.2300000000000005E-5</v>
          </cell>
          <cell r="I180">
            <v>4.1500000000000006E-5</v>
          </cell>
          <cell r="J180">
            <v>2.3690000000000001E-4</v>
          </cell>
          <cell r="K180">
            <v>2.12E-5</v>
          </cell>
          <cell r="L180">
            <v>7.0900000000000002E-5</v>
          </cell>
          <cell r="M180">
            <v>2.9799999999999999E-5</v>
          </cell>
          <cell r="N180">
            <v>6.6500000000000004E-5</v>
          </cell>
          <cell r="O180">
            <v>4.1500000000000006E-5</v>
          </cell>
          <cell r="P180">
            <v>2.3799999999999999E-5</v>
          </cell>
          <cell r="Q180">
            <v>2.3690000000000001E-4</v>
          </cell>
          <cell r="R180">
            <v>1.5080000000000001E-4</v>
          </cell>
          <cell r="S180">
            <v>9.3999999999999998E-6</v>
          </cell>
          <cell r="T180">
            <v>4.5800000000000002E-5</v>
          </cell>
          <cell r="U180">
            <v>5.5999999999999999E-5</v>
          </cell>
          <cell r="V180">
            <v>9.9000000000000001E-6</v>
          </cell>
          <cell r="W180">
            <v>3.1099999999999997E-5</v>
          </cell>
          <cell r="X180">
            <v>1.6550000000000001E-4</v>
          </cell>
          <cell r="Y180">
            <v>0</v>
          </cell>
          <cell r="Z180">
            <v>0</v>
          </cell>
          <cell r="AA180">
            <v>0</v>
          </cell>
        </row>
        <row r="181">
          <cell r="F181">
            <v>0</v>
          </cell>
          <cell r="G181">
            <v>9.9000000000000001E-6</v>
          </cell>
          <cell r="H181">
            <v>4.2300000000000005E-5</v>
          </cell>
          <cell r="I181">
            <v>4.1500000000000006E-5</v>
          </cell>
          <cell r="J181">
            <v>2.3690000000000001E-4</v>
          </cell>
          <cell r="K181">
            <v>2.12E-5</v>
          </cell>
          <cell r="L181">
            <v>7.0900000000000002E-5</v>
          </cell>
          <cell r="M181">
            <v>2.9799999999999999E-5</v>
          </cell>
          <cell r="N181">
            <v>6.6500000000000004E-5</v>
          </cell>
          <cell r="O181">
            <v>4.1500000000000006E-5</v>
          </cell>
          <cell r="P181">
            <v>2.3799999999999999E-5</v>
          </cell>
          <cell r="Q181">
            <v>2.3690000000000001E-4</v>
          </cell>
          <cell r="R181">
            <v>1.5080000000000001E-4</v>
          </cell>
          <cell r="S181">
            <v>9.3999999999999998E-6</v>
          </cell>
          <cell r="T181">
            <v>4.5800000000000002E-5</v>
          </cell>
          <cell r="U181">
            <v>5.5999999999999999E-5</v>
          </cell>
          <cell r="V181">
            <v>9.9000000000000001E-6</v>
          </cell>
          <cell r="W181">
            <v>3.1099999999999997E-5</v>
          </cell>
          <cell r="X181">
            <v>1.6550000000000001E-4</v>
          </cell>
          <cell r="Y181">
            <v>0</v>
          </cell>
          <cell r="Z181">
            <v>0</v>
          </cell>
          <cell r="AA181">
            <v>0</v>
          </cell>
        </row>
        <row r="182">
          <cell r="F182">
            <v>0</v>
          </cell>
          <cell r="G182">
            <v>9.9000000000000001E-6</v>
          </cell>
          <cell r="H182">
            <v>4.2300000000000005E-5</v>
          </cell>
          <cell r="I182">
            <v>4.1500000000000006E-5</v>
          </cell>
          <cell r="J182">
            <v>2.3690000000000001E-4</v>
          </cell>
          <cell r="K182">
            <v>2.12E-5</v>
          </cell>
          <cell r="L182">
            <v>7.0900000000000002E-5</v>
          </cell>
          <cell r="M182">
            <v>2.9799999999999999E-5</v>
          </cell>
          <cell r="N182">
            <v>6.6500000000000004E-5</v>
          </cell>
          <cell r="O182">
            <v>4.1500000000000006E-5</v>
          </cell>
          <cell r="P182">
            <v>2.3799999999999999E-5</v>
          </cell>
          <cell r="Q182">
            <v>2.3690000000000001E-4</v>
          </cell>
          <cell r="R182">
            <v>1.5080000000000001E-4</v>
          </cell>
          <cell r="S182">
            <v>9.3999999999999998E-6</v>
          </cell>
          <cell r="T182">
            <v>4.5800000000000002E-5</v>
          </cell>
          <cell r="U182">
            <v>5.5999999999999999E-5</v>
          </cell>
          <cell r="V182">
            <v>9.9000000000000001E-6</v>
          </cell>
          <cell r="W182">
            <v>3.1099999999999997E-5</v>
          </cell>
          <cell r="X182">
            <v>1.6550000000000001E-4</v>
          </cell>
          <cell r="Y182">
            <v>0</v>
          </cell>
          <cell r="Z182">
            <v>0</v>
          </cell>
          <cell r="AA182">
            <v>0</v>
          </cell>
        </row>
        <row r="183">
          <cell r="F183">
            <v>0</v>
          </cell>
          <cell r="G183">
            <v>9.9000000000000001E-6</v>
          </cell>
          <cell r="H183">
            <v>4.2300000000000005E-5</v>
          </cell>
          <cell r="I183">
            <v>4.1500000000000006E-5</v>
          </cell>
          <cell r="J183">
            <v>2.3690000000000001E-4</v>
          </cell>
          <cell r="K183">
            <v>2.12E-5</v>
          </cell>
          <cell r="L183">
            <v>7.0900000000000002E-5</v>
          </cell>
          <cell r="M183">
            <v>2.9799999999999999E-5</v>
          </cell>
          <cell r="N183">
            <v>6.6500000000000004E-5</v>
          </cell>
          <cell r="O183">
            <v>4.1500000000000006E-5</v>
          </cell>
          <cell r="P183">
            <v>2.3799999999999999E-5</v>
          </cell>
          <cell r="Q183">
            <v>2.3690000000000001E-4</v>
          </cell>
          <cell r="R183">
            <v>1.5080000000000001E-4</v>
          </cell>
          <cell r="S183">
            <v>9.3999999999999998E-6</v>
          </cell>
          <cell r="T183">
            <v>4.5800000000000002E-5</v>
          </cell>
          <cell r="U183">
            <v>5.5999999999999999E-5</v>
          </cell>
          <cell r="V183">
            <v>9.9000000000000001E-6</v>
          </cell>
          <cell r="W183">
            <v>3.1099999999999997E-5</v>
          </cell>
          <cell r="X183">
            <v>1.6550000000000001E-4</v>
          </cell>
          <cell r="Y183">
            <v>0</v>
          </cell>
          <cell r="Z183">
            <v>0</v>
          </cell>
          <cell r="AA183">
            <v>0</v>
          </cell>
        </row>
        <row r="184">
          <cell r="F184">
            <v>0</v>
          </cell>
          <cell r="G184">
            <v>9.9000000000000001E-6</v>
          </cell>
          <cell r="H184">
            <v>4.2300000000000005E-5</v>
          </cell>
          <cell r="I184">
            <v>4.1500000000000006E-5</v>
          </cell>
          <cell r="J184">
            <v>2.3690000000000001E-4</v>
          </cell>
          <cell r="K184">
            <v>2.12E-5</v>
          </cell>
          <cell r="L184">
            <v>7.0900000000000002E-5</v>
          </cell>
          <cell r="M184">
            <v>2.9799999999999999E-5</v>
          </cell>
          <cell r="N184">
            <v>6.6500000000000004E-5</v>
          </cell>
          <cell r="O184">
            <v>4.1500000000000006E-5</v>
          </cell>
          <cell r="P184">
            <v>2.3799999999999999E-5</v>
          </cell>
          <cell r="Q184">
            <v>2.3690000000000001E-4</v>
          </cell>
          <cell r="R184">
            <v>1.5080000000000001E-4</v>
          </cell>
          <cell r="S184">
            <v>9.3999999999999998E-6</v>
          </cell>
          <cell r="T184">
            <v>4.5800000000000002E-5</v>
          </cell>
          <cell r="U184">
            <v>5.5999999999999999E-5</v>
          </cell>
          <cell r="V184">
            <v>9.9000000000000001E-6</v>
          </cell>
          <cell r="W184">
            <v>3.1099999999999997E-5</v>
          </cell>
          <cell r="X184">
            <v>1.6550000000000001E-4</v>
          </cell>
          <cell r="Y184">
            <v>0</v>
          </cell>
          <cell r="Z184">
            <v>0</v>
          </cell>
          <cell r="AA184">
            <v>0</v>
          </cell>
        </row>
        <row r="192">
          <cell r="F192">
            <v>2.4269999999999999E-4</v>
          </cell>
          <cell r="G192">
            <v>1.0900000000000001E-5</v>
          </cell>
          <cell r="H192">
            <v>5.6100000000000002E-5</v>
          </cell>
          <cell r="I192">
            <v>2.19E-5</v>
          </cell>
          <cell r="J192">
            <v>6.1199999999999997E-5</v>
          </cell>
          <cell r="K192">
            <v>1.91E-5</v>
          </cell>
          <cell r="L192">
            <v>1.1630000000000001E-4</v>
          </cell>
          <cell r="M192">
            <v>3.2499999999999997E-5</v>
          </cell>
          <cell r="N192">
            <v>2.1499999999999997E-5</v>
          </cell>
          <cell r="O192">
            <v>2.9199999999999998E-5</v>
          </cell>
          <cell r="P192">
            <v>4.0800000000000002E-5</v>
          </cell>
          <cell r="Q192">
            <v>6.1199999999999997E-5</v>
          </cell>
          <cell r="R192">
            <v>7.4200000000000001E-5</v>
          </cell>
          <cell r="S192">
            <v>2.6000000000000001E-6</v>
          </cell>
          <cell r="T192">
            <v>1.1200000000000001E-5</v>
          </cell>
          <cell r="U192">
            <v>1.1000000000000001E-5</v>
          </cell>
          <cell r="V192">
            <v>1.0900000000000001E-5</v>
          </cell>
          <cell r="W192">
            <v>3.1E-6</v>
          </cell>
          <cell r="X192">
            <v>5.7300000000000004E-5</v>
          </cell>
          <cell r="Y192">
            <v>0</v>
          </cell>
          <cell r="Z192">
            <v>0</v>
          </cell>
          <cell r="AA192">
            <v>0</v>
          </cell>
        </row>
        <row r="193">
          <cell r="F193">
            <v>2.4269999999999999E-4</v>
          </cell>
          <cell r="G193">
            <v>1.0900000000000001E-5</v>
          </cell>
          <cell r="H193">
            <v>5.6100000000000002E-5</v>
          </cell>
          <cell r="I193">
            <v>2.19E-5</v>
          </cell>
          <cell r="J193">
            <v>6.1199999999999997E-5</v>
          </cell>
          <cell r="K193">
            <v>1.91E-5</v>
          </cell>
          <cell r="L193">
            <v>1.1630000000000001E-4</v>
          </cell>
          <cell r="M193">
            <v>3.2499999999999997E-5</v>
          </cell>
          <cell r="N193">
            <v>2.1499999999999997E-5</v>
          </cell>
          <cell r="O193">
            <v>2.9199999999999998E-5</v>
          </cell>
          <cell r="P193">
            <v>4.0800000000000002E-5</v>
          </cell>
          <cell r="Q193">
            <v>6.1199999999999997E-5</v>
          </cell>
          <cell r="R193">
            <v>7.4200000000000001E-5</v>
          </cell>
          <cell r="S193">
            <v>2.6000000000000001E-6</v>
          </cell>
          <cell r="T193">
            <v>1.1200000000000001E-5</v>
          </cell>
          <cell r="U193">
            <v>1.1000000000000001E-5</v>
          </cell>
          <cell r="V193">
            <v>1.0900000000000001E-5</v>
          </cell>
          <cell r="W193">
            <v>3.1E-6</v>
          </cell>
          <cell r="X193">
            <v>5.7300000000000004E-5</v>
          </cell>
          <cell r="Y193">
            <v>0</v>
          </cell>
          <cell r="Z193">
            <v>0</v>
          </cell>
          <cell r="AA193">
            <v>0</v>
          </cell>
        </row>
        <row r="194">
          <cell r="F194">
            <v>2.4269999999999999E-4</v>
          </cell>
          <cell r="G194">
            <v>1.0900000000000001E-5</v>
          </cell>
          <cell r="H194">
            <v>5.6100000000000002E-5</v>
          </cell>
          <cell r="I194">
            <v>2.19E-5</v>
          </cell>
          <cell r="J194">
            <v>6.1199999999999997E-5</v>
          </cell>
          <cell r="K194">
            <v>1.91E-5</v>
          </cell>
          <cell r="L194">
            <v>1.1630000000000001E-4</v>
          </cell>
          <cell r="M194">
            <v>3.2499999999999997E-5</v>
          </cell>
          <cell r="N194">
            <v>2.1499999999999997E-5</v>
          </cell>
          <cell r="O194">
            <v>2.9199999999999998E-5</v>
          </cell>
          <cell r="P194">
            <v>4.0800000000000002E-5</v>
          </cell>
          <cell r="Q194">
            <v>6.1199999999999997E-5</v>
          </cell>
          <cell r="R194">
            <v>7.4200000000000001E-5</v>
          </cell>
          <cell r="S194">
            <v>2.6000000000000001E-6</v>
          </cell>
          <cell r="T194">
            <v>1.1200000000000001E-5</v>
          </cell>
          <cell r="U194">
            <v>1.1000000000000001E-5</v>
          </cell>
          <cell r="V194">
            <v>1.0900000000000001E-5</v>
          </cell>
          <cell r="W194">
            <v>3.1E-6</v>
          </cell>
          <cell r="X194">
            <v>5.7300000000000004E-5</v>
          </cell>
          <cell r="Y194">
            <v>0</v>
          </cell>
          <cell r="Z194">
            <v>0</v>
          </cell>
          <cell r="AA194">
            <v>0</v>
          </cell>
        </row>
        <row r="195">
          <cell r="F195">
            <v>2.4269999999999999E-4</v>
          </cell>
          <cell r="G195">
            <v>1.0900000000000001E-5</v>
          </cell>
          <cell r="H195">
            <v>5.6100000000000002E-5</v>
          </cell>
          <cell r="I195">
            <v>2.19E-5</v>
          </cell>
          <cell r="J195">
            <v>6.1199999999999997E-5</v>
          </cell>
          <cell r="K195">
            <v>1.91E-5</v>
          </cell>
          <cell r="L195">
            <v>1.1630000000000001E-4</v>
          </cell>
          <cell r="M195">
            <v>3.2499999999999997E-5</v>
          </cell>
          <cell r="N195">
            <v>2.1499999999999997E-5</v>
          </cell>
          <cell r="O195">
            <v>2.9199999999999998E-5</v>
          </cell>
          <cell r="P195">
            <v>4.0800000000000002E-5</v>
          </cell>
          <cell r="Q195">
            <v>6.1199999999999997E-5</v>
          </cell>
          <cell r="R195">
            <v>7.4200000000000001E-5</v>
          </cell>
          <cell r="S195">
            <v>2.6000000000000001E-6</v>
          </cell>
          <cell r="T195">
            <v>1.1200000000000001E-5</v>
          </cell>
          <cell r="U195">
            <v>1.1000000000000001E-5</v>
          </cell>
          <cell r="V195">
            <v>1.0900000000000001E-5</v>
          </cell>
          <cell r="W195">
            <v>3.1E-6</v>
          </cell>
          <cell r="X195">
            <v>5.7300000000000004E-5</v>
          </cell>
          <cell r="Y195">
            <v>0</v>
          </cell>
          <cell r="Z195">
            <v>0</v>
          </cell>
          <cell r="AA195">
            <v>0</v>
          </cell>
        </row>
        <row r="196">
          <cell r="F196">
            <v>2.4269999999999999E-4</v>
          </cell>
          <cell r="G196">
            <v>1.0900000000000001E-5</v>
          </cell>
          <cell r="H196">
            <v>5.6100000000000002E-5</v>
          </cell>
          <cell r="I196">
            <v>2.19E-5</v>
          </cell>
          <cell r="J196">
            <v>6.1199999999999997E-5</v>
          </cell>
          <cell r="K196">
            <v>1.91E-5</v>
          </cell>
          <cell r="L196">
            <v>1.1630000000000001E-4</v>
          </cell>
          <cell r="M196">
            <v>3.2499999999999997E-5</v>
          </cell>
          <cell r="N196">
            <v>2.1499999999999997E-5</v>
          </cell>
          <cell r="O196">
            <v>2.9199999999999998E-5</v>
          </cell>
          <cell r="P196">
            <v>4.0800000000000002E-5</v>
          </cell>
          <cell r="Q196">
            <v>6.1199999999999997E-5</v>
          </cell>
          <cell r="R196">
            <v>7.4200000000000001E-5</v>
          </cell>
          <cell r="S196">
            <v>2.6000000000000001E-6</v>
          </cell>
          <cell r="T196">
            <v>1.1200000000000001E-5</v>
          </cell>
          <cell r="U196">
            <v>1.1000000000000001E-5</v>
          </cell>
          <cell r="V196">
            <v>1.0900000000000001E-5</v>
          </cell>
          <cell r="W196">
            <v>3.1E-6</v>
          </cell>
          <cell r="X196">
            <v>5.7300000000000004E-5</v>
          </cell>
          <cell r="Y196">
            <v>0</v>
          </cell>
          <cell r="Z196">
            <v>0</v>
          </cell>
          <cell r="AA196">
            <v>0</v>
          </cell>
        </row>
        <row r="197">
          <cell r="F197">
            <v>4.1700000000000005E-4</v>
          </cell>
          <cell r="G197">
            <v>1.5090000000000001E-4</v>
          </cell>
          <cell r="H197">
            <v>9.9300000000000001E-5</v>
          </cell>
          <cell r="I197">
            <v>4.2599999999999999E-5</v>
          </cell>
          <cell r="J197">
            <v>7.9400000000000006E-5</v>
          </cell>
          <cell r="K197">
            <v>3.2799999999999998E-5</v>
          </cell>
          <cell r="L197">
            <v>1.684E-4</v>
          </cell>
          <cell r="M197">
            <v>4.5800000000000002E-5</v>
          </cell>
          <cell r="N197">
            <v>3.18E-5</v>
          </cell>
          <cell r="O197">
            <v>4.7000000000000004E-5</v>
          </cell>
          <cell r="P197">
            <v>8.5900000000000001E-5</v>
          </cell>
          <cell r="Q197">
            <v>7.9400000000000006E-5</v>
          </cell>
          <cell r="R197">
            <v>1.082E-4</v>
          </cell>
          <cell r="S197">
            <v>3.7000000000000002E-6</v>
          </cell>
          <cell r="T197">
            <v>2.09E-5</v>
          </cell>
          <cell r="U197">
            <v>2.2000000000000003E-5</v>
          </cell>
          <cell r="V197">
            <v>1.22E-5</v>
          </cell>
          <cell r="W197">
            <v>5.1000000000000003E-6</v>
          </cell>
          <cell r="X197">
            <v>8.0699999999999996E-5</v>
          </cell>
          <cell r="Y197">
            <v>0</v>
          </cell>
          <cell r="Z197">
            <v>0</v>
          </cell>
          <cell r="AA197">
            <v>0</v>
          </cell>
        </row>
        <row r="198">
          <cell r="F198">
            <v>4.1700000000000005E-4</v>
          </cell>
          <cell r="G198">
            <v>1.5090000000000001E-4</v>
          </cell>
          <cell r="H198">
            <v>9.9300000000000001E-5</v>
          </cell>
          <cell r="I198">
            <v>4.2599999999999999E-5</v>
          </cell>
          <cell r="J198">
            <v>7.9400000000000006E-5</v>
          </cell>
          <cell r="K198">
            <v>3.2799999999999998E-5</v>
          </cell>
          <cell r="L198">
            <v>1.684E-4</v>
          </cell>
          <cell r="M198">
            <v>4.5800000000000002E-5</v>
          </cell>
          <cell r="N198">
            <v>3.18E-5</v>
          </cell>
          <cell r="O198">
            <v>4.7000000000000004E-5</v>
          </cell>
          <cell r="P198">
            <v>8.5900000000000001E-5</v>
          </cell>
          <cell r="Q198">
            <v>7.9400000000000006E-5</v>
          </cell>
          <cell r="R198">
            <v>1.082E-4</v>
          </cell>
          <cell r="S198">
            <v>3.7000000000000002E-6</v>
          </cell>
          <cell r="T198">
            <v>2.09E-5</v>
          </cell>
          <cell r="U198">
            <v>2.2000000000000003E-5</v>
          </cell>
          <cell r="V198">
            <v>1.22E-5</v>
          </cell>
          <cell r="W198">
            <v>5.1000000000000003E-6</v>
          </cell>
          <cell r="X198">
            <v>8.0699999999999996E-5</v>
          </cell>
          <cell r="Y198">
            <v>0</v>
          </cell>
          <cell r="Z198">
            <v>0</v>
          </cell>
          <cell r="AA198">
            <v>0</v>
          </cell>
        </row>
        <row r="199">
          <cell r="F199">
            <v>4.1700000000000005E-4</v>
          </cell>
          <cell r="G199">
            <v>1.5090000000000001E-4</v>
          </cell>
          <cell r="H199">
            <v>9.9300000000000001E-5</v>
          </cell>
          <cell r="I199">
            <v>4.2599999999999999E-5</v>
          </cell>
          <cell r="J199">
            <v>7.9400000000000006E-5</v>
          </cell>
          <cell r="K199">
            <v>3.2799999999999998E-5</v>
          </cell>
          <cell r="L199">
            <v>1.684E-4</v>
          </cell>
          <cell r="M199">
            <v>4.5800000000000002E-5</v>
          </cell>
          <cell r="N199">
            <v>3.18E-5</v>
          </cell>
          <cell r="O199">
            <v>4.7000000000000004E-5</v>
          </cell>
          <cell r="P199">
            <v>8.5900000000000001E-5</v>
          </cell>
          <cell r="Q199">
            <v>7.9400000000000006E-5</v>
          </cell>
          <cell r="R199">
            <v>1.082E-4</v>
          </cell>
          <cell r="S199">
            <v>3.7000000000000002E-6</v>
          </cell>
          <cell r="T199">
            <v>2.09E-5</v>
          </cell>
          <cell r="U199">
            <v>2.2000000000000003E-5</v>
          </cell>
          <cell r="V199">
            <v>1.22E-5</v>
          </cell>
          <cell r="W199">
            <v>5.1000000000000003E-6</v>
          </cell>
          <cell r="X199">
            <v>8.0699999999999996E-5</v>
          </cell>
          <cell r="Y199">
            <v>0</v>
          </cell>
          <cell r="Z199">
            <v>0</v>
          </cell>
          <cell r="AA199">
            <v>0</v>
          </cell>
        </row>
        <row r="200">
          <cell r="F200">
            <v>4.1700000000000005E-4</v>
          </cell>
          <cell r="G200">
            <v>1.5090000000000001E-4</v>
          </cell>
          <cell r="H200">
            <v>9.9300000000000001E-5</v>
          </cell>
          <cell r="I200">
            <v>4.2599999999999999E-5</v>
          </cell>
          <cell r="J200">
            <v>7.9400000000000006E-5</v>
          </cell>
          <cell r="K200">
            <v>3.2799999999999998E-5</v>
          </cell>
          <cell r="L200">
            <v>1.684E-4</v>
          </cell>
          <cell r="M200">
            <v>4.5800000000000002E-5</v>
          </cell>
          <cell r="N200">
            <v>3.18E-5</v>
          </cell>
          <cell r="O200">
            <v>4.7000000000000004E-5</v>
          </cell>
          <cell r="P200">
            <v>8.5900000000000001E-5</v>
          </cell>
          <cell r="Q200">
            <v>7.9400000000000006E-5</v>
          </cell>
          <cell r="R200">
            <v>1.082E-4</v>
          </cell>
          <cell r="S200">
            <v>3.7000000000000002E-6</v>
          </cell>
          <cell r="T200">
            <v>2.09E-5</v>
          </cell>
          <cell r="U200">
            <v>2.2000000000000003E-5</v>
          </cell>
          <cell r="V200">
            <v>1.22E-5</v>
          </cell>
          <cell r="W200">
            <v>5.1000000000000003E-6</v>
          </cell>
          <cell r="X200">
            <v>8.0699999999999996E-5</v>
          </cell>
          <cell r="Y200">
            <v>0</v>
          </cell>
          <cell r="Z200">
            <v>0</v>
          </cell>
          <cell r="AA200">
            <v>0</v>
          </cell>
        </row>
        <row r="201">
          <cell r="F201">
            <v>4.1700000000000005E-4</v>
          </cell>
          <cell r="G201">
            <v>1.5090000000000001E-4</v>
          </cell>
          <cell r="H201">
            <v>9.9300000000000001E-5</v>
          </cell>
          <cell r="I201">
            <v>4.2599999999999999E-5</v>
          </cell>
          <cell r="J201">
            <v>7.9400000000000006E-5</v>
          </cell>
          <cell r="K201">
            <v>3.2799999999999998E-5</v>
          </cell>
          <cell r="L201">
            <v>1.684E-4</v>
          </cell>
          <cell r="M201">
            <v>4.5800000000000002E-5</v>
          </cell>
          <cell r="N201">
            <v>3.18E-5</v>
          </cell>
          <cell r="O201">
            <v>4.7000000000000004E-5</v>
          </cell>
          <cell r="P201">
            <v>8.5900000000000001E-5</v>
          </cell>
          <cell r="Q201">
            <v>7.9400000000000006E-5</v>
          </cell>
          <cell r="R201">
            <v>1.082E-4</v>
          </cell>
          <cell r="S201">
            <v>3.7000000000000002E-6</v>
          </cell>
          <cell r="T201">
            <v>2.09E-5</v>
          </cell>
          <cell r="U201">
            <v>2.2000000000000003E-5</v>
          </cell>
          <cell r="V201">
            <v>1.22E-5</v>
          </cell>
          <cell r="W201">
            <v>5.1000000000000003E-6</v>
          </cell>
          <cell r="X201">
            <v>8.0699999999999996E-5</v>
          </cell>
          <cell r="Y201">
            <v>0</v>
          </cell>
          <cell r="Z201">
            <v>0</v>
          </cell>
          <cell r="AA201">
            <v>0</v>
          </cell>
        </row>
        <row r="202">
          <cell r="F202">
            <v>6.7560000000000005E-4</v>
          </cell>
          <cell r="G202">
            <v>2.0170000000000002E-4</v>
          </cell>
          <cell r="H202">
            <v>1.5569999999999999E-4</v>
          </cell>
          <cell r="I202">
            <v>4.9299999999999999E-5</v>
          </cell>
          <cell r="J202">
            <v>1.025E-4</v>
          </cell>
          <cell r="K202">
            <v>4.7599999999999998E-5</v>
          </cell>
          <cell r="L202">
            <v>1.975E-4</v>
          </cell>
          <cell r="M202">
            <v>6.3200000000000005E-5</v>
          </cell>
          <cell r="N202">
            <v>4.6799999999999999E-5</v>
          </cell>
          <cell r="O202">
            <v>6.58E-5</v>
          </cell>
          <cell r="P202">
            <v>1.474E-4</v>
          </cell>
          <cell r="Q202">
            <v>1.025E-4</v>
          </cell>
          <cell r="R202">
            <v>1.6010000000000002E-4</v>
          </cell>
          <cell r="S202">
            <v>3.8999999999999999E-6</v>
          </cell>
          <cell r="T202">
            <v>3.04E-5</v>
          </cell>
          <cell r="U202">
            <v>3.4600000000000001E-5</v>
          </cell>
          <cell r="V202">
            <v>1.3500000000000001E-5</v>
          </cell>
          <cell r="W202">
            <v>9.2E-6</v>
          </cell>
          <cell r="X202">
            <v>1.091E-4</v>
          </cell>
          <cell r="Y202">
            <v>0</v>
          </cell>
          <cell r="Z202">
            <v>0</v>
          </cell>
          <cell r="AA202">
            <v>0</v>
          </cell>
        </row>
        <row r="203">
          <cell r="F203">
            <v>6.7560000000000005E-4</v>
          </cell>
          <cell r="G203">
            <v>2.0170000000000002E-4</v>
          </cell>
          <cell r="H203">
            <v>1.5569999999999999E-4</v>
          </cell>
          <cell r="I203">
            <v>4.9299999999999999E-5</v>
          </cell>
          <cell r="J203">
            <v>1.025E-4</v>
          </cell>
          <cell r="K203">
            <v>4.7599999999999998E-5</v>
          </cell>
          <cell r="L203">
            <v>1.975E-4</v>
          </cell>
          <cell r="M203">
            <v>6.3200000000000005E-5</v>
          </cell>
          <cell r="N203">
            <v>4.6799999999999999E-5</v>
          </cell>
          <cell r="O203">
            <v>6.58E-5</v>
          </cell>
          <cell r="P203">
            <v>1.474E-4</v>
          </cell>
          <cell r="Q203">
            <v>1.025E-4</v>
          </cell>
          <cell r="R203">
            <v>1.6010000000000002E-4</v>
          </cell>
          <cell r="S203">
            <v>3.8999999999999999E-6</v>
          </cell>
          <cell r="T203">
            <v>3.04E-5</v>
          </cell>
          <cell r="U203">
            <v>3.4600000000000001E-5</v>
          </cell>
          <cell r="V203">
            <v>1.3500000000000001E-5</v>
          </cell>
          <cell r="W203">
            <v>9.2E-6</v>
          </cell>
          <cell r="X203">
            <v>1.091E-4</v>
          </cell>
          <cell r="Y203">
            <v>0</v>
          </cell>
          <cell r="Z203">
            <v>0</v>
          </cell>
          <cell r="AA203">
            <v>0</v>
          </cell>
        </row>
        <row r="204">
          <cell r="F204">
            <v>6.7560000000000005E-4</v>
          </cell>
          <cell r="G204">
            <v>2.0170000000000002E-4</v>
          </cell>
          <cell r="H204">
            <v>1.5569999999999999E-4</v>
          </cell>
          <cell r="I204">
            <v>4.9299999999999999E-5</v>
          </cell>
          <cell r="J204">
            <v>1.025E-4</v>
          </cell>
          <cell r="K204">
            <v>4.7599999999999998E-5</v>
          </cell>
          <cell r="L204">
            <v>1.975E-4</v>
          </cell>
          <cell r="M204">
            <v>6.3200000000000005E-5</v>
          </cell>
          <cell r="N204">
            <v>4.6799999999999999E-5</v>
          </cell>
          <cell r="O204">
            <v>6.58E-5</v>
          </cell>
          <cell r="P204">
            <v>1.474E-4</v>
          </cell>
          <cell r="Q204">
            <v>1.025E-4</v>
          </cell>
          <cell r="R204">
            <v>1.6010000000000002E-4</v>
          </cell>
          <cell r="S204">
            <v>3.8999999999999999E-6</v>
          </cell>
          <cell r="T204">
            <v>3.04E-5</v>
          </cell>
          <cell r="U204">
            <v>3.4600000000000001E-5</v>
          </cell>
          <cell r="V204">
            <v>1.3500000000000001E-5</v>
          </cell>
          <cell r="W204">
            <v>9.2E-6</v>
          </cell>
          <cell r="X204">
            <v>1.091E-4</v>
          </cell>
          <cell r="Y204">
            <v>0</v>
          </cell>
          <cell r="Z204">
            <v>0</v>
          </cell>
          <cell r="AA204">
            <v>0</v>
          </cell>
        </row>
        <row r="205">
          <cell r="F205">
            <v>6.7560000000000005E-4</v>
          </cell>
          <cell r="G205">
            <v>2.0170000000000002E-4</v>
          </cell>
          <cell r="H205">
            <v>1.5569999999999999E-4</v>
          </cell>
          <cell r="I205">
            <v>4.9299999999999999E-5</v>
          </cell>
          <cell r="J205">
            <v>1.025E-4</v>
          </cell>
          <cell r="K205">
            <v>4.7599999999999998E-5</v>
          </cell>
          <cell r="L205">
            <v>1.975E-4</v>
          </cell>
          <cell r="M205">
            <v>6.3200000000000005E-5</v>
          </cell>
          <cell r="N205">
            <v>4.6799999999999999E-5</v>
          </cell>
          <cell r="O205">
            <v>6.58E-5</v>
          </cell>
          <cell r="P205">
            <v>1.474E-4</v>
          </cell>
          <cell r="Q205">
            <v>1.025E-4</v>
          </cell>
          <cell r="R205">
            <v>1.6010000000000002E-4</v>
          </cell>
          <cell r="S205">
            <v>3.8999999999999999E-6</v>
          </cell>
          <cell r="T205">
            <v>3.04E-5</v>
          </cell>
          <cell r="U205">
            <v>3.4600000000000001E-5</v>
          </cell>
          <cell r="V205">
            <v>1.3500000000000001E-5</v>
          </cell>
          <cell r="W205">
            <v>9.2E-6</v>
          </cell>
          <cell r="X205">
            <v>1.091E-4</v>
          </cell>
          <cell r="Y205">
            <v>0</v>
          </cell>
          <cell r="Z205">
            <v>0</v>
          </cell>
          <cell r="AA205">
            <v>0</v>
          </cell>
        </row>
        <row r="206">
          <cell r="F206">
            <v>6.7560000000000005E-4</v>
          </cell>
          <cell r="G206">
            <v>2.0170000000000002E-4</v>
          </cell>
          <cell r="H206">
            <v>1.5569999999999999E-4</v>
          </cell>
          <cell r="I206">
            <v>4.9299999999999999E-5</v>
          </cell>
          <cell r="J206">
            <v>1.025E-4</v>
          </cell>
          <cell r="K206">
            <v>4.7599999999999998E-5</v>
          </cell>
          <cell r="L206">
            <v>1.975E-4</v>
          </cell>
          <cell r="M206">
            <v>6.3200000000000005E-5</v>
          </cell>
          <cell r="N206">
            <v>4.6799999999999999E-5</v>
          </cell>
          <cell r="O206">
            <v>6.58E-5</v>
          </cell>
          <cell r="P206">
            <v>1.474E-4</v>
          </cell>
          <cell r="Q206">
            <v>1.025E-4</v>
          </cell>
          <cell r="R206">
            <v>1.6010000000000002E-4</v>
          </cell>
          <cell r="S206">
            <v>3.8999999999999999E-6</v>
          </cell>
          <cell r="T206">
            <v>3.04E-5</v>
          </cell>
          <cell r="U206">
            <v>3.4600000000000001E-5</v>
          </cell>
          <cell r="V206">
            <v>1.3500000000000001E-5</v>
          </cell>
          <cell r="W206">
            <v>9.2E-6</v>
          </cell>
          <cell r="X206">
            <v>1.091E-4</v>
          </cell>
          <cell r="Y206">
            <v>0</v>
          </cell>
          <cell r="Z206">
            <v>0</v>
          </cell>
          <cell r="AA206">
            <v>0</v>
          </cell>
        </row>
        <row r="207">
          <cell r="F207">
            <v>1.0495999999999999E-3</v>
          </cell>
          <cell r="G207">
            <v>2.544E-4</v>
          </cell>
          <cell r="H207">
            <v>2.2420000000000003E-4</v>
          </cell>
          <cell r="I207">
            <v>4.9800000000000004E-5</v>
          </cell>
          <cell r="J207">
            <v>1.169E-4</v>
          </cell>
          <cell r="K207">
            <v>6.0700000000000005E-5</v>
          </cell>
          <cell r="L207">
            <v>2.062E-4</v>
          </cell>
          <cell r="M207">
            <v>8.7799999999999993E-5</v>
          </cell>
          <cell r="N207">
            <v>6.2000000000000003E-5</v>
          </cell>
          <cell r="O207">
            <v>8.1199999999999995E-5</v>
          </cell>
          <cell r="P207">
            <v>2.061E-4</v>
          </cell>
          <cell r="Q207">
            <v>1.169E-4</v>
          </cell>
          <cell r="R207">
            <v>2.22E-4</v>
          </cell>
          <cell r="S207">
            <v>4.7999999999999998E-6</v>
          </cell>
          <cell r="T207">
            <v>1.6900000000000001E-5</v>
          </cell>
          <cell r="U207">
            <v>5.2000000000000004E-5</v>
          </cell>
          <cell r="V207">
            <v>1.29E-5</v>
          </cell>
          <cell r="W207">
            <v>1.6900000000000001E-5</v>
          </cell>
          <cell r="X207">
            <v>1.4540000000000001E-4</v>
          </cell>
          <cell r="Y207">
            <v>0</v>
          </cell>
          <cell r="Z207">
            <v>0</v>
          </cell>
          <cell r="AA207">
            <v>0</v>
          </cell>
        </row>
        <row r="208">
          <cell r="F208">
            <v>1.0495999999999999E-3</v>
          </cell>
          <cell r="G208">
            <v>2.544E-4</v>
          </cell>
          <cell r="H208">
            <v>2.2420000000000003E-4</v>
          </cell>
          <cell r="I208">
            <v>4.9800000000000004E-5</v>
          </cell>
          <cell r="J208">
            <v>1.169E-4</v>
          </cell>
          <cell r="K208">
            <v>6.0700000000000005E-5</v>
          </cell>
          <cell r="L208">
            <v>2.062E-4</v>
          </cell>
          <cell r="M208">
            <v>8.7799999999999993E-5</v>
          </cell>
          <cell r="N208">
            <v>6.2000000000000003E-5</v>
          </cell>
          <cell r="O208">
            <v>8.1199999999999995E-5</v>
          </cell>
          <cell r="P208">
            <v>2.061E-4</v>
          </cell>
          <cell r="Q208">
            <v>1.169E-4</v>
          </cell>
          <cell r="R208">
            <v>2.22E-4</v>
          </cell>
          <cell r="S208">
            <v>4.7999999999999998E-6</v>
          </cell>
          <cell r="T208">
            <v>1.6900000000000001E-5</v>
          </cell>
          <cell r="U208">
            <v>5.2000000000000004E-5</v>
          </cell>
          <cell r="V208">
            <v>1.29E-5</v>
          </cell>
          <cell r="W208">
            <v>1.6900000000000001E-5</v>
          </cell>
          <cell r="X208">
            <v>1.4540000000000001E-4</v>
          </cell>
          <cell r="Y208">
            <v>0</v>
          </cell>
          <cell r="Z208">
            <v>0</v>
          </cell>
          <cell r="AA208">
            <v>0</v>
          </cell>
        </row>
        <row r="209">
          <cell r="F209">
            <v>1.0495999999999999E-3</v>
          </cell>
          <cell r="G209">
            <v>2.544E-4</v>
          </cell>
          <cell r="H209">
            <v>2.2420000000000003E-4</v>
          </cell>
          <cell r="I209">
            <v>4.9800000000000004E-5</v>
          </cell>
          <cell r="J209">
            <v>1.169E-4</v>
          </cell>
          <cell r="K209">
            <v>6.0700000000000005E-5</v>
          </cell>
          <cell r="L209">
            <v>2.062E-4</v>
          </cell>
          <cell r="M209">
            <v>8.7799999999999993E-5</v>
          </cell>
          <cell r="N209">
            <v>6.2000000000000003E-5</v>
          </cell>
          <cell r="O209">
            <v>8.1199999999999995E-5</v>
          </cell>
          <cell r="P209">
            <v>2.061E-4</v>
          </cell>
          <cell r="Q209">
            <v>1.169E-4</v>
          </cell>
          <cell r="R209">
            <v>2.22E-4</v>
          </cell>
          <cell r="S209">
            <v>4.7999999999999998E-6</v>
          </cell>
          <cell r="T209">
            <v>1.6900000000000001E-5</v>
          </cell>
          <cell r="U209">
            <v>5.2000000000000004E-5</v>
          </cell>
          <cell r="V209">
            <v>1.29E-5</v>
          </cell>
          <cell r="W209">
            <v>1.6900000000000001E-5</v>
          </cell>
          <cell r="X209">
            <v>1.4540000000000001E-4</v>
          </cell>
          <cell r="Y209">
            <v>0</v>
          </cell>
          <cell r="Z209">
            <v>0</v>
          </cell>
          <cell r="AA209">
            <v>0</v>
          </cell>
        </row>
        <row r="210">
          <cell r="F210">
            <v>1.0495999999999999E-3</v>
          </cell>
          <cell r="G210">
            <v>2.544E-4</v>
          </cell>
          <cell r="H210">
            <v>2.2420000000000003E-4</v>
          </cell>
          <cell r="I210">
            <v>4.9800000000000004E-5</v>
          </cell>
          <cell r="J210">
            <v>1.169E-4</v>
          </cell>
          <cell r="K210">
            <v>6.0700000000000005E-5</v>
          </cell>
          <cell r="L210">
            <v>2.062E-4</v>
          </cell>
          <cell r="M210">
            <v>8.7799999999999993E-5</v>
          </cell>
          <cell r="N210">
            <v>6.2000000000000003E-5</v>
          </cell>
          <cell r="O210">
            <v>8.1199999999999995E-5</v>
          </cell>
          <cell r="P210">
            <v>2.061E-4</v>
          </cell>
          <cell r="Q210">
            <v>1.169E-4</v>
          </cell>
          <cell r="R210">
            <v>2.22E-4</v>
          </cell>
          <cell r="S210">
            <v>4.7999999999999998E-6</v>
          </cell>
          <cell r="T210">
            <v>1.6900000000000001E-5</v>
          </cell>
          <cell r="U210">
            <v>5.2000000000000004E-5</v>
          </cell>
          <cell r="V210">
            <v>1.29E-5</v>
          </cell>
          <cell r="W210">
            <v>1.6900000000000001E-5</v>
          </cell>
          <cell r="X210">
            <v>1.4540000000000001E-4</v>
          </cell>
          <cell r="Y210">
            <v>0</v>
          </cell>
          <cell r="Z210">
            <v>0</v>
          </cell>
          <cell r="AA210">
            <v>0</v>
          </cell>
        </row>
        <row r="211">
          <cell r="F211">
            <v>1.0495999999999999E-3</v>
          </cell>
          <cell r="G211">
            <v>2.544E-4</v>
          </cell>
          <cell r="H211">
            <v>2.2420000000000003E-4</v>
          </cell>
          <cell r="I211">
            <v>4.9800000000000004E-5</v>
          </cell>
          <cell r="J211">
            <v>1.169E-4</v>
          </cell>
          <cell r="K211">
            <v>6.0700000000000005E-5</v>
          </cell>
          <cell r="L211">
            <v>2.062E-4</v>
          </cell>
          <cell r="M211">
            <v>8.7799999999999993E-5</v>
          </cell>
          <cell r="N211">
            <v>6.2000000000000003E-5</v>
          </cell>
          <cell r="O211">
            <v>8.1199999999999995E-5</v>
          </cell>
          <cell r="P211">
            <v>2.061E-4</v>
          </cell>
          <cell r="Q211">
            <v>1.169E-4</v>
          </cell>
          <cell r="R211">
            <v>2.22E-4</v>
          </cell>
          <cell r="S211">
            <v>4.7999999999999998E-6</v>
          </cell>
          <cell r="T211">
            <v>1.6900000000000001E-5</v>
          </cell>
          <cell r="U211">
            <v>5.2000000000000004E-5</v>
          </cell>
          <cell r="V211">
            <v>1.29E-5</v>
          </cell>
          <cell r="W211">
            <v>1.6900000000000001E-5</v>
          </cell>
          <cell r="X211">
            <v>1.4540000000000001E-4</v>
          </cell>
          <cell r="Y211">
            <v>0</v>
          </cell>
          <cell r="Z211">
            <v>0</v>
          </cell>
          <cell r="AA211">
            <v>0</v>
          </cell>
        </row>
        <row r="212">
          <cell r="F212">
            <v>1.3906999999999999E-3</v>
          </cell>
          <cell r="G212">
            <v>3.1940000000000001E-4</v>
          </cell>
          <cell r="H212">
            <v>2.966E-4</v>
          </cell>
          <cell r="I212">
            <v>5.7500000000000002E-5</v>
          </cell>
          <cell r="J212">
            <v>1.2890000000000002E-4</v>
          </cell>
          <cell r="K212">
            <v>6.2800000000000009E-5</v>
          </cell>
          <cell r="L212">
            <v>1.9920000000000002E-4</v>
          </cell>
          <cell r="M212">
            <v>1.132E-4</v>
          </cell>
          <cell r="N212">
            <v>7.75E-5</v>
          </cell>
          <cell r="O212">
            <v>9.5199999999999997E-5</v>
          </cell>
          <cell r="P212">
            <v>2.3140000000000001E-4</v>
          </cell>
          <cell r="Q212">
            <v>1.2890000000000002E-4</v>
          </cell>
          <cell r="R212">
            <v>2.9359999999999998E-4</v>
          </cell>
          <cell r="S212">
            <v>5.1000000000000003E-6</v>
          </cell>
          <cell r="T212">
            <v>4.3600000000000003E-5</v>
          </cell>
          <cell r="U212">
            <v>7.1899999999999999E-5</v>
          </cell>
          <cell r="V212">
            <v>1.3700000000000001E-5</v>
          </cell>
          <cell r="W212">
            <v>2.5000000000000001E-5</v>
          </cell>
          <cell r="X212">
            <v>1.873E-4</v>
          </cell>
          <cell r="Y212">
            <v>0</v>
          </cell>
          <cell r="Z212">
            <v>0</v>
          </cell>
          <cell r="AA212">
            <v>0</v>
          </cell>
        </row>
        <row r="213">
          <cell r="F213">
            <v>1.3906999999999999E-3</v>
          </cell>
          <cell r="G213">
            <v>3.1940000000000001E-4</v>
          </cell>
          <cell r="H213">
            <v>2.966E-4</v>
          </cell>
          <cell r="I213">
            <v>5.7500000000000002E-5</v>
          </cell>
          <cell r="J213">
            <v>1.2890000000000002E-4</v>
          </cell>
          <cell r="K213">
            <v>6.2800000000000009E-5</v>
          </cell>
          <cell r="L213">
            <v>1.9920000000000002E-4</v>
          </cell>
          <cell r="M213">
            <v>1.132E-4</v>
          </cell>
          <cell r="N213">
            <v>7.75E-5</v>
          </cell>
          <cell r="O213">
            <v>9.5199999999999997E-5</v>
          </cell>
          <cell r="P213">
            <v>2.3140000000000001E-4</v>
          </cell>
          <cell r="Q213">
            <v>1.2890000000000002E-4</v>
          </cell>
          <cell r="R213">
            <v>2.9359999999999998E-4</v>
          </cell>
          <cell r="S213">
            <v>5.1000000000000003E-6</v>
          </cell>
          <cell r="T213">
            <v>4.3600000000000003E-5</v>
          </cell>
          <cell r="U213">
            <v>7.1899999999999999E-5</v>
          </cell>
          <cell r="V213">
            <v>1.3700000000000001E-5</v>
          </cell>
          <cell r="W213">
            <v>2.5000000000000001E-5</v>
          </cell>
          <cell r="X213">
            <v>1.873E-4</v>
          </cell>
          <cell r="Y213">
            <v>0</v>
          </cell>
          <cell r="Z213">
            <v>0</v>
          </cell>
          <cell r="AA213">
            <v>0</v>
          </cell>
        </row>
        <row r="214">
          <cell r="F214">
            <v>1.3906999999999999E-3</v>
          </cell>
          <cell r="G214">
            <v>3.1940000000000001E-4</v>
          </cell>
          <cell r="H214">
            <v>2.966E-4</v>
          </cell>
          <cell r="I214">
            <v>5.7500000000000002E-5</v>
          </cell>
          <cell r="J214">
            <v>1.2890000000000002E-4</v>
          </cell>
          <cell r="K214">
            <v>6.2800000000000009E-5</v>
          </cell>
          <cell r="L214">
            <v>1.9920000000000002E-4</v>
          </cell>
          <cell r="M214">
            <v>1.132E-4</v>
          </cell>
          <cell r="N214">
            <v>7.75E-5</v>
          </cell>
          <cell r="O214">
            <v>9.5199999999999997E-5</v>
          </cell>
          <cell r="P214">
            <v>2.3140000000000001E-4</v>
          </cell>
          <cell r="Q214">
            <v>1.2890000000000002E-4</v>
          </cell>
          <cell r="R214">
            <v>2.9359999999999998E-4</v>
          </cell>
          <cell r="S214">
            <v>5.1000000000000003E-6</v>
          </cell>
          <cell r="T214">
            <v>4.3600000000000003E-5</v>
          </cell>
          <cell r="U214">
            <v>7.1899999999999999E-5</v>
          </cell>
          <cell r="V214">
            <v>1.3700000000000001E-5</v>
          </cell>
          <cell r="W214">
            <v>2.5000000000000001E-5</v>
          </cell>
          <cell r="X214">
            <v>1.873E-4</v>
          </cell>
          <cell r="Y214">
            <v>0</v>
          </cell>
          <cell r="Z214">
            <v>0</v>
          </cell>
          <cell r="AA214">
            <v>0</v>
          </cell>
        </row>
        <row r="215">
          <cell r="F215">
            <v>1.3906999999999999E-3</v>
          </cell>
          <cell r="G215">
            <v>3.1940000000000001E-4</v>
          </cell>
          <cell r="H215">
            <v>2.966E-4</v>
          </cell>
          <cell r="I215">
            <v>5.7500000000000002E-5</v>
          </cell>
          <cell r="J215">
            <v>1.2890000000000002E-4</v>
          </cell>
          <cell r="K215">
            <v>6.2800000000000009E-5</v>
          </cell>
          <cell r="L215">
            <v>1.9920000000000002E-4</v>
          </cell>
          <cell r="M215">
            <v>1.132E-4</v>
          </cell>
          <cell r="N215">
            <v>7.75E-5</v>
          </cell>
          <cell r="O215">
            <v>9.5199999999999997E-5</v>
          </cell>
          <cell r="P215">
            <v>2.3140000000000001E-4</v>
          </cell>
          <cell r="Q215">
            <v>1.2890000000000002E-4</v>
          </cell>
          <cell r="R215">
            <v>2.9359999999999998E-4</v>
          </cell>
          <cell r="S215">
            <v>5.1000000000000003E-6</v>
          </cell>
          <cell r="T215">
            <v>4.3600000000000003E-5</v>
          </cell>
          <cell r="U215">
            <v>7.1899999999999999E-5</v>
          </cell>
          <cell r="V215">
            <v>1.3700000000000001E-5</v>
          </cell>
          <cell r="W215">
            <v>2.5000000000000001E-5</v>
          </cell>
          <cell r="X215">
            <v>1.873E-4</v>
          </cell>
          <cell r="Y215">
            <v>0</v>
          </cell>
          <cell r="Z215">
            <v>0</v>
          </cell>
          <cell r="AA215">
            <v>0</v>
          </cell>
        </row>
        <row r="216">
          <cell r="F216">
            <v>1.3906999999999999E-3</v>
          </cell>
          <cell r="G216">
            <v>3.1940000000000001E-4</v>
          </cell>
          <cell r="H216">
            <v>2.966E-4</v>
          </cell>
          <cell r="I216">
            <v>5.7500000000000002E-5</v>
          </cell>
          <cell r="J216">
            <v>1.2890000000000002E-4</v>
          </cell>
          <cell r="K216">
            <v>6.2800000000000009E-5</v>
          </cell>
          <cell r="L216">
            <v>1.9920000000000002E-4</v>
          </cell>
          <cell r="M216">
            <v>1.132E-4</v>
          </cell>
          <cell r="N216">
            <v>7.75E-5</v>
          </cell>
          <cell r="O216">
            <v>9.5199999999999997E-5</v>
          </cell>
          <cell r="P216">
            <v>2.3140000000000001E-4</v>
          </cell>
          <cell r="Q216">
            <v>1.2890000000000002E-4</v>
          </cell>
          <cell r="R216">
            <v>2.9359999999999998E-4</v>
          </cell>
          <cell r="S216">
            <v>5.1000000000000003E-6</v>
          </cell>
          <cell r="T216">
            <v>4.3600000000000003E-5</v>
          </cell>
          <cell r="U216">
            <v>7.1899999999999999E-5</v>
          </cell>
          <cell r="V216">
            <v>1.3700000000000001E-5</v>
          </cell>
          <cell r="W216">
            <v>2.5000000000000001E-5</v>
          </cell>
          <cell r="X216">
            <v>1.873E-4</v>
          </cell>
          <cell r="Y216">
            <v>0</v>
          </cell>
          <cell r="Z216">
            <v>0</v>
          </cell>
          <cell r="AA216">
            <v>0</v>
          </cell>
        </row>
        <row r="217">
          <cell r="F217">
            <v>1.6449000000000001E-3</v>
          </cell>
          <cell r="G217">
            <v>3.838E-4</v>
          </cell>
          <cell r="H217">
            <v>3.5990000000000002E-4</v>
          </cell>
          <cell r="I217">
            <v>6.5900000000000003E-5</v>
          </cell>
          <cell r="J217">
            <v>1.4579999999999999E-4</v>
          </cell>
          <cell r="K217">
            <v>7.1699999999999995E-5</v>
          </cell>
          <cell r="L217">
            <v>1.8699999999999999E-4</v>
          </cell>
          <cell r="M217">
            <v>1.3740000000000001E-4</v>
          </cell>
          <cell r="N217">
            <v>9.269999999999999E-5</v>
          </cell>
          <cell r="O217">
            <v>1.055E-4</v>
          </cell>
          <cell r="P217">
            <v>2.563E-4</v>
          </cell>
          <cell r="Q217">
            <v>1.4579999999999999E-4</v>
          </cell>
          <cell r="R217">
            <v>3.8210000000000002E-4</v>
          </cell>
          <cell r="S217">
            <v>5.6999999999999996E-6</v>
          </cell>
          <cell r="T217">
            <v>4.2899999999999999E-5</v>
          </cell>
          <cell r="U217">
            <v>9.8399999999999993E-5</v>
          </cell>
          <cell r="V217">
            <v>1.26E-5</v>
          </cell>
          <cell r="W217">
            <v>3.7400000000000001E-5</v>
          </cell>
          <cell r="X217">
            <v>2.3189999999999997E-4</v>
          </cell>
          <cell r="Y217">
            <v>0</v>
          </cell>
          <cell r="Z217">
            <v>0</v>
          </cell>
          <cell r="AA217">
            <v>0</v>
          </cell>
        </row>
        <row r="218">
          <cell r="F218">
            <v>1.6449000000000001E-3</v>
          </cell>
          <cell r="G218">
            <v>3.838E-4</v>
          </cell>
          <cell r="H218">
            <v>3.5990000000000002E-4</v>
          </cell>
          <cell r="I218">
            <v>6.5900000000000003E-5</v>
          </cell>
          <cell r="J218">
            <v>1.4579999999999999E-4</v>
          </cell>
          <cell r="K218">
            <v>7.1699999999999995E-5</v>
          </cell>
          <cell r="L218">
            <v>1.8699999999999999E-4</v>
          </cell>
          <cell r="M218">
            <v>1.3740000000000001E-4</v>
          </cell>
          <cell r="N218">
            <v>9.269999999999999E-5</v>
          </cell>
          <cell r="O218">
            <v>1.055E-4</v>
          </cell>
          <cell r="P218">
            <v>2.563E-4</v>
          </cell>
          <cell r="Q218">
            <v>1.4579999999999999E-4</v>
          </cell>
          <cell r="R218">
            <v>3.8210000000000002E-4</v>
          </cell>
          <cell r="S218">
            <v>5.6999999999999996E-6</v>
          </cell>
          <cell r="T218">
            <v>4.2899999999999999E-5</v>
          </cell>
          <cell r="U218">
            <v>9.8399999999999993E-5</v>
          </cell>
          <cell r="V218">
            <v>1.26E-5</v>
          </cell>
          <cell r="W218">
            <v>3.7400000000000001E-5</v>
          </cell>
          <cell r="X218">
            <v>2.3189999999999997E-4</v>
          </cell>
          <cell r="Y218">
            <v>0</v>
          </cell>
          <cell r="Z218">
            <v>0</v>
          </cell>
          <cell r="AA218">
            <v>0</v>
          </cell>
        </row>
        <row r="219">
          <cell r="F219">
            <v>1.6449000000000001E-3</v>
          </cell>
          <cell r="G219">
            <v>3.838E-4</v>
          </cell>
          <cell r="H219">
            <v>3.5990000000000002E-4</v>
          </cell>
          <cell r="I219">
            <v>6.5900000000000003E-5</v>
          </cell>
          <cell r="J219">
            <v>1.4579999999999999E-4</v>
          </cell>
          <cell r="K219">
            <v>7.1699999999999995E-5</v>
          </cell>
          <cell r="L219">
            <v>1.8699999999999999E-4</v>
          </cell>
          <cell r="M219">
            <v>1.3740000000000001E-4</v>
          </cell>
          <cell r="N219">
            <v>9.269999999999999E-5</v>
          </cell>
          <cell r="O219">
            <v>1.055E-4</v>
          </cell>
          <cell r="P219">
            <v>2.563E-4</v>
          </cell>
          <cell r="Q219">
            <v>1.4579999999999999E-4</v>
          </cell>
          <cell r="R219">
            <v>3.8210000000000002E-4</v>
          </cell>
          <cell r="S219">
            <v>5.6999999999999996E-6</v>
          </cell>
          <cell r="T219">
            <v>4.2899999999999999E-5</v>
          </cell>
          <cell r="U219">
            <v>9.8399999999999993E-5</v>
          </cell>
          <cell r="V219">
            <v>1.26E-5</v>
          </cell>
          <cell r="W219">
            <v>3.7400000000000001E-5</v>
          </cell>
          <cell r="X219">
            <v>2.3189999999999997E-4</v>
          </cell>
          <cell r="Y219">
            <v>0</v>
          </cell>
          <cell r="Z219">
            <v>0</v>
          </cell>
          <cell r="AA219">
            <v>0</v>
          </cell>
        </row>
        <row r="220">
          <cell r="F220">
            <v>1.6449000000000001E-3</v>
          </cell>
          <cell r="G220">
            <v>3.838E-4</v>
          </cell>
          <cell r="H220">
            <v>3.5990000000000002E-4</v>
          </cell>
          <cell r="I220">
            <v>6.5900000000000003E-5</v>
          </cell>
          <cell r="J220">
            <v>1.4579999999999999E-4</v>
          </cell>
          <cell r="K220">
            <v>7.1699999999999995E-5</v>
          </cell>
          <cell r="L220">
            <v>1.8699999999999999E-4</v>
          </cell>
          <cell r="M220">
            <v>1.3740000000000001E-4</v>
          </cell>
          <cell r="N220">
            <v>9.269999999999999E-5</v>
          </cell>
          <cell r="O220">
            <v>1.055E-4</v>
          </cell>
          <cell r="P220">
            <v>2.563E-4</v>
          </cell>
          <cell r="Q220">
            <v>1.4579999999999999E-4</v>
          </cell>
          <cell r="R220">
            <v>3.8210000000000002E-4</v>
          </cell>
          <cell r="S220">
            <v>5.6999999999999996E-6</v>
          </cell>
          <cell r="T220">
            <v>4.2899999999999999E-5</v>
          </cell>
          <cell r="U220">
            <v>9.8399999999999993E-5</v>
          </cell>
          <cell r="V220">
            <v>1.26E-5</v>
          </cell>
          <cell r="W220">
            <v>3.7400000000000001E-5</v>
          </cell>
          <cell r="X220">
            <v>2.3189999999999997E-4</v>
          </cell>
          <cell r="Y220">
            <v>0</v>
          </cell>
          <cell r="Z220">
            <v>0</v>
          </cell>
          <cell r="AA220">
            <v>0</v>
          </cell>
        </row>
        <row r="221">
          <cell r="F221">
            <v>1.6449000000000001E-3</v>
          </cell>
          <cell r="G221">
            <v>3.838E-4</v>
          </cell>
          <cell r="H221">
            <v>3.5990000000000002E-4</v>
          </cell>
          <cell r="I221">
            <v>6.5900000000000003E-5</v>
          </cell>
          <cell r="J221">
            <v>1.4579999999999999E-4</v>
          </cell>
          <cell r="K221">
            <v>7.1699999999999995E-5</v>
          </cell>
          <cell r="L221">
            <v>1.8699999999999999E-4</v>
          </cell>
          <cell r="M221">
            <v>1.3740000000000001E-4</v>
          </cell>
          <cell r="N221">
            <v>9.269999999999999E-5</v>
          </cell>
          <cell r="O221">
            <v>1.055E-4</v>
          </cell>
          <cell r="P221">
            <v>2.563E-4</v>
          </cell>
          <cell r="Q221">
            <v>1.4579999999999999E-4</v>
          </cell>
          <cell r="R221">
            <v>3.8210000000000002E-4</v>
          </cell>
          <cell r="S221">
            <v>5.6999999999999996E-6</v>
          </cell>
          <cell r="T221">
            <v>4.2899999999999999E-5</v>
          </cell>
          <cell r="U221">
            <v>9.8399999999999993E-5</v>
          </cell>
          <cell r="V221">
            <v>1.26E-5</v>
          </cell>
          <cell r="W221">
            <v>3.7400000000000001E-5</v>
          </cell>
          <cell r="X221">
            <v>2.3189999999999997E-4</v>
          </cell>
          <cell r="Y221">
            <v>0</v>
          </cell>
          <cell r="Z221">
            <v>0</v>
          </cell>
          <cell r="AA221">
            <v>0</v>
          </cell>
        </row>
        <row r="222">
          <cell r="F222">
            <v>1.639E-3</v>
          </cell>
          <cell r="G222">
            <v>4.5859999999999998E-4</v>
          </cell>
          <cell r="H222">
            <v>4.0479999999999997E-4</v>
          </cell>
          <cell r="I222">
            <v>6.1500000000000004E-5</v>
          </cell>
          <cell r="J222">
            <v>1.604E-4</v>
          </cell>
          <cell r="K222">
            <v>6.8700000000000003E-5</v>
          </cell>
          <cell r="L222">
            <v>1.682E-4</v>
          </cell>
          <cell r="M222">
            <v>1.4970000000000001E-4</v>
          </cell>
          <cell r="N222">
            <v>1.069E-4</v>
          </cell>
          <cell r="O222">
            <v>1.139E-4</v>
          </cell>
          <cell r="P222">
            <v>3.0469999999999998E-4</v>
          </cell>
          <cell r="Q222">
            <v>1.604E-4</v>
          </cell>
          <cell r="R222">
            <v>4.0529999999999999E-4</v>
          </cell>
          <cell r="S222">
            <v>5.2000000000000002E-6</v>
          </cell>
          <cell r="T222">
            <v>4.1399999999999997E-5</v>
          </cell>
          <cell r="U222">
            <v>1.1369999999999999E-4</v>
          </cell>
          <cell r="V222">
            <v>1.1399999999999999E-5</v>
          </cell>
          <cell r="W222">
            <v>4.49E-5</v>
          </cell>
          <cell r="X222">
            <v>2.5070000000000002E-4</v>
          </cell>
          <cell r="Y222">
            <v>0</v>
          </cell>
          <cell r="Z222">
            <v>0</v>
          </cell>
          <cell r="AA222">
            <v>0</v>
          </cell>
        </row>
        <row r="223">
          <cell r="F223">
            <v>1.639E-3</v>
          </cell>
          <cell r="G223">
            <v>4.5859999999999998E-4</v>
          </cell>
          <cell r="H223">
            <v>4.0479999999999997E-4</v>
          </cell>
          <cell r="I223">
            <v>6.1500000000000004E-5</v>
          </cell>
          <cell r="J223">
            <v>1.604E-4</v>
          </cell>
          <cell r="K223">
            <v>6.8700000000000003E-5</v>
          </cell>
          <cell r="L223">
            <v>1.682E-4</v>
          </cell>
          <cell r="M223">
            <v>1.4970000000000001E-4</v>
          </cell>
          <cell r="N223">
            <v>1.069E-4</v>
          </cell>
          <cell r="O223">
            <v>1.139E-4</v>
          </cell>
          <cell r="P223">
            <v>3.0469999999999998E-4</v>
          </cell>
          <cell r="Q223">
            <v>1.604E-4</v>
          </cell>
          <cell r="R223">
            <v>4.0529999999999999E-4</v>
          </cell>
          <cell r="S223">
            <v>5.2000000000000002E-6</v>
          </cell>
          <cell r="T223">
            <v>4.1399999999999997E-5</v>
          </cell>
          <cell r="U223">
            <v>1.1369999999999999E-4</v>
          </cell>
          <cell r="V223">
            <v>1.1399999999999999E-5</v>
          </cell>
          <cell r="W223">
            <v>4.49E-5</v>
          </cell>
          <cell r="X223">
            <v>2.5070000000000002E-4</v>
          </cell>
          <cell r="Y223">
            <v>0</v>
          </cell>
          <cell r="Z223">
            <v>0</v>
          </cell>
          <cell r="AA223">
            <v>0</v>
          </cell>
        </row>
        <row r="224">
          <cell r="F224">
            <v>1.639E-3</v>
          </cell>
          <cell r="G224">
            <v>4.5859999999999998E-4</v>
          </cell>
          <cell r="H224">
            <v>4.0479999999999997E-4</v>
          </cell>
          <cell r="I224">
            <v>6.1500000000000004E-5</v>
          </cell>
          <cell r="J224">
            <v>1.604E-4</v>
          </cell>
          <cell r="K224">
            <v>6.8700000000000003E-5</v>
          </cell>
          <cell r="L224">
            <v>1.682E-4</v>
          </cell>
          <cell r="M224">
            <v>1.4970000000000001E-4</v>
          </cell>
          <cell r="N224">
            <v>1.069E-4</v>
          </cell>
          <cell r="O224">
            <v>1.139E-4</v>
          </cell>
          <cell r="P224">
            <v>3.0469999999999998E-4</v>
          </cell>
          <cell r="Q224">
            <v>1.604E-4</v>
          </cell>
          <cell r="R224">
            <v>4.0529999999999999E-4</v>
          </cell>
          <cell r="S224">
            <v>5.2000000000000002E-6</v>
          </cell>
          <cell r="T224">
            <v>4.1399999999999997E-5</v>
          </cell>
          <cell r="U224">
            <v>1.1369999999999999E-4</v>
          </cell>
          <cell r="V224">
            <v>1.1399999999999999E-5</v>
          </cell>
          <cell r="W224">
            <v>4.49E-5</v>
          </cell>
          <cell r="X224">
            <v>2.5070000000000002E-4</v>
          </cell>
          <cell r="Y224">
            <v>0</v>
          </cell>
          <cell r="Z224">
            <v>0</v>
          </cell>
          <cell r="AA224">
            <v>0</v>
          </cell>
        </row>
        <row r="225">
          <cell r="F225">
            <v>1.639E-3</v>
          </cell>
          <cell r="G225">
            <v>4.5859999999999998E-4</v>
          </cell>
          <cell r="H225">
            <v>4.0479999999999997E-4</v>
          </cell>
          <cell r="I225">
            <v>6.1500000000000004E-5</v>
          </cell>
          <cell r="J225">
            <v>1.604E-4</v>
          </cell>
          <cell r="K225">
            <v>6.8700000000000003E-5</v>
          </cell>
          <cell r="L225">
            <v>1.682E-4</v>
          </cell>
          <cell r="M225">
            <v>1.4970000000000001E-4</v>
          </cell>
          <cell r="N225">
            <v>1.069E-4</v>
          </cell>
          <cell r="O225">
            <v>1.139E-4</v>
          </cell>
          <cell r="P225">
            <v>3.0469999999999998E-4</v>
          </cell>
          <cell r="Q225">
            <v>1.604E-4</v>
          </cell>
          <cell r="R225">
            <v>4.0529999999999999E-4</v>
          </cell>
          <cell r="S225">
            <v>5.2000000000000002E-6</v>
          </cell>
          <cell r="T225">
            <v>4.1399999999999997E-5</v>
          </cell>
          <cell r="U225">
            <v>1.1369999999999999E-4</v>
          </cell>
          <cell r="V225">
            <v>1.1399999999999999E-5</v>
          </cell>
          <cell r="W225">
            <v>4.49E-5</v>
          </cell>
          <cell r="X225">
            <v>2.5070000000000002E-4</v>
          </cell>
          <cell r="Y225">
            <v>0</v>
          </cell>
          <cell r="Z225">
            <v>0</v>
          </cell>
          <cell r="AA225">
            <v>0</v>
          </cell>
        </row>
        <row r="226">
          <cell r="F226">
            <v>1.639E-3</v>
          </cell>
          <cell r="G226">
            <v>4.5859999999999998E-4</v>
          </cell>
          <cell r="H226">
            <v>4.0479999999999997E-4</v>
          </cell>
          <cell r="I226">
            <v>6.1500000000000004E-5</v>
          </cell>
          <cell r="J226">
            <v>1.604E-4</v>
          </cell>
          <cell r="K226">
            <v>6.8700000000000003E-5</v>
          </cell>
          <cell r="L226">
            <v>1.682E-4</v>
          </cell>
          <cell r="M226">
            <v>1.4970000000000001E-4</v>
          </cell>
          <cell r="N226">
            <v>1.069E-4</v>
          </cell>
          <cell r="O226">
            <v>1.139E-4</v>
          </cell>
          <cell r="P226">
            <v>3.0469999999999998E-4</v>
          </cell>
          <cell r="Q226">
            <v>1.604E-4</v>
          </cell>
          <cell r="R226">
            <v>4.0529999999999999E-4</v>
          </cell>
          <cell r="S226">
            <v>5.2000000000000002E-6</v>
          </cell>
          <cell r="T226">
            <v>4.1399999999999997E-5</v>
          </cell>
          <cell r="U226">
            <v>1.1369999999999999E-4</v>
          </cell>
          <cell r="V226">
            <v>1.1399999999999999E-5</v>
          </cell>
          <cell r="W226">
            <v>4.49E-5</v>
          </cell>
          <cell r="X226">
            <v>2.5070000000000002E-4</v>
          </cell>
          <cell r="Y226">
            <v>0</v>
          </cell>
          <cell r="Z226">
            <v>0</v>
          </cell>
          <cell r="AA226">
            <v>0</v>
          </cell>
        </row>
        <row r="227">
          <cell r="F227">
            <v>1.1454E-3</v>
          </cell>
          <cell r="G227">
            <v>1.1299999999999999E-5</v>
          </cell>
          <cell r="H227">
            <v>3.6170000000000001E-4</v>
          </cell>
          <cell r="I227">
            <v>4.3800000000000001E-5</v>
          </cell>
          <cell r="J227">
            <v>1.6339999999999999E-4</v>
          </cell>
          <cell r="K227">
            <v>4.3499999999999993E-5</v>
          </cell>
          <cell r="L227">
            <v>1.393E-4</v>
          </cell>
          <cell r="M227">
            <v>1.1909999999999999E-4</v>
          </cell>
          <cell r="N227">
            <v>1.083E-4</v>
          </cell>
          <cell r="O227">
            <v>9.9000000000000008E-5</v>
          </cell>
          <cell r="P227">
            <v>3.5530000000000002E-4</v>
          </cell>
          <cell r="Q227">
            <v>1.6339999999999999E-4</v>
          </cell>
          <cell r="R227">
            <v>3.5070000000000001E-4</v>
          </cell>
          <cell r="S227">
            <v>5.3000000000000001E-6</v>
          </cell>
          <cell r="T227">
            <v>3.2200000000000003E-5</v>
          </cell>
          <cell r="U227">
            <v>9.1799999999999995E-5</v>
          </cell>
          <cell r="V227">
            <v>1.1299999999999999E-5</v>
          </cell>
          <cell r="W227">
            <v>3.7799999999999997E-5</v>
          </cell>
          <cell r="X227">
            <v>2.2560000000000004E-4</v>
          </cell>
          <cell r="Y227">
            <v>0</v>
          </cell>
          <cell r="Z227">
            <v>0</v>
          </cell>
          <cell r="AA227">
            <v>0</v>
          </cell>
        </row>
        <row r="228">
          <cell r="F228">
            <v>1.1454E-3</v>
          </cell>
          <cell r="G228">
            <v>1.1299999999999999E-5</v>
          </cell>
          <cell r="H228">
            <v>3.6170000000000001E-4</v>
          </cell>
          <cell r="I228">
            <v>4.3800000000000001E-5</v>
          </cell>
          <cell r="J228">
            <v>1.6339999999999999E-4</v>
          </cell>
          <cell r="K228">
            <v>4.3499999999999993E-5</v>
          </cell>
          <cell r="L228">
            <v>1.393E-4</v>
          </cell>
          <cell r="M228">
            <v>1.1909999999999999E-4</v>
          </cell>
          <cell r="N228">
            <v>1.083E-4</v>
          </cell>
          <cell r="O228">
            <v>9.9000000000000008E-5</v>
          </cell>
          <cell r="P228">
            <v>3.5530000000000002E-4</v>
          </cell>
          <cell r="Q228">
            <v>1.6339999999999999E-4</v>
          </cell>
          <cell r="R228">
            <v>3.5070000000000001E-4</v>
          </cell>
          <cell r="S228">
            <v>5.3000000000000001E-6</v>
          </cell>
          <cell r="T228">
            <v>3.2200000000000003E-5</v>
          </cell>
          <cell r="U228">
            <v>9.1799999999999995E-5</v>
          </cell>
          <cell r="V228">
            <v>1.1299999999999999E-5</v>
          </cell>
          <cell r="W228">
            <v>3.7799999999999997E-5</v>
          </cell>
          <cell r="X228">
            <v>2.2560000000000004E-4</v>
          </cell>
          <cell r="Y228">
            <v>0</v>
          </cell>
          <cell r="Z228">
            <v>0</v>
          </cell>
          <cell r="AA228">
            <v>0</v>
          </cell>
        </row>
        <row r="229">
          <cell r="F229">
            <v>1.1454E-3</v>
          </cell>
          <cell r="G229">
            <v>1.1299999999999999E-5</v>
          </cell>
          <cell r="H229">
            <v>3.6170000000000001E-4</v>
          </cell>
          <cell r="I229">
            <v>4.3800000000000001E-5</v>
          </cell>
          <cell r="J229">
            <v>1.6339999999999999E-4</v>
          </cell>
          <cell r="K229">
            <v>4.3499999999999993E-5</v>
          </cell>
          <cell r="L229">
            <v>1.393E-4</v>
          </cell>
          <cell r="M229">
            <v>1.1909999999999999E-4</v>
          </cell>
          <cell r="N229">
            <v>1.083E-4</v>
          </cell>
          <cell r="O229">
            <v>9.9000000000000008E-5</v>
          </cell>
          <cell r="P229">
            <v>3.5530000000000002E-4</v>
          </cell>
          <cell r="Q229">
            <v>1.6339999999999999E-4</v>
          </cell>
          <cell r="R229">
            <v>3.5070000000000001E-4</v>
          </cell>
          <cell r="S229">
            <v>5.3000000000000001E-6</v>
          </cell>
          <cell r="T229">
            <v>3.2200000000000003E-5</v>
          </cell>
          <cell r="U229">
            <v>9.1799999999999995E-5</v>
          </cell>
          <cell r="V229">
            <v>1.1299999999999999E-5</v>
          </cell>
          <cell r="W229">
            <v>3.7799999999999997E-5</v>
          </cell>
          <cell r="X229">
            <v>2.2560000000000004E-4</v>
          </cell>
          <cell r="Y229">
            <v>0</v>
          </cell>
          <cell r="Z229">
            <v>0</v>
          </cell>
          <cell r="AA229">
            <v>0</v>
          </cell>
        </row>
        <row r="230">
          <cell r="F230">
            <v>1.1454E-3</v>
          </cell>
          <cell r="G230">
            <v>1.1299999999999999E-5</v>
          </cell>
          <cell r="H230">
            <v>3.6170000000000001E-4</v>
          </cell>
          <cell r="I230">
            <v>4.3800000000000001E-5</v>
          </cell>
          <cell r="J230">
            <v>1.6339999999999999E-4</v>
          </cell>
          <cell r="K230">
            <v>4.3499999999999993E-5</v>
          </cell>
          <cell r="L230">
            <v>1.393E-4</v>
          </cell>
          <cell r="M230">
            <v>1.1909999999999999E-4</v>
          </cell>
          <cell r="N230">
            <v>1.083E-4</v>
          </cell>
          <cell r="O230">
            <v>9.9000000000000008E-5</v>
          </cell>
          <cell r="P230">
            <v>3.5530000000000002E-4</v>
          </cell>
          <cell r="Q230">
            <v>1.6339999999999999E-4</v>
          </cell>
          <cell r="R230">
            <v>3.5070000000000001E-4</v>
          </cell>
          <cell r="S230">
            <v>5.3000000000000001E-6</v>
          </cell>
          <cell r="T230">
            <v>3.2200000000000003E-5</v>
          </cell>
          <cell r="U230">
            <v>9.1799999999999995E-5</v>
          </cell>
          <cell r="V230">
            <v>1.1299999999999999E-5</v>
          </cell>
          <cell r="W230">
            <v>3.7799999999999997E-5</v>
          </cell>
          <cell r="X230">
            <v>2.2560000000000004E-4</v>
          </cell>
          <cell r="Y230">
            <v>0</v>
          </cell>
          <cell r="Z230">
            <v>0</v>
          </cell>
          <cell r="AA230">
            <v>0</v>
          </cell>
        </row>
        <row r="231">
          <cell r="F231">
            <v>1.1454E-3</v>
          </cell>
          <cell r="G231">
            <v>1.1299999999999999E-5</v>
          </cell>
          <cell r="H231">
            <v>3.6170000000000001E-4</v>
          </cell>
          <cell r="I231">
            <v>4.3800000000000001E-5</v>
          </cell>
          <cell r="J231">
            <v>1.6339999999999999E-4</v>
          </cell>
          <cell r="K231">
            <v>4.3499999999999993E-5</v>
          </cell>
          <cell r="L231">
            <v>1.393E-4</v>
          </cell>
          <cell r="M231">
            <v>1.1909999999999999E-4</v>
          </cell>
          <cell r="N231">
            <v>1.083E-4</v>
          </cell>
          <cell r="O231">
            <v>9.9000000000000008E-5</v>
          </cell>
          <cell r="P231">
            <v>3.5530000000000002E-4</v>
          </cell>
          <cell r="Q231">
            <v>1.6339999999999999E-4</v>
          </cell>
          <cell r="R231">
            <v>3.5070000000000001E-4</v>
          </cell>
          <cell r="S231">
            <v>5.3000000000000001E-6</v>
          </cell>
          <cell r="T231">
            <v>3.2200000000000003E-5</v>
          </cell>
          <cell r="U231">
            <v>9.1799999999999995E-5</v>
          </cell>
          <cell r="V231">
            <v>1.1299999999999999E-5</v>
          </cell>
          <cell r="W231">
            <v>3.7799999999999997E-5</v>
          </cell>
          <cell r="X231">
            <v>2.2560000000000004E-4</v>
          </cell>
          <cell r="Y231">
            <v>0</v>
          </cell>
          <cell r="Z231">
            <v>0</v>
          </cell>
          <cell r="AA231">
            <v>0</v>
          </cell>
        </row>
        <row r="232">
          <cell r="F232">
            <v>1.1454E-3</v>
          </cell>
          <cell r="G232">
            <v>1.1299999999999999E-5</v>
          </cell>
          <cell r="H232">
            <v>3.6170000000000001E-4</v>
          </cell>
          <cell r="I232">
            <v>4.3800000000000001E-5</v>
          </cell>
          <cell r="J232">
            <v>1.6339999999999999E-4</v>
          </cell>
          <cell r="K232">
            <v>4.3499999999999993E-5</v>
          </cell>
          <cell r="L232">
            <v>1.393E-4</v>
          </cell>
          <cell r="M232">
            <v>1.1909999999999999E-4</v>
          </cell>
          <cell r="N232">
            <v>1.083E-4</v>
          </cell>
          <cell r="O232">
            <v>9.9000000000000008E-5</v>
          </cell>
          <cell r="P232">
            <v>3.5530000000000002E-4</v>
          </cell>
          <cell r="Q232">
            <v>1.6339999999999999E-4</v>
          </cell>
          <cell r="R232">
            <v>3.5070000000000001E-4</v>
          </cell>
          <cell r="S232">
            <v>5.3000000000000001E-6</v>
          </cell>
          <cell r="T232">
            <v>3.2200000000000003E-5</v>
          </cell>
          <cell r="U232">
            <v>9.1799999999999995E-5</v>
          </cell>
          <cell r="V232">
            <v>1.1299999999999999E-5</v>
          </cell>
          <cell r="W232">
            <v>3.7799999999999997E-5</v>
          </cell>
          <cell r="X232">
            <v>2.2560000000000004E-4</v>
          </cell>
          <cell r="Y232">
            <v>0</v>
          </cell>
          <cell r="Z232">
            <v>0</v>
          </cell>
          <cell r="AA232">
            <v>0</v>
          </cell>
        </row>
        <row r="233">
          <cell r="F233">
            <v>1.1454E-3</v>
          </cell>
          <cell r="G233">
            <v>1.1299999999999999E-5</v>
          </cell>
          <cell r="H233">
            <v>3.6170000000000001E-4</v>
          </cell>
          <cell r="I233">
            <v>4.3800000000000001E-5</v>
          </cell>
          <cell r="J233">
            <v>1.6339999999999999E-4</v>
          </cell>
          <cell r="K233">
            <v>4.3499999999999993E-5</v>
          </cell>
          <cell r="L233">
            <v>1.393E-4</v>
          </cell>
          <cell r="M233">
            <v>1.1909999999999999E-4</v>
          </cell>
          <cell r="N233">
            <v>1.083E-4</v>
          </cell>
          <cell r="O233">
            <v>9.9000000000000008E-5</v>
          </cell>
          <cell r="P233">
            <v>3.5530000000000002E-4</v>
          </cell>
          <cell r="Q233">
            <v>1.6339999999999999E-4</v>
          </cell>
          <cell r="R233">
            <v>3.5070000000000001E-4</v>
          </cell>
          <cell r="S233">
            <v>5.3000000000000001E-6</v>
          </cell>
          <cell r="T233">
            <v>3.2200000000000003E-5</v>
          </cell>
          <cell r="U233">
            <v>9.1799999999999995E-5</v>
          </cell>
          <cell r="V233">
            <v>1.1299999999999999E-5</v>
          </cell>
          <cell r="W233">
            <v>3.7799999999999997E-5</v>
          </cell>
          <cell r="X233">
            <v>2.2560000000000004E-4</v>
          </cell>
          <cell r="Y233">
            <v>0</v>
          </cell>
          <cell r="Z233">
            <v>0</v>
          </cell>
          <cell r="AA233">
            <v>0</v>
          </cell>
        </row>
        <row r="234">
          <cell r="F234">
            <v>1.1454E-3</v>
          </cell>
          <cell r="G234">
            <v>1.1299999999999999E-5</v>
          </cell>
          <cell r="H234">
            <v>3.6170000000000001E-4</v>
          </cell>
          <cell r="I234">
            <v>4.3800000000000001E-5</v>
          </cell>
          <cell r="J234">
            <v>1.6339999999999999E-4</v>
          </cell>
          <cell r="K234">
            <v>4.3499999999999993E-5</v>
          </cell>
          <cell r="L234">
            <v>1.393E-4</v>
          </cell>
          <cell r="M234">
            <v>1.1909999999999999E-4</v>
          </cell>
          <cell r="N234">
            <v>1.083E-4</v>
          </cell>
          <cell r="O234">
            <v>9.9000000000000008E-5</v>
          </cell>
          <cell r="P234">
            <v>3.5530000000000002E-4</v>
          </cell>
          <cell r="Q234">
            <v>1.6339999999999999E-4</v>
          </cell>
          <cell r="R234">
            <v>3.5070000000000001E-4</v>
          </cell>
          <cell r="S234">
            <v>5.3000000000000001E-6</v>
          </cell>
          <cell r="T234">
            <v>3.2200000000000003E-5</v>
          </cell>
          <cell r="U234">
            <v>9.1799999999999995E-5</v>
          </cell>
          <cell r="V234">
            <v>1.1299999999999999E-5</v>
          </cell>
          <cell r="W234">
            <v>3.7799999999999997E-5</v>
          </cell>
          <cell r="X234">
            <v>2.2560000000000004E-4</v>
          </cell>
          <cell r="Y234">
            <v>0</v>
          </cell>
          <cell r="Z234">
            <v>0</v>
          </cell>
          <cell r="AA234">
            <v>0</v>
          </cell>
        </row>
        <row r="235">
          <cell r="F235">
            <v>1.1454E-3</v>
          </cell>
          <cell r="G235">
            <v>1.1299999999999999E-5</v>
          </cell>
          <cell r="H235">
            <v>3.6170000000000001E-4</v>
          </cell>
          <cell r="I235">
            <v>4.3800000000000001E-5</v>
          </cell>
          <cell r="J235">
            <v>1.6339999999999999E-4</v>
          </cell>
          <cell r="K235">
            <v>4.3499999999999993E-5</v>
          </cell>
          <cell r="L235">
            <v>1.393E-4</v>
          </cell>
          <cell r="M235">
            <v>1.1909999999999999E-4</v>
          </cell>
          <cell r="N235">
            <v>1.083E-4</v>
          </cell>
          <cell r="O235">
            <v>9.9000000000000008E-5</v>
          </cell>
          <cell r="P235">
            <v>3.5530000000000002E-4</v>
          </cell>
          <cell r="Q235">
            <v>1.6339999999999999E-4</v>
          </cell>
          <cell r="R235">
            <v>3.5070000000000001E-4</v>
          </cell>
          <cell r="S235">
            <v>5.3000000000000001E-6</v>
          </cell>
          <cell r="T235">
            <v>3.2200000000000003E-5</v>
          </cell>
          <cell r="U235">
            <v>9.1799999999999995E-5</v>
          </cell>
          <cell r="V235">
            <v>1.1299999999999999E-5</v>
          </cell>
          <cell r="W235">
            <v>3.7799999999999997E-5</v>
          </cell>
          <cell r="X235">
            <v>2.2560000000000004E-4</v>
          </cell>
          <cell r="Y235">
            <v>0</v>
          </cell>
          <cell r="Z235">
            <v>0</v>
          </cell>
          <cell r="AA235">
            <v>0</v>
          </cell>
        </row>
        <row r="236">
          <cell r="F236">
            <v>1.1454E-3</v>
          </cell>
          <cell r="G236">
            <v>1.1299999999999999E-5</v>
          </cell>
          <cell r="H236">
            <v>3.6170000000000001E-4</v>
          </cell>
          <cell r="I236">
            <v>4.3800000000000001E-5</v>
          </cell>
          <cell r="J236">
            <v>1.6339999999999999E-4</v>
          </cell>
          <cell r="K236">
            <v>4.3499999999999993E-5</v>
          </cell>
          <cell r="L236">
            <v>1.393E-4</v>
          </cell>
          <cell r="M236">
            <v>1.1909999999999999E-4</v>
          </cell>
          <cell r="N236">
            <v>1.083E-4</v>
          </cell>
          <cell r="O236">
            <v>9.9000000000000008E-5</v>
          </cell>
          <cell r="P236">
            <v>3.5530000000000002E-4</v>
          </cell>
          <cell r="Q236">
            <v>1.6339999999999999E-4</v>
          </cell>
          <cell r="R236">
            <v>3.5070000000000001E-4</v>
          </cell>
          <cell r="S236">
            <v>5.3000000000000001E-6</v>
          </cell>
          <cell r="T236">
            <v>3.2200000000000003E-5</v>
          </cell>
          <cell r="U236">
            <v>9.1799999999999995E-5</v>
          </cell>
          <cell r="V236">
            <v>1.1299999999999999E-5</v>
          </cell>
          <cell r="W236">
            <v>3.7799999999999997E-5</v>
          </cell>
          <cell r="X236">
            <v>2.2560000000000004E-4</v>
          </cell>
          <cell r="Y236">
            <v>0</v>
          </cell>
          <cell r="Z236">
            <v>0</v>
          </cell>
          <cell r="AA236">
            <v>0</v>
          </cell>
        </row>
        <row r="237">
          <cell r="F237">
            <v>1.1454E-3</v>
          </cell>
          <cell r="G237">
            <v>1.1299999999999999E-5</v>
          </cell>
          <cell r="H237">
            <v>3.6170000000000001E-4</v>
          </cell>
          <cell r="I237">
            <v>4.3800000000000001E-5</v>
          </cell>
          <cell r="J237">
            <v>1.6339999999999999E-4</v>
          </cell>
          <cell r="K237">
            <v>4.3499999999999993E-5</v>
          </cell>
          <cell r="L237">
            <v>1.393E-4</v>
          </cell>
          <cell r="M237">
            <v>1.1909999999999999E-4</v>
          </cell>
          <cell r="N237">
            <v>1.083E-4</v>
          </cell>
          <cell r="O237">
            <v>9.9000000000000008E-5</v>
          </cell>
          <cell r="P237">
            <v>3.5530000000000002E-4</v>
          </cell>
          <cell r="Q237">
            <v>1.6339999999999999E-4</v>
          </cell>
          <cell r="R237">
            <v>3.5070000000000001E-4</v>
          </cell>
          <cell r="S237">
            <v>5.3000000000000001E-6</v>
          </cell>
          <cell r="T237">
            <v>3.2200000000000003E-5</v>
          </cell>
          <cell r="U237">
            <v>9.1799999999999995E-5</v>
          </cell>
          <cell r="V237">
            <v>1.1299999999999999E-5</v>
          </cell>
          <cell r="W237">
            <v>3.7799999999999997E-5</v>
          </cell>
          <cell r="X237">
            <v>2.2560000000000004E-4</v>
          </cell>
          <cell r="Y237">
            <v>0</v>
          </cell>
          <cell r="Z237">
            <v>0</v>
          </cell>
          <cell r="AA237">
            <v>0</v>
          </cell>
        </row>
        <row r="238">
          <cell r="F238">
            <v>1.1454E-3</v>
          </cell>
          <cell r="G238">
            <v>1.1299999999999999E-5</v>
          </cell>
          <cell r="H238">
            <v>3.6170000000000001E-4</v>
          </cell>
          <cell r="I238">
            <v>4.3800000000000001E-5</v>
          </cell>
          <cell r="J238">
            <v>1.6339999999999999E-4</v>
          </cell>
          <cell r="K238">
            <v>4.3499999999999993E-5</v>
          </cell>
          <cell r="L238">
            <v>1.393E-4</v>
          </cell>
          <cell r="M238">
            <v>1.1909999999999999E-4</v>
          </cell>
          <cell r="N238">
            <v>1.083E-4</v>
          </cell>
          <cell r="O238">
            <v>9.9000000000000008E-5</v>
          </cell>
          <cell r="P238">
            <v>3.5530000000000002E-4</v>
          </cell>
          <cell r="Q238">
            <v>1.6339999999999999E-4</v>
          </cell>
          <cell r="R238">
            <v>3.5070000000000001E-4</v>
          </cell>
          <cell r="S238">
            <v>5.3000000000000001E-6</v>
          </cell>
          <cell r="T238">
            <v>3.2200000000000003E-5</v>
          </cell>
          <cell r="U238">
            <v>9.1799999999999995E-5</v>
          </cell>
          <cell r="V238">
            <v>1.1299999999999999E-5</v>
          </cell>
          <cell r="W238">
            <v>3.7799999999999997E-5</v>
          </cell>
          <cell r="X238">
            <v>2.2560000000000004E-4</v>
          </cell>
          <cell r="Y238">
            <v>0</v>
          </cell>
          <cell r="Z238">
            <v>0</v>
          </cell>
          <cell r="AA238">
            <v>0</v>
          </cell>
        </row>
        <row r="239">
          <cell r="F239">
            <v>1.1454E-3</v>
          </cell>
          <cell r="G239">
            <v>1.1299999999999999E-5</v>
          </cell>
          <cell r="H239">
            <v>3.6170000000000001E-4</v>
          </cell>
          <cell r="I239">
            <v>4.3800000000000001E-5</v>
          </cell>
          <cell r="J239">
            <v>1.6339999999999999E-4</v>
          </cell>
          <cell r="K239">
            <v>4.3499999999999993E-5</v>
          </cell>
          <cell r="L239">
            <v>1.393E-4</v>
          </cell>
          <cell r="M239">
            <v>1.1909999999999999E-4</v>
          </cell>
          <cell r="N239">
            <v>1.083E-4</v>
          </cell>
          <cell r="O239">
            <v>9.9000000000000008E-5</v>
          </cell>
          <cell r="P239">
            <v>3.5530000000000002E-4</v>
          </cell>
          <cell r="Q239">
            <v>1.6339999999999999E-4</v>
          </cell>
          <cell r="R239">
            <v>3.5070000000000001E-4</v>
          </cell>
          <cell r="S239">
            <v>5.3000000000000001E-6</v>
          </cell>
          <cell r="T239">
            <v>3.2200000000000003E-5</v>
          </cell>
          <cell r="U239">
            <v>9.1799999999999995E-5</v>
          </cell>
          <cell r="V239">
            <v>1.1299999999999999E-5</v>
          </cell>
          <cell r="W239">
            <v>3.7799999999999997E-5</v>
          </cell>
          <cell r="X239">
            <v>2.2560000000000004E-4</v>
          </cell>
          <cell r="Y239">
            <v>0</v>
          </cell>
          <cell r="Z239">
            <v>0</v>
          </cell>
          <cell r="AA239">
            <v>0</v>
          </cell>
        </row>
        <row r="240">
          <cell r="F240">
            <v>1.1454E-3</v>
          </cell>
          <cell r="G240">
            <v>1.1299999999999999E-5</v>
          </cell>
          <cell r="H240">
            <v>3.6170000000000001E-4</v>
          </cell>
          <cell r="I240">
            <v>4.3800000000000001E-5</v>
          </cell>
          <cell r="J240">
            <v>1.6339999999999999E-4</v>
          </cell>
          <cell r="K240">
            <v>4.3499999999999993E-5</v>
          </cell>
          <cell r="L240">
            <v>1.393E-4</v>
          </cell>
          <cell r="M240">
            <v>1.1909999999999999E-4</v>
          </cell>
          <cell r="N240">
            <v>1.083E-4</v>
          </cell>
          <cell r="O240">
            <v>9.9000000000000008E-5</v>
          </cell>
          <cell r="P240">
            <v>3.5530000000000002E-4</v>
          </cell>
          <cell r="Q240">
            <v>1.6339999999999999E-4</v>
          </cell>
          <cell r="R240">
            <v>3.5070000000000001E-4</v>
          </cell>
          <cell r="S240">
            <v>5.3000000000000001E-6</v>
          </cell>
          <cell r="T240">
            <v>3.2200000000000003E-5</v>
          </cell>
          <cell r="U240">
            <v>9.1799999999999995E-5</v>
          </cell>
          <cell r="V240">
            <v>1.1299999999999999E-5</v>
          </cell>
          <cell r="W240">
            <v>3.7799999999999997E-5</v>
          </cell>
          <cell r="X240">
            <v>2.2560000000000004E-4</v>
          </cell>
          <cell r="Y240">
            <v>0</v>
          </cell>
          <cell r="Z240">
            <v>0</v>
          </cell>
          <cell r="AA240">
            <v>0</v>
          </cell>
        </row>
        <row r="241">
          <cell r="F241">
            <v>1.1454E-3</v>
          </cell>
          <cell r="G241">
            <v>1.1299999999999999E-5</v>
          </cell>
          <cell r="H241">
            <v>3.6170000000000001E-4</v>
          </cell>
          <cell r="I241">
            <v>4.3800000000000001E-5</v>
          </cell>
          <cell r="J241">
            <v>1.6339999999999999E-4</v>
          </cell>
          <cell r="K241">
            <v>4.3499999999999993E-5</v>
          </cell>
          <cell r="L241">
            <v>1.393E-4</v>
          </cell>
          <cell r="M241">
            <v>1.1909999999999999E-4</v>
          </cell>
          <cell r="N241">
            <v>1.083E-4</v>
          </cell>
          <cell r="O241">
            <v>9.9000000000000008E-5</v>
          </cell>
          <cell r="P241">
            <v>3.5530000000000002E-4</v>
          </cell>
          <cell r="Q241">
            <v>1.6339999999999999E-4</v>
          </cell>
          <cell r="R241">
            <v>3.5070000000000001E-4</v>
          </cell>
          <cell r="S241">
            <v>5.3000000000000001E-6</v>
          </cell>
          <cell r="T241">
            <v>3.2200000000000003E-5</v>
          </cell>
          <cell r="U241">
            <v>9.1799999999999995E-5</v>
          </cell>
          <cell r="V241">
            <v>1.1299999999999999E-5</v>
          </cell>
          <cell r="W241">
            <v>3.7799999999999997E-5</v>
          </cell>
          <cell r="X241">
            <v>2.2560000000000004E-4</v>
          </cell>
          <cell r="Y241">
            <v>0</v>
          </cell>
          <cell r="Z241">
            <v>0</v>
          </cell>
          <cell r="AA241">
            <v>0</v>
          </cell>
        </row>
        <row r="242">
          <cell r="F242">
            <v>1.1454E-3</v>
          </cell>
          <cell r="G242">
            <v>1.1299999999999999E-5</v>
          </cell>
          <cell r="H242">
            <v>3.6170000000000001E-4</v>
          </cell>
          <cell r="I242">
            <v>4.3800000000000001E-5</v>
          </cell>
          <cell r="J242">
            <v>1.6339999999999999E-4</v>
          </cell>
          <cell r="K242">
            <v>4.3499999999999993E-5</v>
          </cell>
          <cell r="L242">
            <v>1.393E-4</v>
          </cell>
          <cell r="M242">
            <v>1.1909999999999999E-4</v>
          </cell>
          <cell r="N242">
            <v>1.083E-4</v>
          </cell>
          <cell r="O242">
            <v>9.9000000000000008E-5</v>
          </cell>
          <cell r="P242">
            <v>3.5530000000000002E-4</v>
          </cell>
          <cell r="Q242">
            <v>1.6339999999999999E-4</v>
          </cell>
          <cell r="R242">
            <v>3.5070000000000001E-4</v>
          </cell>
          <cell r="S242">
            <v>5.3000000000000001E-6</v>
          </cell>
          <cell r="T242">
            <v>3.2200000000000003E-5</v>
          </cell>
          <cell r="U242">
            <v>9.1799999999999995E-5</v>
          </cell>
          <cell r="V242">
            <v>1.1299999999999999E-5</v>
          </cell>
          <cell r="W242">
            <v>3.7799999999999997E-5</v>
          </cell>
          <cell r="X242">
            <v>2.2560000000000004E-4</v>
          </cell>
          <cell r="Y242">
            <v>0</v>
          </cell>
          <cell r="Z242">
            <v>0</v>
          </cell>
          <cell r="AA242">
            <v>0</v>
          </cell>
        </row>
        <row r="248">
          <cell r="G248" t="str">
            <v>None</v>
          </cell>
        </row>
        <row r="249">
          <cell r="G249" t="str">
            <v>None</v>
          </cell>
        </row>
        <row r="250">
          <cell r="G250" t="str">
            <v>None</v>
          </cell>
        </row>
        <row r="251">
          <cell r="G251" t="str">
            <v>None</v>
          </cell>
        </row>
        <row r="252">
          <cell r="G252" t="str">
            <v>Female</v>
          </cell>
        </row>
        <row r="253">
          <cell r="G253" t="str">
            <v>None</v>
          </cell>
        </row>
        <row r="254">
          <cell r="G254" t="str">
            <v>None</v>
          </cell>
        </row>
        <row r="255">
          <cell r="G255" t="str">
            <v>None</v>
          </cell>
        </row>
        <row r="256">
          <cell r="G256" t="str">
            <v>None</v>
          </cell>
        </row>
        <row r="257">
          <cell r="G257" t="str">
            <v>None</v>
          </cell>
        </row>
        <row r="258">
          <cell r="G258" t="str">
            <v>Male</v>
          </cell>
        </row>
        <row r="259">
          <cell r="G259" t="str">
            <v>Female</v>
          </cell>
        </row>
        <row r="260">
          <cell r="G260" t="str">
            <v>None</v>
          </cell>
        </row>
        <row r="261">
          <cell r="G261" t="str">
            <v>None</v>
          </cell>
        </row>
        <row r="262">
          <cell r="G262" t="str">
            <v>None</v>
          </cell>
        </row>
        <row r="263">
          <cell r="G263" t="str">
            <v>None</v>
          </cell>
        </row>
        <row r="264">
          <cell r="G264" t="str">
            <v>None</v>
          </cell>
        </row>
        <row r="265">
          <cell r="G265" t="str">
            <v>None</v>
          </cell>
        </row>
        <row r="266">
          <cell r="G266" t="str">
            <v>None</v>
          </cell>
        </row>
        <row r="267">
          <cell r="G267" t="str">
            <v>None</v>
          </cell>
        </row>
        <row r="268">
          <cell r="G268" t="str">
            <v>None</v>
          </cell>
        </row>
        <row r="269">
          <cell r="G269" t="str">
            <v>None</v>
          </cell>
        </row>
      </sheetData>
      <sheetData sheetId="26" refreshError="1"/>
      <sheetData sheetId="27" refreshError="1"/>
      <sheetData sheetId="28" refreshError="1"/>
      <sheetData sheetId="29">
        <row r="10">
          <cell r="F10">
            <v>2.0379279223609945</v>
          </cell>
          <cell r="G10">
            <v>8.2325754054433649</v>
          </cell>
          <cell r="H10">
            <v>4.6197315368532825</v>
          </cell>
          <cell r="I10">
            <v>2.0379279223609945</v>
          </cell>
          <cell r="J10">
            <v>29.765734416219068</v>
          </cell>
          <cell r="K10">
            <v>24.160402476027656</v>
          </cell>
          <cell r="L10">
            <v>18.204911595134902</v>
          </cell>
          <cell r="M10">
            <v>3.7369950327518144</v>
          </cell>
          <cell r="N10">
            <v>13.146246412529484</v>
          </cell>
          <cell r="O10">
            <v>4.3149573825117518</v>
          </cell>
          <cell r="P10">
            <v>2.3078474432297957</v>
          </cell>
          <cell r="Q10">
            <v>1.5421184476534251</v>
          </cell>
          <cell r="R10">
            <v>7.2117800480800902</v>
          </cell>
          <cell r="S10">
            <v>7.2117800480800902</v>
          </cell>
          <cell r="T10">
            <v>2.1649464026205769</v>
          </cell>
          <cell r="U10">
            <v>1.3921915345415286</v>
          </cell>
          <cell r="V10">
            <v>31.53948400615667</v>
          </cell>
          <cell r="W10">
            <v>26.045155971218826</v>
          </cell>
          <cell r="X10">
            <v>15.137346851171831</v>
          </cell>
          <cell r="Y10">
            <v>4.0938234218793053</v>
          </cell>
          <cell r="Z10">
            <v>15.529576407386102</v>
          </cell>
          <cell r="AA10">
            <v>7.921159623920035</v>
          </cell>
          <cell r="AB10">
            <v>4.5892045726786517</v>
          </cell>
          <cell r="AC10">
            <v>1.8395863040085638</v>
          </cell>
          <cell r="AD10">
            <v>25.107577622294507</v>
          </cell>
          <cell r="AE10">
            <v>18.236220880355091</v>
          </cell>
          <cell r="AF10">
            <v>17.508039401725966</v>
          </cell>
          <cell r="AG10">
            <v>13.207575912541206</v>
          </cell>
          <cell r="AH10">
            <v>15.65244382820609</v>
          </cell>
          <cell r="AI10">
            <v>7.9829874913645664</v>
          </cell>
          <cell r="AJ10">
            <v>6.8863174116460719</v>
          </cell>
          <cell r="AK10">
            <v>1.894240167232689</v>
          </cell>
          <cell r="AL10">
            <v>28.347974947745342</v>
          </cell>
          <cell r="AM10">
            <v>20.614910786904929</v>
          </cell>
          <cell r="AN10">
            <v>7.6426972383255434</v>
          </cell>
          <cell r="AO10">
            <v>4.6054667324578489</v>
          </cell>
          <cell r="AP10">
            <v>29.514704069019352</v>
          </cell>
          <cell r="AQ10">
            <v>23.064988550979436</v>
          </cell>
          <cell r="AR10">
            <v>20.19468426953172</v>
          </cell>
          <cell r="AS10">
            <v>3.4379691647936101</v>
          </cell>
          <cell r="AT10">
            <v>31.970525750758874</v>
          </cell>
          <cell r="AU10">
            <v>31.970525750758874</v>
          </cell>
          <cell r="AV10">
            <v>31.175823622399477</v>
          </cell>
          <cell r="AW10">
            <v>11.431266993166711</v>
          </cell>
          <cell r="AX10">
            <v>32.136103149715026</v>
          </cell>
          <cell r="AY10">
            <v>29.953042359598136</v>
          </cell>
          <cell r="AZ10">
            <v>20.036622941771491</v>
          </cell>
          <cell r="BA10">
            <v>5.3303606159738237</v>
          </cell>
          <cell r="BB10">
            <v>29.020440251503786</v>
          </cell>
          <cell r="BC10">
            <v>26.462503802389698</v>
          </cell>
          <cell r="BD10">
            <v>22.014669250362701</v>
          </cell>
          <cell r="BE10">
            <v>20.440246669079968</v>
          </cell>
          <cell r="BF10">
            <v>24.945237826781273</v>
          </cell>
          <cell r="BG10">
            <v>20.986968400287758</v>
          </cell>
          <cell r="BH10">
            <v>16.047899887773845</v>
          </cell>
          <cell r="BI10">
            <v>4.6107955756331513</v>
          </cell>
          <cell r="BJ10">
            <v>31.858618967684166</v>
          </cell>
          <cell r="BK10">
            <v>27.768152593462979</v>
          </cell>
          <cell r="BL10">
            <v>23.073183409632854</v>
          </cell>
          <cell r="BM10">
            <v>4.9670025793225152</v>
          </cell>
          <cell r="BN10">
            <v>27.727606422326829</v>
          </cell>
          <cell r="BO10">
            <v>16.696289127031971</v>
          </cell>
          <cell r="BP10">
            <v>9.7432529189947452</v>
          </cell>
          <cell r="BQ10">
            <v>3.389251823494873</v>
          </cell>
          <cell r="BR10">
            <v>27.763191473173293</v>
          </cell>
          <cell r="BS10">
            <v>19.617524821635705</v>
          </cell>
          <cell r="BT10">
            <v>11.295543907241008</v>
          </cell>
          <cell r="BU10">
            <v>4.7393551807824732</v>
          </cell>
          <cell r="BV10">
            <v>27.583607938904585</v>
          </cell>
          <cell r="BW10">
            <v>17.057644225278139</v>
          </cell>
          <cell r="BX10">
            <v>13.107144144838911</v>
          </cell>
          <cell r="BY10">
            <v>3.7710753557702454</v>
          </cell>
          <cell r="BZ10">
            <v>31.113027573730346</v>
          </cell>
          <cell r="CA10">
            <v>21.759352483862685</v>
          </cell>
          <cell r="CB10">
            <v>18.894283392879565</v>
          </cell>
          <cell r="CC10">
            <v>9.4197231269643851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</row>
        <row r="11">
          <cell r="F11">
            <v>1.8568224424663859</v>
          </cell>
          <cell r="G11">
            <v>8.3039944206883956</v>
          </cell>
          <cell r="H11">
            <v>4.1833248178403979</v>
          </cell>
          <cell r="I11">
            <v>1.8568224424663859</v>
          </cell>
          <cell r="J11">
            <v>25.266021999417337</v>
          </cell>
          <cell r="K11">
            <v>20.428088675532468</v>
          </cell>
          <cell r="L11">
            <v>15.978179264550819</v>
          </cell>
          <cell r="M11">
            <v>3.4551804074907397</v>
          </cell>
          <cell r="N11">
            <v>11.334030435455558</v>
          </cell>
          <cell r="O11">
            <v>3.629466259067367</v>
          </cell>
          <cell r="P11">
            <v>2.121455316009099</v>
          </cell>
          <cell r="Q11">
            <v>1.4754083870135748</v>
          </cell>
          <cell r="R11">
            <v>6.8853934631450233</v>
          </cell>
          <cell r="S11">
            <v>6.5939482450192477</v>
          </cell>
          <cell r="T11">
            <v>2.155898786835972</v>
          </cell>
          <cell r="U11">
            <v>1.3688629164393584</v>
          </cell>
          <cell r="V11">
            <v>27.270643278063968</v>
          </cell>
          <cell r="W11">
            <v>23.884979819215484</v>
          </cell>
          <cell r="X11">
            <v>13.760539376561944</v>
          </cell>
          <cell r="Y11">
            <v>3.8686291823209569</v>
          </cell>
          <cell r="Z11">
            <v>13.185673279432192</v>
          </cell>
          <cell r="AA11">
            <v>6.6358623793629636</v>
          </cell>
          <cell r="AB11">
            <v>4.2114254428155551</v>
          </cell>
          <cell r="AC11">
            <v>2.0875452252043827</v>
          </cell>
          <cell r="AD11">
            <v>21.541931090537776</v>
          </cell>
          <cell r="AE11">
            <v>16.74095442441018</v>
          </cell>
          <cell r="AF11">
            <v>14.266279766867303</v>
          </cell>
          <cell r="AG11">
            <v>11.982773628848099</v>
          </cell>
          <cell r="AH11">
            <v>16.742258028685168</v>
          </cell>
          <cell r="AI11">
            <v>7.9148499335576332</v>
          </cell>
          <cell r="AJ11">
            <v>5.5052316086258521</v>
          </cell>
          <cell r="AK11">
            <v>1.8636680047465313</v>
          </cell>
          <cell r="AL11">
            <v>25.553066090334912</v>
          </cell>
          <cell r="AM11">
            <v>16.844766833560623</v>
          </cell>
          <cell r="AN11">
            <v>7.2594441998974428</v>
          </cell>
          <cell r="AO11">
            <v>4.6271692036729384</v>
          </cell>
          <cell r="AP11">
            <v>25.580146176946283</v>
          </cell>
          <cell r="AQ11">
            <v>21.400370852754971</v>
          </cell>
          <cell r="AR11">
            <v>15.95120914024956</v>
          </cell>
          <cell r="AS11">
            <v>2.9363229465001841</v>
          </cell>
          <cell r="AT11">
            <v>24.170311712150735</v>
          </cell>
          <cell r="AU11">
            <v>24.170311712150735</v>
          </cell>
          <cell r="AV11">
            <v>24.170311712150735</v>
          </cell>
          <cell r="AW11">
            <v>10.863541284446109</v>
          </cell>
          <cell r="AX11">
            <v>27.833049805052955</v>
          </cell>
          <cell r="AY11">
            <v>26.19116793792578</v>
          </cell>
          <cell r="AZ11">
            <v>18.243586371706076</v>
          </cell>
          <cell r="BA11">
            <v>5.0016471498731629</v>
          </cell>
          <cell r="BB11">
            <v>24.55135943841611</v>
          </cell>
          <cell r="BC11">
            <v>22.820343914102867</v>
          </cell>
          <cell r="BD11">
            <v>19.292639516875429</v>
          </cell>
          <cell r="BE11">
            <v>17.192052042337654</v>
          </cell>
          <cell r="BF11">
            <v>26.426901718644917</v>
          </cell>
          <cell r="BG11">
            <v>17.965244659980698</v>
          </cell>
          <cell r="BH11">
            <v>14.611320432542726</v>
          </cell>
          <cell r="BI11">
            <v>4.2050420955263164</v>
          </cell>
          <cell r="BJ11">
            <v>27.464500333589445</v>
          </cell>
          <cell r="BK11">
            <v>24.306112049614629</v>
          </cell>
          <cell r="BL11">
            <v>18.621485185591393</v>
          </cell>
          <cell r="BM11">
            <v>4.4746767478269822</v>
          </cell>
          <cell r="BN11">
            <v>21.562840102772352</v>
          </cell>
          <cell r="BO11">
            <v>14.033094834710459</v>
          </cell>
          <cell r="BP11">
            <v>10.349012282151037</v>
          </cell>
          <cell r="BQ11">
            <v>3.5279342151301534</v>
          </cell>
          <cell r="BR11">
            <v>24.163428889341429</v>
          </cell>
          <cell r="BS11">
            <v>17.023657910281131</v>
          </cell>
          <cell r="BT11">
            <v>10.41989624301406</v>
          </cell>
          <cell r="BU11">
            <v>4.3694713691468978</v>
          </cell>
          <cell r="BV11">
            <v>21.689903713930722</v>
          </cell>
          <cell r="BW11">
            <v>14.873681571885465</v>
          </cell>
          <cell r="BX11">
            <v>11.908821324712342</v>
          </cell>
          <cell r="BY11">
            <v>3.7244131679061927</v>
          </cell>
          <cell r="BZ11">
            <v>26.494847680581504</v>
          </cell>
          <cell r="CA11">
            <v>18.707798759486668</v>
          </cell>
          <cell r="CB11">
            <v>16.224501074384417</v>
          </cell>
          <cell r="CC11">
            <v>7.9777079153265955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</row>
        <row r="12">
          <cell r="F12">
            <v>1.7851042344692722</v>
          </cell>
          <cell r="G12">
            <v>6.9068280617921518</v>
          </cell>
          <cell r="H12">
            <v>3.7304243251432476</v>
          </cell>
          <cell r="I12">
            <v>1.7851042344692722</v>
          </cell>
          <cell r="J12">
            <v>21.719842255777579</v>
          </cell>
          <cell r="K12">
            <v>18.04819415698989</v>
          </cell>
          <cell r="L12">
            <v>14.103444087129919</v>
          </cell>
          <cell r="M12">
            <v>3.1304350979326374</v>
          </cell>
          <cell r="N12">
            <v>8.5359166659467416</v>
          </cell>
          <cell r="O12">
            <v>3.283960461116783</v>
          </cell>
          <cell r="P12">
            <v>1.8836362944413103</v>
          </cell>
          <cell r="Q12">
            <v>1.4215072845171883</v>
          </cell>
          <cell r="R12">
            <v>7.1710282502315268</v>
          </cell>
          <cell r="S12">
            <v>6.1763233155797996</v>
          </cell>
          <cell r="T12">
            <v>2.2466764287774583</v>
          </cell>
          <cell r="U12">
            <v>1.3484682714679272</v>
          </cell>
          <cell r="V12">
            <v>23.366617769457648</v>
          </cell>
          <cell r="W12">
            <v>20.350893582969803</v>
          </cell>
          <cell r="X12">
            <v>13.005469123997027</v>
          </cell>
          <cell r="Y12">
            <v>3.7781888631112635</v>
          </cell>
          <cell r="Z12">
            <v>10.064804577387012</v>
          </cell>
          <cell r="AA12">
            <v>6.1577495348686302</v>
          </cell>
          <cell r="AB12">
            <v>4.0697016700196498</v>
          </cell>
          <cell r="AC12">
            <v>1.6727826648929991</v>
          </cell>
          <cell r="AD12">
            <v>18.101266183814655</v>
          </cell>
          <cell r="AE12">
            <v>14.918448337393993</v>
          </cell>
          <cell r="AF12">
            <v>11.977005434347955</v>
          </cell>
          <cell r="AG12">
            <v>10.056692398446833</v>
          </cell>
          <cell r="AH12">
            <v>13.888762838585809</v>
          </cell>
          <cell r="AI12">
            <v>8.4544508413218313</v>
          </cell>
          <cell r="AJ12">
            <v>4.8157815158440007</v>
          </cell>
          <cell r="AK12">
            <v>2.0000677600197818</v>
          </cell>
          <cell r="AL12">
            <v>21.614288808588768</v>
          </cell>
          <cell r="AM12">
            <v>15.175490854480254</v>
          </cell>
          <cell r="AN12">
            <v>6.9229212615873177</v>
          </cell>
          <cell r="AO12">
            <v>4.1537967789908734</v>
          </cell>
          <cell r="AP12">
            <v>21.470322010111538</v>
          </cell>
          <cell r="AQ12">
            <v>18.892904147506542</v>
          </cell>
          <cell r="AR12">
            <v>15.766909652762484</v>
          </cell>
          <cell r="AS12">
            <v>2.8693631387722549</v>
          </cell>
          <cell r="AT12">
            <v>22.011383933649313</v>
          </cell>
          <cell r="AU12">
            <v>22.011383933649313</v>
          </cell>
          <cell r="AV12">
            <v>22.011383933649313</v>
          </cell>
          <cell r="AW12">
            <v>10.250218537394929</v>
          </cell>
          <cell r="AX12">
            <v>23.746510797594148</v>
          </cell>
          <cell r="AY12">
            <v>22.804079582511992</v>
          </cell>
          <cell r="AZ12">
            <v>16.291866313320249</v>
          </cell>
          <cell r="BA12">
            <v>4.9209632613940322</v>
          </cell>
          <cell r="BB12">
            <v>20.288994365729522</v>
          </cell>
          <cell r="BC12">
            <v>19.43047479783225</v>
          </cell>
          <cell r="BD12">
            <v>16.752598393222147</v>
          </cell>
          <cell r="BE12">
            <v>14.419724750628033</v>
          </cell>
          <cell r="BF12">
            <v>20.166701578776813</v>
          </cell>
          <cell r="BG12">
            <v>18.074803184477094</v>
          </cell>
          <cell r="BH12">
            <v>14.634394190482347</v>
          </cell>
          <cell r="BI12">
            <v>3.1387374762702844</v>
          </cell>
          <cell r="BJ12">
            <v>23.438736278846953</v>
          </cell>
          <cell r="BK12">
            <v>19.943889545526527</v>
          </cell>
          <cell r="BL12">
            <v>14.043789863794778</v>
          </cell>
          <cell r="BM12">
            <v>3.714095469925379</v>
          </cell>
          <cell r="BN12">
            <v>18.351395426421384</v>
          </cell>
          <cell r="BO12">
            <v>14.083426545686185</v>
          </cell>
          <cell r="BP12">
            <v>8.0786622588682029</v>
          </cell>
          <cell r="BQ12">
            <v>4.4882861066054867</v>
          </cell>
          <cell r="BR12">
            <v>20.560789344271043</v>
          </cell>
          <cell r="BS12">
            <v>14.530606840415977</v>
          </cell>
          <cell r="BT12">
            <v>9.9272261770646981</v>
          </cell>
          <cell r="BU12">
            <v>3.4988610332712136</v>
          </cell>
          <cell r="BV12">
            <v>18.369849701465032</v>
          </cell>
          <cell r="BW12">
            <v>14.249063869587657</v>
          </cell>
          <cell r="BX12">
            <v>8.9225747984041561</v>
          </cell>
          <cell r="BY12">
            <v>4.3292655198553209</v>
          </cell>
          <cell r="BZ12">
            <v>22.460375714835429</v>
          </cell>
          <cell r="CA12">
            <v>16.391826494135994</v>
          </cell>
          <cell r="CB12">
            <v>14.499732759748305</v>
          </cell>
          <cell r="CC12">
            <v>6.499858689156623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</row>
        <row r="13">
          <cell r="F13">
            <v>1.7189958336248221</v>
          </cell>
          <cell r="G13">
            <v>5.8594644420792061</v>
          </cell>
          <cell r="H13">
            <v>3.3447530794479148</v>
          </cell>
          <cell r="I13">
            <v>1.7189958336248221</v>
          </cell>
          <cell r="J13">
            <v>17.777169821944554</v>
          </cell>
          <cell r="K13">
            <v>15.534410152361684</v>
          </cell>
          <cell r="L13">
            <v>12.653318556195185</v>
          </cell>
          <cell r="M13">
            <v>3.006979900466026</v>
          </cell>
          <cell r="N13">
            <v>6.6853335765477881</v>
          </cell>
          <cell r="O13">
            <v>3.133945569943573</v>
          </cell>
          <cell r="P13">
            <v>1.8958074656736006</v>
          </cell>
          <cell r="Q13">
            <v>1.3555160887564188</v>
          </cell>
          <cell r="R13">
            <v>5.8921717027002538</v>
          </cell>
          <cell r="S13">
            <v>5.3798020483359785</v>
          </cell>
          <cell r="T13">
            <v>2.051053032004456</v>
          </cell>
          <cell r="U13">
            <v>1.3452086500750957</v>
          </cell>
          <cell r="V13">
            <v>19.556918856089144</v>
          </cell>
          <cell r="W13">
            <v>17.037179634228114</v>
          </cell>
          <cell r="X13">
            <v>11.001401973518361</v>
          </cell>
          <cell r="Y13">
            <v>3.0644706974949654</v>
          </cell>
          <cell r="Z13">
            <v>10.270062084418862</v>
          </cell>
          <cell r="AA13">
            <v>6.1437714467576292</v>
          </cell>
          <cell r="AB13">
            <v>4.0579272327200844</v>
          </cell>
          <cell r="AC13">
            <v>1.8067444637374475</v>
          </cell>
          <cell r="AD13">
            <v>15.227097372529395</v>
          </cell>
          <cell r="AE13">
            <v>10.90007797557719</v>
          </cell>
          <cell r="AF13">
            <v>9.9688820560249063</v>
          </cell>
          <cell r="AG13">
            <v>8.2751209104207852</v>
          </cell>
          <cell r="AH13">
            <v>11.805158275620693</v>
          </cell>
          <cell r="AI13">
            <v>7.1089946506747079</v>
          </cell>
          <cell r="AJ13">
            <v>5.3725435229246479</v>
          </cell>
          <cell r="AK13">
            <v>1.8257838442303949</v>
          </cell>
          <cell r="AL13">
            <v>17.791755513072918</v>
          </cell>
          <cell r="AM13">
            <v>13.177572104520227</v>
          </cell>
          <cell r="AN13">
            <v>6.1164303935600586</v>
          </cell>
          <cell r="AO13">
            <v>3.7226132098343183</v>
          </cell>
          <cell r="AP13">
            <v>17.825313376469122</v>
          </cell>
          <cell r="AQ13">
            <v>15.115470104190033</v>
          </cell>
          <cell r="AR13">
            <v>12.505011042669338</v>
          </cell>
          <cell r="AS13">
            <v>2.647732302658719</v>
          </cell>
          <cell r="AT13">
            <v>19.021958913654174</v>
          </cell>
          <cell r="AU13">
            <v>19.021958913654174</v>
          </cell>
          <cell r="AV13">
            <v>19.021958913654174</v>
          </cell>
          <cell r="AW13">
            <v>9.0476272913632521</v>
          </cell>
          <cell r="AX13">
            <v>19.857452683942064</v>
          </cell>
          <cell r="AY13">
            <v>19.00729196761889</v>
          </cell>
          <cell r="AZ13">
            <v>13.492266106870481</v>
          </cell>
          <cell r="BA13">
            <v>4.795171554289408</v>
          </cell>
          <cell r="BB13">
            <v>16.686618326686034</v>
          </cell>
          <cell r="BC13">
            <v>15.130604945897089</v>
          </cell>
          <cell r="BD13">
            <v>13.725121687892495</v>
          </cell>
          <cell r="BE13">
            <v>11.909831500596324</v>
          </cell>
          <cell r="BF13">
            <v>17.296844017911372</v>
          </cell>
          <cell r="BG13">
            <v>14.089569780363613</v>
          </cell>
          <cell r="BH13">
            <v>12.005902940194773</v>
          </cell>
          <cell r="BI13">
            <v>5.0749699611104244</v>
          </cell>
          <cell r="BJ13">
            <v>19.415950031863471</v>
          </cell>
          <cell r="BK13">
            <v>15.74714194240268</v>
          </cell>
          <cell r="BL13">
            <v>11.860762671375289</v>
          </cell>
          <cell r="BM13">
            <v>3.5065271239977593</v>
          </cell>
          <cell r="BN13">
            <v>14.943938713146052</v>
          </cell>
          <cell r="BO13">
            <v>10.74492473340951</v>
          </cell>
          <cell r="BP13">
            <v>8.2905768556191752</v>
          </cell>
          <cell r="BQ13">
            <v>3.1688277737808499</v>
          </cell>
          <cell r="BR13">
            <v>17.245254355471115</v>
          </cell>
          <cell r="BS13">
            <v>10.943471847002812</v>
          </cell>
          <cell r="BT13">
            <v>8.7085192211413549</v>
          </cell>
          <cell r="BU13">
            <v>3.2988620723766644</v>
          </cell>
          <cell r="BV13">
            <v>15.163998469616645</v>
          </cell>
          <cell r="BW13">
            <v>11.192271712708598</v>
          </cell>
          <cell r="BX13">
            <v>9.1494242215360408</v>
          </cell>
          <cell r="BY13">
            <v>3.3346546068980829</v>
          </cell>
          <cell r="BZ13">
            <v>18.701810462152995</v>
          </cell>
          <cell r="CA13">
            <v>13.026282506071075</v>
          </cell>
          <cell r="CB13">
            <v>11.616772797329165</v>
          </cell>
          <cell r="CC13">
            <v>5.2872762103918411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</row>
        <row r="14">
          <cell r="F14">
            <v>1.6011104314825333</v>
          </cell>
          <cell r="G14">
            <v>5.0982340149716281</v>
          </cell>
          <cell r="H14">
            <v>2.8188494412837315</v>
          </cell>
          <cell r="I14">
            <v>1.6011104314825333</v>
          </cell>
          <cell r="J14">
            <v>14.252905680802423</v>
          </cell>
          <cell r="K14">
            <v>12.561743461543839</v>
          </cell>
          <cell r="L14">
            <v>9.935653641289365</v>
          </cell>
          <cell r="M14">
            <v>2.5096460500597475</v>
          </cell>
          <cell r="N14">
            <v>5.027854098956996</v>
          </cell>
          <cell r="O14">
            <v>2.6235471472504908</v>
          </cell>
          <cell r="P14">
            <v>1.748024366275535</v>
          </cell>
          <cell r="Q14">
            <v>1.2728568898250834</v>
          </cell>
          <cell r="R14">
            <v>4.5699623616071765</v>
          </cell>
          <cell r="S14">
            <v>3.7914229394709795</v>
          </cell>
          <cell r="T14">
            <v>2.1478166864217676</v>
          </cell>
          <cell r="U14">
            <v>1.2895621599884861</v>
          </cell>
          <cell r="V14">
            <v>15.91018006223047</v>
          </cell>
          <cell r="W14">
            <v>13.887677230901003</v>
          </cell>
          <cell r="X14">
            <v>9.2039048054750126</v>
          </cell>
          <cell r="Y14">
            <v>3.2291254496491453</v>
          </cell>
          <cell r="Z14">
            <v>7.3116949280361725</v>
          </cell>
          <cell r="AA14">
            <v>5.0685596750096469</v>
          </cell>
          <cell r="AB14">
            <v>3.4730684475167002</v>
          </cell>
          <cell r="AC14">
            <v>1.6854930193392867</v>
          </cell>
          <cell r="AD14">
            <v>12.457205516372536</v>
          </cell>
          <cell r="AE14">
            <v>9.1583573587566445</v>
          </cell>
          <cell r="AF14">
            <v>7.5752200662171001</v>
          </cell>
          <cell r="AG14">
            <v>5.9707468871031066</v>
          </cell>
          <cell r="AH14">
            <v>10.131366347585949</v>
          </cell>
          <cell r="AI14">
            <v>5.6704877496461163</v>
          </cell>
          <cell r="AJ14">
            <v>3.4560747370259697</v>
          </cell>
          <cell r="AK14">
            <v>1.5937677940374761</v>
          </cell>
          <cell r="AL14">
            <v>14.328146818269484</v>
          </cell>
          <cell r="AM14">
            <v>10.812165668550659</v>
          </cell>
          <cell r="AN14">
            <v>5.3418054530084493</v>
          </cell>
          <cell r="AO14">
            <v>3.3091086083578123</v>
          </cell>
          <cell r="AP14">
            <v>14.179340827385394</v>
          </cell>
          <cell r="AQ14">
            <v>12.060647001730715</v>
          </cell>
          <cell r="AR14">
            <v>10.783287251180431</v>
          </cell>
          <cell r="AS14">
            <v>2.4959552802682858</v>
          </cell>
          <cell r="AT14">
            <v>14.991831449320509</v>
          </cell>
          <cell r="AU14">
            <v>14.991831449320509</v>
          </cell>
          <cell r="AV14">
            <v>14.991831449320509</v>
          </cell>
          <cell r="AW14">
            <v>6.7745023636337534</v>
          </cell>
          <cell r="AX14">
            <v>16.143811475925638</v>
          </cell>
          <cell r="AY14">
            <v>15.271982880212462</v>
          </cell>
          <cell r="AZ14">
            <v>11.517342845780405</v>
          </cell>
          <cell r="BA14">
            <v>4.3306422590925298</v>
          </cell>
          <cell r="BB14">
            <v>12.957762150414585</v>
          </cell>
          <cell r="BC14">
            <v>11.551319769603502</v>
          </cell>
          <cell r="BD14">
            <v>9.960359134975489</v>
          </cell>
          <cell r="BE14">
            <v>8.8646430699108851</v>
          </cell>
          <cell r="BF14">
            <v>14.517281842806414</v>
          </cell>
          <cell r="BG14">
            <v>11.061517390270257</v>
          </cell>
          <cell r="BH14">
            <v>9.2480318943606932</v>
          </cell>
          <cell r="BI14">
            <v>3.7748739353669727</v>
          </cell>
          <cell r="BJ14">
            <v>15.565872815961042</v>
          </cell>
          <cell r="BK14">
            <v>12.959150175591505</v>
          </cell>
          <cell r="BL14">
            <v>9.5060354602545587</v>
          </cell>
          <cell r="BM14">
            <v>3.058151341999547</v>
          </cell>
          <cell r="BN14">
            <v>12.115056436223858</v>
          </cell>
          <cell r="BO14">
            <v>8.0915744841841022</v>
          </cell>
          <cell r="BP14">
            <v>6.7512011290947767</v>
          </cell>
          <cell r="BQ14">
            <v>2.5981722645255365</v>
          </cell>
          <cell r="BR14">
            <v>12.977007712554052</v>
          </cell>
          <cell r="BS14">
            <v>10.577572172489344</v>
          </cell>
          <cell r="BT14">
            <v>6.7868807831189333</v>
          </cell>
          <cell r="BU14">
            <v>2.1684587248547396</v>
          </cell>
          <cell r="BV14">
            <v>12.291609890608868</v>
          </cell>
          <cell r="BW14">
            <v>8.4453146645604367</v>
          </cell>
          <cell r="BX14">
            <v>6.7681586422875784</v>
          </cell>
          <cell r="BY14">
            <v>2.9133579085530426</v>
          </cell>
          <cell r="BZ14">
            <v>14.936691075730414</v>
          </cell>
          <cell r="CA14">
            <v>10.851525471506951</v>
          </cell>
          <cell r="CB14">
            <v>9.5845803646636085</v>
          </cell>
          <cell r="CC14">
            <v>4.179334857612873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</row>
        <row r="15">
          <cell r="F15">
            <v>1.5047981885470314</v>
          </cell>
          <cell r="G15">
            <v>3.8964278716565985</v>
          </cell>
          <cell r="H15">
            <v>2.4118984322056733</v>
          </cell>
          <cell r="I15">
            <v>1.5047981885470314</v>
          </cell>
          <cell r="J15">
            <v>10.993787204197304</v>
          </cell>
          <cell r="K15">
            <v>9.4005523078605933</v>
          </cell>
          <cell r="L15">
            <v>7.9569549327218843</v>
          </cell>
          <cell r="M15">
            <v>2.0922398216713178</v>
          </cell>
          <cell r="N15">
            <v>3.3897563553004648</v>
          </cell>
          <cell r="O15">
            <v>2.3814629411583983</v>
          </cell>
          <cell r="P15">
            <v>1.499191544873733</v>
          </cell>
          <cell r="Q15">
            <v>1.2029193650187218</v>
          </cell>
          <cell r="R15">
            <v>3.4798223037244531</v>
          </cell>
          <cell r="S15">
            <v>3.1639279348434841</v>
          </cell>
          <cell r="T15">
            <v>1.73198125831559</v>
          </cell>
          <cell r="U15">
            <v>1.2967268695806857</v>
          </cell>
          <cell r="V15">
            <v>12.460734846110443</v>
          </cell>
          <cell r="W15">
            <v>10.419478225793815</v>
          </cell>
          <cell r="X15">
            <v>6.5118799313111815</v>
          </cell>
          <cell r="Y15">
            <v>2.4492172292341463</v>
          </cell>
          <cell r="Z15">
            <v>5.3695239857097841</v>
          </cell>
          <cell r="AA15">
            <v>3.8101350896284001</v>
          </cell>
          <cell r="AB15">
            <v>2.5563835235498518</v>
          </cell>
          <cell r="AC15">
            <v>1.3866528144070438</v>
          </cell>
          <cell r="AD15">
            <v>10.145220630095206</v>
          </cell>
          <cell r="AE15">
            <v>7.7950588787060884</v>
          </cell>
          <cell r="AF15">
            <v>6.1228712887436458</v>
          </cell>
          <cell r="AG15">
            <v>4.6304933128761672</v>
          </cell>
          <cell r="AH15">
            <v>7.1308293135346732</v>
          </cell>
          <cell r="AI15">
            <v>4.816530108046865</v>
          </cell>
          <cell r="AJ15">
            <v>3.3354682357461405</v>
          </cell>
          <cell r="AK15">
            <v>1.5455526320286621</v>
          </cell>
          <cell r="AL15">
            <v>11.317643601821411</v>
          </cell>
          <cell r="AM15">
            <v>8.6652194922530779</v>
          </cell>
          <cell r="AN15">
            <v>4.3904684131523473</v>
          </cell>
          <cell r="AO15">
            <v>2.6122519591060578</v>
          </cell>
          <cell r="AP15">
            <v>10.930987987905356</v>
          </cell>
          <cell r="AQ15">
            <v>9.1582469989867725</v>
          </cell>
          <cell r="AR15">
            <v>8.663667047729561</v>
          </cell>
          <cell r="AS15">
            <v>2.0779236218009056</v>
          </cell>
          <cell r="AT15">
            <v>11.843309262270047</v>
          </cell>
          <cell r="AU15">
            <v>11.843309262270047</v>
          </cell>
          <cell r="AV15">
            <v>11.843309262270047</v>
          </cell>
          <cell r="AW15">
            <v>4.9064767994335394</v>
          </cell>
          <cell r="AX15">
            <v>12.677182732452033</v>
          </cell>
          <cell r="AY15">
            <v>11.949884811609515</v>
          </cell>
          <cell r="AZ15">
            <v>8.5647348449798724</v>
          </cell>
          <cell r="BA15">
            <v>3.9876411724273551</v>
          </cell>
          <cell r="BB15">
            <v>9.323181648550694</v>
          </cell>
          <cell r="BC15">
            <v>8.1238670597812064</v>
          </cell>
          <cell r="BD15">
            <v>7.2126753170584843</v>
          </cell>
          <cell r="BE15">
            <v>6.6658563633100005</v>
          </cell>
          <cell r="BF15">
            <v>10.606454037542708</v>
          </cell>
          <cell r="BG15">
            <v>8.8826920769188344</v>
          </cell>
          <cell r="BH15">
            <v>8.2336914319692056</v>
          </cell>
          <cell r="BI15">
            <v>2.7116864076926546</v>
          </cell>
          <cell r="BJ15">
            <v>12.212947836361085</v>
          </cell>
          <cell r="BK15">
            <v>9.6823086505573475</v>
          </cell>
          <cell r="BL15">
            <v>7.1583950011296951</v>
          </cell>
          <cell r="BM15">
            <v>2.3503577395912107</v>
          </cell>
          <cell r="BN15">
            <v>9.0106191127777127</v>
          </cell>
          <cell r="BO15">
            <v>5.8269511688762181</v>
          </cell>
          <cell r="BP15">
            <v>5.3820517708696922</v>
          </cell>
          <cell r="BQ15">
            <v>2.3121735776139825</v>
          </cell>
          <cell r="BR15">
            <v>10.58300577168996</v>
          </cell>
          <cell r="BS15">
            <v>7.5778090563524483</v>
          </cell>
          <cell r="BT15">
            <v>5.1232070240101777</v>
          </cell>
          <cell r="BU15">
            <v>2.2611787921179274</v>
          </cell>
          <cell r="BV15">
            <v>9.0652297687700987</v>
          </cell>
          <cell r="BW15">
            <v>6.0423392213295024</v>
          </cell>
          <cell r="BX15">
            <v>5.5376610586359645</v>
          </cell>
          <cell r="BY15">
            <v>2.4567702000325449</v>
          </cell>
          <cell r="BZ15">
            <v>11.497953172797825</v>
          </cell>
          <cell r="CA15">
            <v>8.281408286897463</v>
          </cell>
          <cell r="CB15">
            <v>7.5113748811403926</v>
          </cell>
          <cell r="CC15">
            <v>3.1402737340704188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</row>
        <row r="16">
          <cell r="F16">
            <v>1.3648708439791333</v>
          </cell>
          <cell r="G16">
            <v>3.2492161211201305</v>
          </cell>
          <cell r="H16">
            <v>1.9646333998556784</v>
          </cell>
          <cell r="I16">
            <v>1.3648708439791333</v>
          </cell>
          <cell r="J16">
            <v>7.7516610387820926</v>
          </cell>
          <cell r="K16">
            <v>7.3966398835737523</v>
          </cell>
          <cell r="L16">
            <v>5.7070698987870774</v>
          </cell>
          <cell r="M16">
            <v>1.7597263273302879</v>
          </cell>
          <cell r="N16">
            <v>2.3091036679266574</v>
          </cell>
          <cell r="O16">
            <v>1.909934164339429</v>
          </cell>
          <cell r="P16">
            <v>1.3079390318791411</v>
          </cell>
          <cell r="Q16">
            <v>1.1084729740704955</v>
          </cell>
          <cell r="R16">
            <v>2.6169093093165792</v>
          </cell>
          <cell r="S16">
            <v>2.5786881032648981</v>
          </cell>
          <cell r="T16">
            <v>1.6183501219301237</v>
          </cell>
          <cell r="U16">
            <v>1.1758986800531104</v>
          </cell>
          <cell r="V16">
            <v>9.4351150296093049</v>
          </cell>
          <cell r="W16">
            <v>7.095269214387141</v>
          </cell>
          <cell r="X16">
            <v>4.1418821389597023</v>
          </cell>
          <cell r="Y16">
            <v>1.9477609541218766</v>
          </cell>
          <cell r="Z16">
            <v>3.4067136564139862</v>
          </cell>
          <cell r="AA16">
            <v>3.1456019086562272</v>
          </cell>
          <cell r="AB16">
            <v>1.9578868219100412</v>
          </cell>
          <cell r="AC16">
            <v>1.31864813247015</v>
          </cell>
          <cell r="AD16">
            <v>7.4792857573733054</v>
          </cell>
          <cell r="AE16">
            <v>5.5416083409291854</v>
          </cell>
          <cell r="AF16">
            <v>4.0840547939779954</v>
          </cell>
          <cell r="AG16">
            <v>3.2969699761261606</v>
          </cell>
          <cell r="AH16">
            <v>5.0570472651994853</v>
          </cell>
          <cell r="AI16">
            <v>3.5687755256885954</v>
          </cell>
          <cell r="AJ16">
            <v>2.4640834862506389</v>
          </cell>
          <cell r="AK16">
            <v>1.410886977691066</v>
          </cell>
          <cell r="AL16">
            <v>8.0468136292176666</v>
          </cell>
          <cell r="AM16">
            <v>5.7505018369042773</v>
          </cell>
          <cell r="AN16">
            <v>3.2761868508485783</v>
          </cell>
          <cell r="AO16">
            <v>2.0289786436386428</v>
          </cell>
          <cell r="AP16">
            <v>8.1191036608501008</v>
          </cell>
          <cell r="AQ16">
            <v>6.5617074180436035</v>
          </cell>
          <cell r="AR16">
            <v>6.1752427281790494</v>
          </cell>
          <cell r="AS16">
            <v>1.7714980716359432</v>
          </cell>
          <cell r="AT16">
            <v>9.0372228315514764</v>
          </cell>
          <cell r="AU16">
            <v>8.8997530969226393</v>
          </cell>
          <cell r="AV16">
            <v>8.3056721322045686</v>
          </cell>
          <cell r="AW16">
            <v>3.412754646656377</v>
          </cell>
          <cell r="AX16">
            <v>9.5752713825594</v>
          </cell>
          <cell r="AY16">
            <v>8.7431711689503206</v>
          </cell>
          <cell r="AZ16">
            <v>6.4807687026852943</v>
          </cell>
          <cell r="BA16">
            <v>3.1822878931420435</v>
          </cell>
          <cell r="BB16">
            <v>6.6390462442359564</v>
          </cell>
          <cell r="BC16">
            <v>5.3389307540066788</v>
          </cell>
          <cell r="BD16">
            <v>5.2102130800476338</v>
          </cell>
          <cell r="BE16">
            <v>4.6746906936596568</v>
          </cell>
          <cell r="BF16">
            <v>6.7528825899679656</v>
          </cell>
          <cell r="BG16">
            <v>6.4555241519669799</v>
          </cell>
          <cell r="BH16">
            <v>5.5478089946200129</v>
          </cell>
          <cell r="BI16">
            <v>2.286636427912498</v>
          </cell>
          <cell r="BJ16">
            <v>9.1067254550600527</v>
          </cell>
          <cell r="BK16">
            <v>7.7161212814846758</v>
          </cell>
          <cell r="BL16">
            <v>5.4326276681174441</v>
          </cell>
          <cell r="BM16">
            <v>1.9454910887930179</v>
          </cell>
          <cell r="BN16">
            <v>6.4113432680895315</v>
          </cell>
          <cell r="BO16">
            <v>4.0890523696306484</v>
          </cell>
          <cell r="BP16">
            <v>4.0890523696306484</v>
          </cell>
          <cell r="BQ16">
            <v>1.9171283200576799</v>
          </cell>
          <cell r="BR16">
            <v>7.228825864646403</v>
          </cell>
          <cell r="BS16">
            <v>5.3713267168992918</v>
          </cell>
          <cell r="BT16">
            <v>3.5696131677845244</v>
          </cell>
          <cell r="BU16">
            <v>1.9878142144409146</v>
          </cell>
          <cell r="BV16">
            <v>6.4347385756630988</v>
          </cell>
          <cell r="BW16">
            <v>4.2827812858783076</v>
          </cell>
          <cell r="BX16">
            <v>4.2827812858783076</v>
          </cell>
          <cell r="BY16">
            <v>1.9816042580937014</v>
          </cell>
          <cell r="BZ16">
            <v>8.5851920277407761</v>
          </cell>
          <cell r="CA16">
            <v>6.0825702152618035</v>
          </cell>
          <cell r="CB16">
            <v>5.4369261848832826</v>
          </cell>
          <cell r="CC16">
            <v>2.4666267262486175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</row>
        <row r="17">
          <cell r="F17">
            <v>1.246914847071332</v>
          </cell>
          <cell r="G17">
            <v>2.1308691087389882</v>
          </cell>
          <cell r="H17">
            <v>1.5379944611502814</v>
          </cell>
          <cell r="I17">
            <v>1.246914847071332</v>
          </cell>
          <cell r="J17">
            <v>4.9554888498182814</v>
          </cell>
          <cell r="K17">
            <v>4.9554888498182814</v>
          </cell>
          <cell r="L17">
            <v>3.7774871741885945</v>
          </cell>
          <cell r="M17">
            <v>1.3568050772121705</v>
          </cell>
          <cell r="N17">
            <v>1.5731831564589582</v>
          </cell>
          <cell r="O17">
            <v>1.3929649706397893</v>
          </cell>
          <cell r="P17">
            <v>1.154131384856796</v>
          </cell>
          <cell r="Q17">
            <v>1.0622922014793061</v>
          </cell>
          <cell r="R17">
            <v>2.0902749852692182</v>
          </cell>
          <cell r="S17">
            <v>2.008988591062796</v>
          </cell>
          <cell r="T17">
            <v>1.3089260870283366</v>
          </cell>
          <cell r="U17">
            <v>1.1201620863084483</v>
          </cell>
          <cell r="V17">
            <v>6.5528961633738909</v>
          </cell>
          <cell r="W17">
            <v>5.0367841842728032</v>
          </cell>
          <cell r="X17">
            <v>3.1456087036821172</v>
          </cell>
          <cell r="Y17">
            <v>1.5751354062942906</v>
          </cell>
          <cell r="Z17">
            <v>1.9188736134708466</v>
          </cell>
          <cell r="AA17">
            <v>1.9188736134708466</v>
          </cell>
          <cell r="AB17">
            <v>1.6613139774417423</v>
          </cell>
          <cell r="AC17">
            <v>1.2253846768352843</v>
          </cell>
          <cell r="AD17">
            <v>5.0713366148445731</v>
          </cell>
          <cell r="AE17">
            <v>3.8195340611732296</v>
          </cell>
          <cell r="AF17">
            <v>2.9156778323599668</v>
          </cell>
          <cell r="AG17">
            <v>2.2218541617978915</v>
          </cell>
          <cell r="AH17">
            <v>2.9687621898547829</v>
          </cell>
          <cell r="AI17">
            <v>2.8063379573084348</v>
          </cell>
          <cell r="AJ17">
            <v>2.0039427052087135</v>
          </cell>
          <cell r="AK17">
            <v>1.164540050708722</v>
          </cell>
          <cell r="AL17">
            <v>4.3452552369391313</v>
          </cell>
          <cell r="AM17">
            <v>3.2978197357178622</v>
          </cell>
          <cell r="AN17">
            <v>2.1164273096042847</v>
          </cell>
          <cell r="AO17">
            <v>1.4484958073729979</v>
          </cell>
          <cell r="AP17">
            <v>5.2603102433125555</v>
          </cell>
          <cell r="AQ17">
            <v>4.6380899319787368</v>
          </cell>
          <cell r="AR17">
            <v>4.3131266376676507</v>
          </cell>
          <cell r="AS17">
            <v>1.3744247510829188</v>
          </cell>
          <cell r="AT17">
            <v>6.031067819479448</v>
          </cell>
          <cell r="AU17">
            <v>5.7317679450713941</v>
          </cell>
          <cell r="AV17">
            <v>5.3945037788706607</v>
          </cell>
          <cell r="AW17">
            <v>2.5182558996735867</v>
          </cell>
          <cell r="AX17">
            <v>6.911413300936653</v>
          </cell>
          <cell r="AY17">
            <v>5.7177470140749307</v>
          </cell>
          <cell r="AZ17">
            <v>4.3288773504438058</v>
          </cell>
          <cell r="BA17">
            <v>2.5338645556572046</v>
          </cell>
          <cell r="BB17">
            <v>4.1419389276594174</v>
          </cell>
          <cell r="BC17">
            <v>3.1832372703201122</v>
          </cell>
          <cell r="BD17">
            <v>3.0788358564708709</v>
          </cell>
          <cell r="BE17">
            <v>2.9163081523116228</v>
          </cell>
          <cell r="BF17">
            <v>4.5164673125693398</v>
          </cell>
          <cell r="BG17">
            <v>3.9612711843937793</v>
          </cell>
          <cell r="BH17">
            <v>3.9612711843937793</v>
          </cell>
          <cell r="BI17">
            <v>1.3250283358135262</v>
          </cell>
          <cell r="BJ17">
            <v>6.2345760418400022</v>
          </cell>
          <cell r="BK17">
            <v>4.9088714584388962</v>
          </cell>
          <cell r="BL17">
            <v>3.5781986561610393</v>
          </cell>
          <cell r="BM17">
            <v>1.6504992017099331</v>
          </cell>
          <cell r="BN17">
            <v>4.119307940743016</v>
          </cell>
          <cell r="BO17">
            <v>2.4794763172686247</v>
          </cell>
          <cell r="BP17">
            <v>2.4794763172686247</v>
          </cell>
          <cell r="BQ17">
            <v>1.5236324130138468</v>
          </cell>
          <cell r="BR17">
            <v>4.317744859158311</v>
          </cell>
          <cell r="BS17">
            <v>3.3906416245013289</v>
          </cell>
          <cell r="BT17">
            <v>2.7891228775597074</v>
          </cell>
          <cell r="BU17">
            <v>1.384947731361504</v>
          </cell>
          <cell r="BV17">
            <v>4.194740460531091</v>
          </cell>
          <cell r="BW17">
            <v>2.7214995075581401</v>
          </cell>
          <cell r="BX17">
            <v>2.7214995075581401</v>
          </cell>
          <cell r="BY17">
            <v>1.6041463259401285</v>
          </cell>
          <cell r="BZ17">
            <v>5.5028155975341253</v>
          </cell>
          <cell r="CA17">
            <v>4.143752444564492</v>
          </cell>
          <cell r="CB17">
            <v>3.819586705748212</v>
          </cell>
          <cell r="CC17">
            <v>1.7628075616144403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</row>
        <row r="18">
          <cell r="F18">
            <v>1.246914847071332</v>
          </cell>
          <cell r="G18">
            <v>2.1308691087389882</v>
          </cell>
          <cell r="H18">
            <v>1.5379944611502814</v>
          </cell>
          <cell r="I18">
            <v>1.246914847071332</v>
          </cell>
          <cell r="J18">
            <v>4.9554888498182814</v>
          </cell>
          <cell r="K18">
            <v>4.9554888498182814</v>
          </cell>
          <cell r="L18">
            <v>3.7774871741885945</v>
          </cell>
          <cell r="M18">
            <v>1.3568050772121705</v>
          </cell>
          <cell r="N18">
            <v>1.5731831564589582</v>
          </cell>
          <cell r="O18">
            <v>1.3929649706397893</v>
          </cell>
          <cell r="P18">
            <v>1.154131384856796</v>
          </cell>
          <cell r="Q18">
            <v>1.0622922014793061</v>
          </cell>
          <cell r="R18">
            <v>2.0902749852692182</v>
          </cell>
          <cell r="S18">
            <v>2.008988591062796</v>
          </cell>
          <cell r="T18">
            <v>1.3089260870283366</v>
          </cell>
          <cell r="U18">
            <v>1.1201620863084483</v>
          </cell>
          <cell r="V18">
            <v>6.5528961633738909</v>
          </cell>
          <cell r="W18">
            <v>5.0367841842728032</v>
          </cell>
          <cell r="X18">
            <v>3.1456087036821172</v>
          </cell>
          <cell r="Y18">
            <v>1.5751354062942906</v>
          </cell>
          <cell r="Z18">
            <v>1.9188736134708466</v>
          </cell>
          <cell r="AA18">
            <v>1.9188736134708466</v>
          </cell>
          <cell r="AB18">
            <v>1.6613139774417423</v>
          </cell>
          <cell r="AC18">
            <v>1.2253846768352843</v>
          </cell>
          <cell r="AD18">
            <v>5.0713366148445731</v>
          </cell>
          <cell r="AE18">
            <v>3.8195340611732296</v>
          </cell>
          <cell r="AF18">
            <v>2.9156778323599668</v>
          </cell>
          <cell r="AG18">
            <v>2.2218541617978915</v>
          </cell>
          <cell r="AH18">
            <v>2.9687621898547829</v>
          </cell>
          <cell r="AI18">
            <v>2.8063379573084348</v>
          </cell>
          <cell r="AJ18">
            <v>2.0039427052087135</v>
          </cell>
          <cell r="AK18">
            <v>1.164540050708722</v>
          </cell>
          <cell r="AL18">
            <v>4.3452552369391313</v>
          </cell>
          <cell r="AM18">
            <v>3.2978197357178622</v>
          </cell>
          <cell r="AN18">
            <v>2.1164273096042847</v>
          </cell>
          <cell r="AO18">
            <v>1.4484958073729979</v>
          </cell>
          <cell r="AP18">
            <v>5.2603102433125555</v>
          </cell>
          <cell r="AQ18">
            <v>4.6380899319787368</v>
          </cell>
          <cell r="AR18">
            <v>4.3131266376676507</v>
          </cell>
          <cell r="AS18">
            <v>1.3744247510829188</v>
          </cell>
          <cell r="AT18">
            <v>6.031067819479448</v>
          </cell>
          <cell r="AU18">
            <v>5.7317679450713941</v>
          </cell>
          <cell r="AV18">
            <v>5.3945037788706607</v>
          </cell>
          <cell r="AW18">
            <v>2.5182558996735867</v>
          </cell>
          <cell r="AX18">
            <v>6.911413300936653</v>
          </cell>
          <cell r="AY18">
            <v>5.7177470140749307</v>
          </cell>
          <cell r="AZ18">
            <v>4.3288773504438058</v>
          </cell>
          <cell r="BA18">
            <v>2.5338645556572046</v>
          </cell>
          <cell r="BB18">
            <v>4.1419389276594174</v>
          </cell>
          <cell r="BC18">
            <v>3.1832372703201122</v>
          </cell>
          <cell r="BD18">
            <v>3.0788358564708709</v>
          </cell>
          <cell r="BE18">
            <v>2.9163081523116228</v>
          </cell>
          <cell r="BF18">
            <v>4.5164673125693398</v>
          </cell>
          <cell r="BG18">
            <v>3.9612711843937793</v>
          </cell>
          <cell r="BH18">
            <v>3.9612711843937793</v>
          </cell>
          <cell r="BI18">
            <v>1.3250283358135262</v>
          </cell>
          <cell r="BJ18">
            <v>6.2345760418400022</v>
          </cell>
          <cell r="BK18">
            <v>4.9088714584388962</v>
          </cell>
          <cell r="BL18">
            <v>3.5781986561610393</v>
          </cell>
          <cell r="BM18">
            <v>1.6504992017099331</v>
          </cell>
          <cell r="BN18">
            <v>4.119307940743016</v>
          </cell>
          <cell r="BO18">
            <v>2.4794763172686247</v>
          </cell>
          <cell r="BP18">
            <v>2.4794763172686247</v>
          </cell>
          <cell r="BQ18">
            <v>1.5236324130138468</v>
          </cell>
          <cell r="BR18">
            <v>4.317744859158311</v>
          </cell>
          <cell r="BS18">
            <v>3.3906416245013289</v>
          </cell>
          <cell r="BT18">
            <v>2.7891228775597074</v>
          </cell>
          <cell r="BU18">
            <v>1.384947731361504</v>
          </cell>
          <cell r="BV18">
            <v>4.194740460531091</v>
          </cell>
          <cell r="BW18">
            <v>2.7214995075581401</v>
          </cell>
          <cell r="BX18">
            <v>2.7214995075581401</v>
          </cell>
          <cell r="BY18">
            <v>1.6041463259401285</v>
          </cell>
          <cell r="BZ18">
            <v>5.5028155975341253</v>
          </cell>
          <cell r="CA18">
            <v>4.143752444564492</v>
          </cell>
          <cell r="CB18">
            <v>3.819586705748212</v>
          </cell>
          <cell r="CC18">
            <v>1.7628075616144403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</row>
        <row r="19">
          <cell r="F19">
            <v>1.246914847071332</v>
          </cell>
          <cell r="G19">
            <v>2.1308691087389882</v>
          </cell>
          <cell r="H19">
            <v>1.5379944611502814</v>
          </cell>
          <cell r="I19">
            <v>1.246914847071332</v>
          </cell>
          <cell r="J19">
            <v>4.9554888498182814</v>
          </cell>
          <cell r="K19">
            <v>4.9554888498182814</v>
          </cell>
          <cell r="L19">
            <v>3.7774871741885945</v>
          </cell>
          <cell r="M19">
            <v>1.3568050772121705</v>
          </cell>
          <cell r="N19">
            <v>1.5731831564589582</v>
          </cell>
          <cell r="O19">
            <v>1.3929649706397893</v>
          </cell>
          <cell r="P19">
            <v>1.154131384856796</v>
          </cell>
          <cell r="Q19">
            <v>1.0622922014793061</v>
          </cell>
          <cell r="R19">
            <v>2.0902749852692182</v>
          </cell>
          <cell r="S19">
            <v>2.008988591062796</v>
          </cell>
          <cell r="T19">
            <v>1.3089260870283366</v>
          </cell>
          <cell r="U19">
            <v>1.1201620863084483</v>
          </cell>
          <cell r="V19">
            <v>6.5528961633738909</v>
          </cell>
          <cell r="W19">
            <v>5.0367841842728032</v>
          </cell>
          <cell r="X19">
            <v>3.1456087036821172</v>
          </cell>
          <cell r="Y19">
            <v>1.5751354062942906</v>
          </cell>
          <cell r="Z19">
            <v>1.9188736134708466</v>
          </cell>
          <cell r="AA19">
            <v>1.9188736134708466</v>
          </cell>
          <cell r="AB19">
            <v>1.6613139774417423</v>
          </cell>
          <cell r="AC19">
            <v>1.2253846768352843</v>
          </cell>
          <cell r="AD19">
            <v>5.0713366148445731</v>
          </cell>
          <cell r="AE19">
            <v>3.8195340611732296</v>
          </cell>
          <cell r="AF19">
            <v>2.9156778323599668</v>
          </cell>
          <cell r="AG19">
            <v>2.2218541617978915</v>
          </cell>
          <cell r="AH19">
            <v>2.9687621898547829</v>
          </cell>
          <cell r="AI19">
            <v>2.8063379573084348</v>
          </cell>
          <cell r="AJ19">
            <v>2.0039427052087135</v>
          </cell>
          <cell r="AK19">
            <v>1.164540050708722</v>
          </cell>
          <cell r="AL19">
            <v>4.3452552369391313</v>
          </cell>
          <cell r="AM19">
            <v>3.2978197357178622</v>
          </cell>
          <cell r="AN19">
            <v>2.1164273096042847</v>
          </cell>
          <cell r="AO19">
            <v>1.4484958073729979</v>
          </cell>
          <cell r="AP19">
            <v>5.2603102433125555</v>
          </cell>
          <cell r="AQ19">
            <v>4.6380899319787368</v>
          </cell>
          <cell r="AR19">
            <v>4.3131266376676507</v>
          </cell>
          <cell r="AS19">
            <v>1.3744247510829188</v>
          </cell>
          <cell r="AT19">
            <v>6.031067819479448</v>
          </cell>
          <cell r="AU19">
            <v>5.7317679450713941</v>
          </cell>
          <cell r="AV19">
            <v>5.3945037788706607</v>
          </cell>
          <cell r="AW19">
            <v>2.5182558996735867</v>
          </cell>
          <cell r="AX19">
            <v>6.911413300936653</v>
          </cell>
          <cell r="AY19">
            <v>5.7177470140749307</v>
          </cell>
          <cell r="AZ19">
            <v>4.3288773504438058</v>
          </cell>
          <cell r="BA19">
            <v>2.5338645556572046</v>
          </cell>
          <cell r="BB19">
            <v>4.1419389276594174</v>
          </cell>
          <cell r="BC19">
            <v>3.1832372703201122</v>
          </cell>
          <cell r="BD19">
            <v>3.0788358564708709</v>
          </cell>
          <cell r="BE19">
            <v>2.9163081523116228</v>
          </cell>
          <cell r="BF19">
            <v>4.5164673125693398</v>
          </cell>
          <cell r="BG19">
            <v>3.9612711843937793</v>
          </cell>
          <cell r="BH19">
            <v>3.9612711843937793</v>
          </cell>
          <cell r="BI19">
            <v>1.3250283358135262</v>
          </cell>
          <cell r="BJ19">
            <v>6.2345760418400022</v>
          </cell>
          <cell r="BK19">
            <v>4.9088714584388962</v>
          </cell>
          <cell r="BL19">
            <v>3.5781986561610393</v>
          </cell>
          <cell r="BM19">
            <v>1.6504992017099331</v>
          </cell>
          <cell r="BN19">
            <v>4.119307940743016</v>
          </cell>
          <cell r="BO19">
            <v>2.4794763172686247</v>
          </cell>
          <cell r="BP19">
            <v>2.4794763172686247</v>
          </cell>
          <cell r="BQ19">
            <v>1.5236324130138468</v>
          </cell>
          <cell r="BR19">
            <v>4.317744859158311</v>
          </cell>
          <cell r="BS19">
            <v>3.3906416245013289</v>
          </cell>
          <cell r="BT19">
            <v>2.7891228775597074</v>
          </cell>
          <cell r="BU19">
            <v>1.384947731361504</v>
          </cell>
          <cell r="BV19">
            <v>4.194740460531091</v>
          </cell>
          <cell r="BW19">
            <v>2.7214995075581401</v>
          </cell>
          <cell r="BX19">
            <v>2.7214995075581401</v>
          </cell>
          <cell r="BY19">
            <v>1.6041463259401285</v>
          </cell>
          <cell r="BZ19">
            <v>5.5028155975341253</v>
          </cell>
          <cell r="CA19">
            <v>4.143752444564492</v>
          </cell>
          <cell r="CB19">
            <v>3.819586705748212</v>
          </cell>
          <cell r="CC19">
            <v>1.7628075616144403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</row>
        <row r="25">
          <cell r="F25">
            <v>0.32399999999999995</v>
          </cell>
          <cell r="G25">
            <v>0.56000000000000005</v>
          </cell>
          <cell r="H25">
            <v>0.78</v>
          </cell>
          <cell r="I25">
            <v>0.94499999999999995</v>
          </cell>
          <cell r="J25">
            <v>7.0999999999999952E-2</v>
          </cell>
          <cell r="K25">
            <v>0.14800000000000002</v>
          </cell>
          <cell r="L25">
            <v>0.255</v>
          </cell>
          <cell r="M25">
            <v>0.84299999999999997</v>
          </cell>
          <cell r="N25">
            <v>0.45699999999999996</v>
          </cell>
          <cell r="O25">
            <v>0.80400000000000005</v>
          </cell>
          <cell r="P25">
            <v>0.93799999999999994</v>
          </cell>
          <cell r="Q25">
            <v>0.97099999999999997</v>
          </cell>
          <cell r="R25">
            <v>0.64800000000000002</v>
          </cell>
          <cell r="S25">
            <v>0.66100000000000003</v>
          </cell>
          <cell r="T25">
            <v>0.92700000000000005</v>
          </cell>
          <cell r="U25">
            <v>0.98099999999999998</v>
          </cell>
          <cell r="V25">
            <v>5.600000000000005E-2</v>
          </cell>
          <cell r="W25">
            <v>0.15000000000000002</v>
          </cell>
          <cell r="X25">
            <v>0.39500000000000002</v>
          </cell>
          <cell r="Y25">
            <v>0.78500000000000003</v>
          </cell>
          <cell r="Z25">
            <v>0.41700000000000004</v>
          </cell>
          <cell r="AA25">
            <v>0.62</v>
          </cell>
          <cell r="AB25">
            <v>0.78900000000000003</v>
          </cell>
          <cell r="AC25">
            <v>0.95299999999999996</v>
          </cell>
          <cell r="AD25">
            <v>0.13900000000000001</v>
          </cell>
          <cell r="AE25">
            <v>0.25700000000000001</v>
          </cell>
          <cell r="AF25">
            <v>0.32899999999999996</v>
          </cell>
          <cell r="AG25">
            <v>0.46199999999999997</v>
          </cell>
          <cell r="AH25">
            <v>0.35599999999999998</v>
          </cell>
          <cell r="AI25">
            <v>0.627</v>
          </cell>
          <cell r="AJ25">
            <v>0.70399999999999996</v>
          </cell>
          <cell r="AK25">
            <v>0.95199999999999996</v>
          </cell>
          <cell r="AL25">
            <v>0.10099999999999998</v>
          </cell>
          <cell r="AM25">
            <v>0.21199999999999997</v>
          </cell>
          <cell r="AN25">
            <v>0.53499999999999992</v>
          </cell>
          <cell r="AO25">
            <v>0.73799999999999999</v>
          </cell>
          <cell r="AP25">
            <v>7.0999999999999952E-2</v>
          </cell>
          <cell r="AQ25">
            <v>0.13800000000000001</v>
          </cell>
          <cell r="AR25">
            <v>0.246</v>
          </cell>
          <cell r="AS25">
            <v>0.84099999999999997</v>
          </cell>
          <cell r="AT25">
            <v>3.0000000000000027E-2</v>
          </cell>
          <cell r="AU25">
            <v>3.0000000000000027E-2</v>
          </cell>
          <cell r="AV25">
            <v>3.6000000000000032E-2</v>
          </cell>
          <cell r="AW25">
            <v>0.42600000000000005</v>
          </cell>
          <cell r="AX25">
            <v>2.1000000000000019E-2</v>
          </cell>
          <cell r="AY25">
            <v>5.600000000000005E-2</v>
          </cell>
          <cell r="AZ25">
            <v>0.18400000000000005</v>
          </cell>
          <cell r="BA25">
            <v>0.67399999999999993</v>
          </cell>
          <cell r="BB25">
            <v>0.12</v>
          </cell>
          <cell r="BC25">
            <v>0.16800000000000004</v>
          </cell>
          <cell r="BD25">
            <v>0.23899999999999999</v>
          </cell>
          <cell r="BE25">
            <v>0.31799999999999995</v>
          </cell>
          <cell r="BF25">
            <v>0.10299999999999998</v>
          </cell>
          <cell r="BG25">
            <v>0.22199999999999998</v>
          </cell>
          <cell r="BH25">
            <v>0.36099999999999999</v>
          </cell>
          <cell r="BI25">
            <v>0.73599999999999999</v>
          </cell>
          <cell r="BJ25">
            <v>4.0000000000000036E-2</v>
          </cell>
          <cell r="BK25">
            <v>0.121</v>
          </cell>
          <cell r="BL25">
            <v>0.22999999999999998</v>
          </cell>
          <cell r="BM25">
            <v>0.75</v>
          </cell>
          <cell r="BN25">
            <v>0.11499999999999999</v>
          </cell>
          <cell r="BO25">
            <v>0.34199999999999997</v>
          </cell>
          <cell r="BP25">
            <v>0.51400000000000001</v>
          </cell>
          <cell r="BQ25">
            <v>0.85499999999999998</v>
          </cell>
          <cell r="BR25">
            <v>0.10399999999999998</v>
          </cell>
          <cell r="BS25">
            <v>0.32899999999999996</v>
          </cell>
          <cell r="BT25">
            <v>0.51300000000000001</v>
          </cell>
          <cell r="BU25">
            <v>0.79200000000000004</v>
          </cell>
          <cell r="BV25">
            <v>0.11299999999999999</v>
          </cell>
          <cell r="BW25">
            <v>0.32999999999999996</v>
          </cell>
          <cell r="BX25">
            <v>0.45099999999999996</v>
          </cell>
          <cell r="BY25">
            <v>0.84099999999999997</v>
          </cell>
          <cell r="BZ25">
            <v>4.6337786023500319E-2</v>
          </cell>
          <cell r="CA25">
            <v>0.25100800044446914</v>
          </cell>
          <cell r="CB25">
            <v>0.32110130745826826</v>
          </cell>
          <cell r="CC25">
            <v>0.66762508236327711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</row>
        <row r="26">
          <cell r="F26">
            <v>0.35199999999999998</v>
          </cell>
          <cell r="G26">
            <v>0.56600000000000006</v>
          </cell>
          <cell r="H26">
            <v>0.80099999999999993</v>
          </cell>
          <cell r="I26">
            <v>0.95399999999999996</v>
          </cell>
          <cell r="J26">
            <v>0.10099999999999998</v>
          </cell>
          <cell r="K26">
            <v>0.19199999999999995</v>
          </cell>
          <cell r="L26">
            <v>0.29800000000000004</v>
          </cell>
          <cell r="M26">
            <v>0.85799999999999998</v>
          </cell>
          <cell r="N26">
            <v>0.57600000000000007</v>
          </cell>
          <cell r="O26">
            <v>0.84799999999999998</v>
          </cell>
          <cell r="P26">
            <v>0.95299999999999996</v>
          </cell>
          <cell r="Q26">
            <v>0.97799999999999998</v>
          </cell>
          <cell r="R26">
            <v>0.627</v>
          </cell>
          <cell r="S26">
            <v>0.67700000000000005</v>
          </cell>
          <cell r="T26">
            <v>0.93199999999999994</v>
          </cell>
          <cell r="U26">
            <v>0.98199999999999998</v>
          </cell>
          <cell r="V26">
            <v>6.2999999999999945E-2</v>
          </cell>
          <cell r="W26">
            <v>0.15800000000000003</v>
          </cell>
          <cell r="X26">
            <v>0.41800000000000004</v>
          </cell>
          <cell r="Y26">
            <v>0.80699999999999994</v>
          </cell>
          <cell r="Z26">
            <v>0.48099999999999998</v>
          </cell>
          <cell r="AA26">
            <v>0.66500000000000004</v>
          </cell>
          <cell r="AB26">
            <v>0.79699999999999993</v>
          </cell>
          <cell r="AC26">
            <v>0.95199999999999996</v>
          </cell>
          <cell r="AD26">
            <v>0.17200000000000004</v>
          </cell>
          <cell r="AE26">
            <v>0.27200000000000002</v>
          </cell>
          <cell r="AF26">
            <v>0.34799999999999998</v>
          </cell>
          <cell r="AG26">
            <v>0.47599999999999998</v>
          </cell>
          <cell r="AH26">
            <v>0.36499999999999999</v>
          </cell>
          <cell r="AI26">
            <v>0.628</v>
          </cell>
          <cell r="AJ26">
            <v>0.73399999999999999</v>
          </cell>
          <cell r="AK26">
            <v>0.95699999999999996</v>
          </cell>
          <cell r="AL26">
            <v>0.10499999999999998</v>
          </cell>
          <cell r="AM26">
            <v>0.26600000000000001</v>
          </cell>
          <cell r="AN26">
            <v>0.57499999999999996</v>
          </cell>
          <cell r="AO26">
            <v>0.75</v>
          </cell>
          <cell r="AP26">
            <v>9.099999999999997E-2</v>
          </cell>
          <cell r="AQ26">
            <v>0.14000000000000001</v>
          </cell>
          <cell r="AR26">
            <v>0.26400000000000001</v>
          </cell>
          <cell r="AS26">
            <v>0.86699999999999999</v>
          </cell>
          <cell r="AT26">
            <v>3.9000000000000035E-2</v>
          </cell>
          <cell r="AU26">
            <v>3.9000000000000035E-2</v>
          </cell>
          <cell r="AV26">
            <v>4.4000000000000039E-2</v>
          </cell>
          <cell r="AW26">
            <v>0.43500000000000005</v>
          </cell>
          <cell r="AX26">
            <v>2.8000000000000025E-2</v>
          </cell>
          <cell r="AY26">
            <v>7.3999999999999955E-2</v>
          </cell>
          <cell r="AZ26">
            <v>0.18500000000000005</v>
          </cell>
          <cell r="BA26">
            <v>0.70900000000000007</v>
          </cell>
          <cell r="BB26">
            <v>0.15100000000000002</v>
          </cell>
          <cell r="BC26">
            <v>0.20399999999999996</v>
          </cell>
          <cell r="BD26">
            <v>0.26600000000000001</v>
          </cell>
          <cell r="BE26">
            <v>0.34699999999999998</v>
          </cell>
          <cell r="BF26">
            <v>8.6999999999999966E-2</v>
          </cell>
          <cell r="BG26">
            <v>0.26500000000000001</v>
          </cell>
          <cell r="BH26">
            <v>0.36399999999999999</v>
          </cell>
          <cell r="BI26">
            <v>0.78600000000000003</v>
          </cell>
          <cell r="BJ26">
            <v>5.5000000000000049E-2</v>
          </cell>
          <cell r="BK26">
            <v>0.13100000000000001</v>
          </cell>
          <cell r="BL26">
            <v>0.30000000000000004</v>
          </cell>
          <cell r="BM26">
            <v>0.79</v>
          </cell>
          <cell r="BN26">
            <v>0.17500000000000004</v>
          </cell>
          <cell r="BO26">
            <v>0.40100000000000002</v>
          </cell>
          <cell r="BP26">
            <v>0.53499999999999992</v>
          </cell>
          <cell r="BQ26">
            <v>0.86</v>
          </cell>
          <cell r="BR26">
            <v>0.13900000000000001</v>
          </cell>
          <cell r="BS26">
            <v>0.30200000000000005</v>
          </cell>
          <cell r="BT26">
            <v>0.51500000000000001</v>
          </cell>
          <cell r="BU26">
            <v>0.81899999999999995</v>
          </cell>
          <cell r="BV26">
            <v>0.17000000000000004</v>
          </cell>
          <cell r="BW26">
            <v>0.374</v>
          </cell>
          <cell r="BX26">
            <v>0.48699999999999999</v>
          </cell>
          <cell r="BY26">
            <v>0.84499999999999997</v>
          </cell>
          <cell r="BZ26">
            <v>7.025323791854407E-2</v>
          </cell>
          <cell r="CA26">
            <v>0.27904466914828602</v>
          </cell>
          <cell r="CB26">
            <v>0.34920105254502104</v>
          </cell>
          <cell r="CC26">
            <v>0.69260077604509862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</row>
        <row r="27">
          <cell r="F27">
            <v>0.41100000000000003</v>
          </cell>
          <cell r="G27">
            <v>0.59599999999999997</v>
          </cell>
          <cell r="H27">
            <v>0.81299999999999994</v>
          </cell>
          <cell r="I27">
            <v>0.95799999999999996</v>
          </cell>
          <cell r="J27">
            <v>0.123</v>
          </cell>
          <cell r="K27">
            <v>0.21099999999999997</v>
          </cell>
          <cell r="L27">
            <v>0.33299999999999996</v>
          </cell>
          <cell r="M27">
            <v>0.878</v>
          </cell>
          <cell r="N27">
            <v>0.61199999999999999</v>
          </cell>
          <cell r="O27">
            <v>0.86199999999999999</v>
          </cell>
          <cell r="P27">
            <v>0.96099999999999997</v>
          </cell>
          <cell r="Q27">
            <v>0.98</v>
          </cell>
          <cell r="R27">
            <v>0.61</v>
          </cell>
          <cell r="S27">
            <v>0.69</v>
          </cell>
          <cell r="T27">
            <v>0.92700000000000005</v>
          </cell>
          <cell r="U27">
            <v>0.98599999999999999</v>
          </cell>
          <cell r="V27">
            <v>7.2999999999999954E-2</v>
          </cell>
          <cell r="W27">
            <v>0.18700000000000006</v>
          </cell>
          <cell r="X27">
            <v>0.39500000000000002</v>
          </cell>
          <cell r="Y27">
            <v>0.82899999999999996</v>
          </cell>
          <cell r="Z27">
            <v>0.48499999999999999</v>
          </cell>
          <cell r="AA27">
            <v>0.67900000000000005</v>
          </cell>
          <cell r="AB27">
            <v>0.81299999999999994</v>
          </cell>
          <cell r="AC27">
            <v>0.97099999999999997</v>
          </cell>
          <cell r="AD27">
            <v>0.19599999999999995</v>
          </cell>
          <cell r="AE27">
            <v>0.29200000000000004</v>
          </cell>
          <cell r="AF27">
            <v>0.38600000000000001</v>
          </cell>
          <cell r="AG27">
            <v>0.51800000000000002</v>
          </cell>
          <cell r="AH27">
            <v>0.41000000000000003</v>
          </cell>
          <cell r="AI27">
            <v>0.58499999999999996</v>
          </cell>
          <cell r="AJ27">
            <v>0.76600000000000001</v>
          </cell>
          <cell r="AK27">
            <v>0.94499999999999995</v>
          </cell>
          <cell r="AL27">
            <v>0.129</v>
          </cell>
          <cell r="AM27">
            <v>0.27700000000000002</v>
          </cell>
          <cell r="AN27">
            <v>0.57800000000000007</v>
          </cell>
          <cell r="AO27">
            <v>0.78600000000000003</v>
          </cell>
          <cell r="AP27">
            <v>0.11699999999999999</v>
          </cell>
          <cell r="AQ27">
            <v>0.19699999999999995</v>
          </cell>
          <cell r="AR27">
            <v>0.27600000000000002</v>
          </cell>
          <cell r="AS27">
            <v>0.872</v>
          </cell>
          <cell r="AT27">
            <v>5.2500000000000047E-2</v>
          </cell>
          <cell r="AU27">
            <v>5.2500000000000047E-2</v>
          </cell>
          <cell r="AV27">
            <v>5.2500000000000047E-2</v>
          </cell>
          <cell r="AW27">
            <v>0.45799999999999996</v>
          </cell>
          <cell r="AX27">
            <v>3.6000000000000032E-2</v>
          </cell>
          <cell r="AY27">
            <v>8.0999999999999961E-2</v>
          </cell>
          <cell r="AZ27">
            <v>0.21699999999999997</v>
          </cell>
          <cell r="BA27">
            <v>0.70799999999999996</v>
          </cell>
          <cell r="BB27">
            <v>0.18500000000000005</v>
          </cell>
          <cell r="BC27">
            <v>0.21899999999999997</v>
          </cell>
          <cell r="BD27">
            <v>0.30500000000000005</v>
          </cell>
          <cell r="BE27">
            <v>0.375</v>
          </cell>
          <cell r="BF27">
            <v>0.16400000000000003</v>
          </cell>
          <cell r="BG27">
            <v>0.247</v>
          </cell>
          <cell r="BH27">
            <v>0.38600000000000001</v>
          </cell>
          <cell r="BI27">
            <v>0.83599999999999997</v>
          </cell>
          <cell r="BJ27">
            <v>7.5999999999999956E-2</v>
          </cell>
          <cell r="BK27">
            <v>0.18500000000000005</v>
          </cell>
          <cell r="BL27">
            <v>0.34799999999999998</v>
          </cell>
          <cell r="BM27">
            <v>0.84</v>
          </cell>
          <cell r="BN27">
            <v>0.19599999999999995</v>
          </cell>
          <cell r="BO27">
            <v>0.40300000000000002</v>
          </cell>
          <cell r="BP27">
            <v>0.58000000000000007</v>
          </cell>
          <cell r="BQ27">
            <v>0.82600000000000007</v>
          </cell>
          <cell r="BR27">
            <v>0.16200000000000003</v>
          </cell>
          <cell r="BS27">
            <v>0.31200000000000006</v>
          </cell>
          <cell r="BT27">
            <v>0.52800000000000002</v>
          </cell>
          <cell r="BU27">
            <v>0.85699999999999998</v>
          </cell>
          <cell r="BV27">
            <v>0.19599999999999995</v>
          </cell>
          <cell r="BW27">
            <v>0.38800000000000001</v>
          </cell>
          <cell r="BX27">
            <v>0.54</v>
          </cell>
          <cell r="BY27">
            <v>0.82800000000000007</v>
          </cell>
          <cell r="BZ27">
            <v>9.3627599611273121E-2</v>
          </cell>
          <cell r="CA27">
            <v>0.3009812767375965</v>
          </cell>
          <cell r="CB27">
            <v>0.37090436641723545</v>
          </cell>
          <cell r="CC27">
            <v>0.71734826854088896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</row>
        <row r="28">
          <cell r="F28">
            <v>0.44199999999999995</v>
          </cell>
          <cell r="G28">
            <v>0.66799999999999993</v>
          </cell>
          <cell r="H28">
            <v>0.84099999999999997</v>
          </cell>
          <cell r="I28">
            <v>0.96099999999999997</v>
          </cell>
          <cell r="J28">
            <v>0.16100000000000003</v>
          </cell>
          <cell r="K28">
            <v>0.24099999999999999</v>
          </cell>
          <cell r="L28">
            <v>0.35799999999999998</v>
          </cell>
          <cell r="M28">
            <v>0.878</v>
          </cell>
          <cell r="N28">
            <v>0.67100000000000004</v>
          </cell>
          <cell r="O28">
            <v>0.875</v>
          </cell>
          <cell r="P28">
            <v>0.96399999999999997</v>
          </cell>
          <cell r="Q28">
            <v>0.98299999999999998</v>
          </cell>
          <cell r="R28">
            <v>0.66799999999999993</v>
          </cell>
          <cell r="S28">
            <v>0.72799999999999998</v>
          </cell>
          <cell r="T28">
            <v>0.93900000000000006</v>
          </cell>
          <cell r="U28">
            <v>0.98599999999999999</v>
          </cell>
          <cell r="V28">
            <v>9.3999999999999972E-2</v>
          </cell>
          <cell r="W28">
            <v>0.21099999999999997</v>
          </cell>
          <cell r="X28">
            <v>0.44799999999999995</v>
          </cell>
          <cell r="Y28">
            <v>0.88400000000000001</v>
          </cell>
          <cell r="Z28">
            <v>0.48299999999999998</v>
          </cell>
          <cell r="AA28">
            <v>0.68700000000000006</v>
          </cell>
          <cell r="AB28">
            <v>0.79</v>
          </cell>
          <cell r="AC28">
            <v>0.96</v>
          </cell>
          <cell r="AD28">
            <v>0.22899999999999998</v>
          </cell>
          <cell r="AE28">
            <v>0.36299999999999999</v>
          </cell>
          <cell r="AF28">
            <v>0.45099999999999996</v>
          </cell>
          <cell r="AG28">
            <v>0.55899999999999994</v>
          </cell>
          <cell r="AH28">
            <v>0.44199999999999995</v>
          </cell>
          <cell r="AI28">
            <v>0.64</v>
          </cell>
          <cell r="AJ28">
            <v>0.746</v>
          </cell>
          <cell r="AK28">
            <v>0.95899999999999996</v>
          </cell>
          <cell r="AL28">
            <v>0.16500000000000004</v>
          </cell>
          <cell r="AM28">
            <v>0.33099999999999996</v>
          </cell>
          <cell r="AN28">
            <v>0.628</v>
          </cell>
          <cell r="AO28">
            <v>0.80499999999999994</v>
          </cell>
          <cell r="AP28">
            <v>0.14400000000000002</v>
          </cell>
          <cell r="AQ28">
            <v>0.22999999999999998</v>
          </cell>
          <cell r="AR28">
            <v>0.33499999999999996</v>
          </cell>
          <cell r="AS28">
            <v>0.88500000000000001</v>
          </cell>
          <cell r="AT28">
            <v>7.0499999999999952E-2</v>
          </cell>
          <cell r="AU28">
            <v>7.0499999999999952E-2</v>
          </cell>
          <cell r="AV28">
            <v>7.0499999999999952E-2</v>
          </cell>
          <cell r="AW28">
            <v>0.48</v>
          </cell>
          <cell r="AX28">
            <v>5.600000000000005E-2</v>
          </cell>
          <cell r="AY28">
            <v>0.10199999999999998</v>
          </cell>
          <cell r="AZ28">
            <v>0.252</v>
          </cell>
          <cell r="BA28">
            <v>0.69799999999999995</v>
          </cell>
          <cell r="BB28">
            <v>0.22699999999999998</v>
          </cell>
          <cell r="BC28">
            <v>0.28600000000000003</v>
          </cell>
          <cell r="BD28">
            <v>0.33399999999999996</v>
          </cell>
          <cell r="BE28">
            <v>0.41300000000000003</v>
          </cell>
          <cell r="BF28">
            <v>0.18100000000000005</v>
          </cell>
          <cell r="BG28">
            <v>0.32699999999999996</v>
          </cell>
          <cell r="BH28">
            <v>0.40100000000000002</v>
          </cell>
          <cell r="BI28">
            <v>0.79</v>
          </cell>
          <cell r="BJ28">
            <v>0.10699999999999998</v>
          </cell>
          <cell r="BK28">
            <v>0.249</v>
          </cell>
          <cell r="BL28">
            <v>0.40300000000000002</v>
          </cell>
          <cell r="BM28">
            <v>0.84</v>
          </cell>
          <cell r="BN28">
            <v>0.23599999999999999</v>
          </cell>
          <cell r="BO28">
            <v>0.47199999999999998</v>
          </cell>
          <cell r="BP28">
            <v>0.56800000000000006</v>
          </cell>
          <cell r="BQ28">
            <v>0.86399999999999999</v>
          </cell>
          <cell r="BR28">
            <v>0.17800000000000005</v>
          </cell>
          <cell r="BS28">
            <v>0.41100000000000003</v>
          </cell>
          <cell r="BT28">
            <v>0.52400000000000002</v>
          </cell>
          <cell r="BU28">
            <v>0.85599999999999998</v>
          </cell>
          <cell r="BV28">
            <v>0.22999999999999998</v>
          </cell>
          <cell r="BW28">
            <v>0.44899999999999995</v>
          </cell>
          <cell r="BX28">
            <v>0.54299999999999993</v>
          </cell>
          <cell r="BY28">
            <v>0.85799999999999998</v>
          </cell>
          <cell r="BZ28">
            <v>0.11987069529110345</v>
          </cell>
          <cell r="CA28">
            <v>0.34896133118506584</v>
          </cell>
          <cell r="CB28">
            <v>0.43065290683331958</v>
          </cell>
          <cell r="CC28">
            <v>0.7598529174902996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</row>
        <row r="29">
          <cell r="F29">
            <v>0.499</v>
          </cell>
          <cell r="G29">
            <v>0.69700000000000006</v>
          </cell>
          <cell r="H29">
            <v>0.873</v>
          </cell>
          <cell r="I29">
            <v>0.96799999999999997</v>
          </cell>
          <cell r="J29">
            <v>0.20699999999999996</v>
          </cell>
          <cell r="K29">
            <v>0.29500000000000004</v>
          </cell>
          <cell r="L29">
            <v>0.42600000000000005</v>
          </cell>
          <cell r="M29">
            <v>0.91200000000000003</v>
          </cell>
          <cell r="N29">
            <v>0.73799999999999999</v>
          </cell>
          <cell r="O29">
            <v>0.90500000000000003</v>
          </cell>
          <cell r="P29">
            <v>0.96599999999999997</v>
          </cell>
          <cell r="Q29">
            <v>0.98699999999999999</v>
          </cell>
          <cell r="R29">
            <v>0.73099999999999998</v>
          </cell>
          <cell r="S29">
            <v>0.80800000000000005</v>
          </cell>
          <cell r="T29">
            <v>0.92900000000000005</v>
          </cell>
          <cell r="U29">
            <v>0.98799999999999999</v>
          </cell>
          <cell r="V29">
            <v>0.127</v>
          </cell>
          <cell r="W29">
            <v>0.26</v>
          </cell>
          <cell r="X29">
            <v>0.51700000000000002</v>
          </cell>
          <cell r="Y29">
            <v>0.85599999999999998</v>
          </cell>
          <cell r="Z29">
            <v>0.58400000000000007</v>
          </cell>
          <cell r="AA29">
            <v>0.73299999999999998</v>
          </cell>
          <cell r="AB29">
            <v>0.83699999999999997</v>
          </cell>
          <cell r="AC29">
            <v>0.96399999999999997</v>
          </cell>
          <cell r="AD29">
            <v>0.26900000000000002</v>
          </cell>
          <cell r="AE29">
            <v>0.40600000000000003</v>
          </cell>
          <cell r="AF29">
            <v>0.55000000000000004</v>
          </cell>
          <cell r="AG29">
            <v>0.65</v>
          </cell>
          <cell r="AH29">
            <v>0.45799999999999996</v>
          </cell>
          <cell r="AI29">
            <v>0.68700000000000006</v>
          </cell>
          <cell r="AJ29">
            <v>0.84199999999999997</v>
          </cell>
          <cell r="AK29">
            <v>0.97199999999999998</v>
          </cell>
          <cell r="AL29">
            <v>0.20499999999999996</v>
          </cell>
          <cell r="AM29">
            <v>0.39500000000000002</v>
          </cell>
          <cell r="AN29">
            <v>0.68100000000000005</v>
          </cell>
          <cell r="AO29">
            <v>0.83399999999999996</v>
          </cell>
          <cell r="AP29">
            <v>0.19999999999999996</v>
          </cell>
          <cell r="AQ29">
            <v>0.27800000000000002</v>
          </cell>
          <cell r="AR29">
            <v>0.38100000000000001</v>
          </cell>
          <cell r="AS29">
            <v>0.91</v>
          </cell>
          <cell r="AT29">
            <v>0.10749999999999998</v>
          </cell>
          <cell r="AU29">
            <v>0.10749999999999998</v>
          </cell>
          <cell r="AV29">
            <v>0.10749999999999998</v>
          </cell>
          <cell r="AW29">
            <v>0.58800000000000008</v>
          </cell>
          <cell r="AX29">
            <v>8.3999999999999964E-2</v>
          </cell>
          <cell r="AY29">
            <v>0.14700000000000002</v>
          </cell>
          <cell r="AZ29">
            <v>0.29800000000000004</v>
          </cell>
          <cell r="BA29">
            <v>0.73799999999999999</v>
          </cell>
          <cell r="BB29">
            <v>0.29600000000000004</v>
          </cell>
          <cell r="BC29">
            <v>0.379</v>
          </cell>
          <cell r="BD29">
            <v>0.42800000000000005</v>
          </cell>
          <cell r="BE29">
            <v>0.48499999999999999</v>
          </cell>
          <cell r="BF29">
            <v>0.18100000000000005</v>
          </cell>
          <cell r="BG29">
            <v>0.33299999999999996</v>
          </cell>
          <cell r="BH29">
            <v>0.48599999999999999</v>
          </cell>
          <cell r="BI29">
            <v>0.82499999999999996</v>
          </cell>
          <cell r="BJ29">
            <v>0.15800000000000003</v>
          </cell>
          <cell r="BK29">
            <v>0.29100000000000004</v>
          </cell>
          <cell r="BL29">
            <v>0.48799999999999999</v>
          </cell>
          <cell r="BM29">
            <v>0.86499999999999999</v>
          </cell>
          <cell r="BN29">
            <v>0.30100000000000005</v>
          </cell>
          <cell r="BO29">
            <v>0.54400000000000004</v>
          </cell>
          <cell r="BP29">
            <v>0.61</v>
          </cell>
          <cell r="BQ29">
            <v>0.90100000000000002</v>
          </cell>
          <cell r="BR29">
            <v>0.24199999999999999</v>
          </cell>
          <cell r="BS29">
            <v>0.43500000000000005</v>
          </cell>
          <cell r="BT29">
            <v>0.60599999999999998</v>
          </cell>
          <cell r="BU29">
            <v>0.92200000000000004</v>
          </cell>
          <cell r="BV29">
            <v>0.29100000000000004</v>
          </cell>
          <cell r="BW29">
            <v>0.53</v>
          </cell>
          <cell r="BX29">
            <v>0.60799999999999998</v>
          </cell>
          <cell r="BY29">
            <v>0.88300000000000001</v>
          </cell>
          <cell r="BZ29">
            <v>0.16781549606855728</v>
          </cell>
          <cell r="CA29">
            <v>0.39328457136507589</v>
          </cell>
          <cell r="CB29">
            <v>0.46563629635720749</v>
          </cell>
          <cell r="CC29">
            <v>0.78973189838201929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</row>
        <row r="30">
          <cell r="F30">
            <v>0.59099999999999997</v>
          </cell>
          <cell r="G30">
            <v>0.78200000000000003</v>
          </cell>
          <cell r="H30">
            <v>0.90300000000000002</v>
          </cell>
          <cell r="I30">
            <v>0.97399999999999998</v>
          </cell>
          <cell r="J30">
            <v>0.29800000000000004</v>
          </cell>
          <cell r="K30">
            <v>0.39300000000000002</v>
          </cell>
          <cell r="L30">
            <v>0.50800000000000001</v>
          </cell>
          <cell r="M30">
            <v>0.94199999999999995</v>
          </cell>
          <cell r="N30">
            <v>0.83099999999999996</v>
          </cell>
          <cell r="O30">
            <v>0.91800000000000004</v>
          </cell>
          <cell r="P30">
            <v>0.98699999999999999</v>
          </cell>
          <cell r="Q30">
            <v>0.99199999999999999</v>
          </cell>
          <cell r="R30">
            <v>0.80099999999999993</v>
          </cell>
          <cell r="S30">
            <v>0.86199999999999999</v>
          </cell>
          <cell r="T30">
            <v>0.95099999999999996</v>
          </cell>
          <cell r="U30">
            <v>0.99</v>
          </cell>
          <cell r="V30">
            <v>0.18300000000000005</v>
          </cell>
          <cell r="W30">
            <v>0.35499999999999998</v>
          </cell>
          <cell r="X30">
            <v>0.60799999999999998</v>
          </cell>
          <cell r="Y30">
            <v>0.89</v>
          </cell>
          <cell r="Z30">
            <v>0.70900000000000007</v>
          </cell>
          <cell r="AA30">
            <v>0.80600000000000005</v>
          </cell>
          <cell r="AB30">
            <v>0.89600000000000002</v>
          </cell>
          <cell r="AC30">
            <v>0.98299999999999998</v>
          </cell>
          <cell r="AD30">
            <v>0.31899999999999995</v>
          </cell>
          <cell r="AE30">
            <v>0.48799999999999999</v>
          </cell>
          <cell r="AF30">
            <v>0.60899999999999999</v>
          </cell>
          <cell r="AG30">
            <v>0.73299999999999998</v>
          </cell>
          <cell r="AH30">
            <v>0.56400000000000006</v>
          </cell>
          <cell r="AI30">
            <v>0.72199999999999998</v>
          </cell>
          <cell r="AJ30">
            <v>0.83599999999999997</v>
          </cell>
          <cell r="AK30">
            <v>0.97399999999999998</v>
          </cell>
          <cell r="AL30">
            <v>0.28700000000000003</v>
          </cell>
          <cell r="AM30">
            <v>0.46299999999999997</v>
          </cell>
          <cell r="AN30">
            <v>0.753</v>
          </cell>
          <cell r="AO30">
            <v>0.89100000000000001</v>
          </cell>
          <cell r="AP30">
            <v>0.27900000000000003</v>
          </cell>
          <cell r="AQ30">
            <v>0.38400000000000001</v>
          </cell>
          <cell r="AR30">
            <v>0.43899999999999995</v>
          </cell>
          <cell r="AS30">
            <v>0.93199999999999994</v>
          </cell>
          <cell r="AT30">
            <v>0.17499999999999999</v>
          </cell>
          <cell r="AU30">
            <v>0.17499999999999999</v>
          </cell>
          <cell r="AV30">
            <v>0.17499999999999999</v>
          </cell>
          <cell r="AW30">
            <v>0.69300000000000006</v>
          </cell>
          <cell r="AX30">
            <v>0.13300000000000001</v>
          </cell>
          <cell r="AY30">
            <v>0.21799999999999997</v>
          </cell>
          <cell r="AZ30">
            <v>0.41500000000000004</v>
          </cell>
          <cell r="BA30">
            <v>0.77300000000000002</v>
          </cell>
          <cell r="BB30">
            <v>0.38700000000000001</v>
          </cell>
          <cell r="BC30">
            <v>0.48499999999999999</v>
          </cell>
          <cell r="BD30">
            <v>0.53800000000000003</v>
          </cell>
          <cell r="BE30">
            <v>0.57400000000000007</v>
          </cell>
          <cell r="BF30">
            <v>0.35099999999999998</v>
          </cell>
          <cell r="BG30">
            <v>0.44199999999999995</v>
          </cell>
          <cell r="BH30">
            <v>0.53800000000000003</v>
          </cell>
          <cell r="BI30">
            <v>0.871</v>
          </cell>
          <cell r="BJ30">
            <v>0.21799999999999997</v>
          </cell>
          <cell r="BK30">
            <v>0.376</v>
          </cell>
          <cell r="BL30">
            <v>0.56299999999999994</v>
          </cell>
          <cell r="BM30">
            <v>0.91</v>
          </cell>
          <cell r="BN30">
            <v>0.40700000000000003</v>
          </cell>
          <cell r="BO30">
            <v>0.64300000000000002</v>
          </cell>
          <cell r="BP30">
            <v>0.67900000000000005</v>
          </cell>
          <cell r="BQ30">
            <v>0.91500000000000004</v>
          </cell>
          <cell r="BR30">
            <v>0.31499999999999995</v>
          </cell>
          <cell r="BS30">
            <v>0.50800000000000001</v>
          </cell>
          <cell r="BT30">
            <v>0.69300000000000006</v>
          </cell>
          <cell r="BU30">
            <v>0.90200000000000002</v>
          </cell>
          <cell r="BV30">
            <v>0.40600000000000003</v>
          </cell>
          <cell r="BW30">
            <v>0.63</v>
          </cell>
          <cell r="BX30">
            <v>0.66999999999999993</v>
          </cell>
          <cell r="BY30">
            <v>0.90400000000000003</v>
          </cell>
          <cell r="BZ30">
            <v>0.24509502606237299</v>
          </cell>
          <cell r="CA30">
            <v>0.47042513472970721</v>
          </cell>
          <cell r="CB30">
            <v>0.52706463284269389</v>
          </cell>
          <cell r="CC30">
            <v>0.84742814261658994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</row>
        <row r="31">
          <cell r="F31">
            <v>0.68399999999999994</v>
          </cell>
          <cell r="G31">
            <v>0.82400000000000007</v>
          </cell>
          <cell r="H31">
            <v>0.94</v>
          </cell>
          <cell r="I31">
            <v>0.98199999999999998</v>
          </cell>
          <cell r="J31">
            <v>0.42600000000000005</v>
          </cell>
          <cell r="K31">
            <v>0.46599999999999997</v>
          </cell>
          <cell r="L31">
            <v>0.624</v>
          </cell>
          <cell r="M31">
            <v>0.96399999999999997</v>
          </cell>
          <cell r="N31">
            <v>0.91300000000000003</v>
          </cell>
          <cell r="O31">
            <v>0.95099999999999996</v>
          </cell>
          <cell r="P31">
            <v>0.98599999999999999</v>
          </cell>
          <cell r="Q31">
            <v>0.996</v>
          </cell>
          <cell r="R31">
            <v>0.88</v>
          </cell>
          <cell r="S31">
            <v>0.89100000000000001</v>
          </cell>
          <cell r="T31">
            <v>0.96499999999999997</v>
          </cell>
          <cell r="U31">
            <v>0.996</v>
          </cell>
          <cell r="V31">
            <v>0.26100000000000001</v>
          </cell>
          <cell r="W31">
            <v>0.52900000000000003</v>
          </cell>
          <cell r="X31">
            <v>0.75800000000000001</v>
          </cell>
          <cell r="Y31">
            <v>0.93700000000000006</v>
          </cell>
          <cell r="Z31">
            <v>0.80400000000000005</v>
          </cell>
          <cell r="AA31">
            <v>0.83699999999999997</v>
          </cell>
          <cell r="AB31">
            <v>0.95199999999999996</v>
          </cell>
          <cell r="AC31">
            <v>0.98</v>
          </cell>
          <cell r="AD31">
            <v>0.44699999999999995</v>
          </cell>
          <cell r="AE31">
            <v>0.59799999999999998</v>
          </cell>
          <cell r="AF31">
            <v>0.72499999999999998</v>
          </cell>
          <cell r="AG31">
            <v>0.79500000000000004</v>
          </cell>
          <cell r="AH31">
            <v>0.66599999999999993</v>
          </cell>
          <cell r="AI31">
            <v>0.80899999999999994</v>
          </cell>
          <cell r="AJ31">
            <v>0.89300000000000002</v>
          </cell>
          <cell r="AK31">
            <v>0.98</v>
          </cell>
          <cell r="AL31">
            <v>0.44199999999999995</v>
          </cell>
          <cell r="AM31">
            <v>0.58400000000000007</v>
          </cell>
          <cell r="AN31">
            <v>0.82899999999999996</v>
          </cell>
          <cell r="AO31">
            <v>0.93399999999999994</v>
          </cell>
          <cell r="AP31">
            <v>0.377</v>
          </cell>
          <cell r="AQ31">
            <v>0.50900000000000001</v>
          </cell>
          <cell r="AR31">
            <v>0.55299999999999994</v>
          </cell>
          <cell r="AS31">
            <v>0.95399999999999996</v>
          </cell>
          <cell r="AT31">
            <v>0.31100000000000005</v>
          </cell>
          <cell r="AU31">
            <v>0.31100000000000005</v>
          </cell>
          <cell r="AV31">
            <v>0.36699999999999999</v>
          </cell>
          <cell r="AW31">
            <v>0.82499999999999996</v>
          </cell>
          <cell r="AX31">
            <v>0.22399999999999998</v>
          </cell>
          <cell r="AY31">
            <v>0.33899999999999997</v>
          </cell>
          <cell r="AZ31">
            <v>0.54800000000000004</v>
          </cell>
          <cell r="BA31">
            <v>0.84499999999999997</v>
          </cell>
          <cell r="BB31">
            <v>0.52900000000000003</v>
          </cell>
          <cell r="BC31">
            <v>0.63200000000000001</v>
          </cell>
          <cell r="BD31">
            <v>0.64500000000000002</v>
          </cell>
          <cell r="BE31">
            <v>0.67999999999999994</v>
          </cell>
          <cell r="BF31">
            <v>0.48699999999999999</v>
          </cell>
          <cell r="BG31">
            <v>0.54699999999999993</v>
          </cell>
          <cell r="BH31">
            <v>0.64100000000000001</v>
          </cell>
          <cell r="BI31">
            <v>0.90400000000000003</v>
          </cell>
          <cell r="BJ31">
            <v>0.32099999999999995</v>
          </cell>
          <cell r="BK31">
            <v>0.45099999999999996</v>
          </cell>
          <cell r="BL31">
            <v>0.66700000000000004</v>
          </cell>
          <cell r="BM31">
            <v>0.95299999999999996</v>
          </cell>
          <cell r="BN31">
            <v>0.53</v>
          </cell>
          <cell r="BO31">
            <v>0.75350000000000006</v>
          </cell>
          <cell r="BP31">
            <v>0.75350000000000006</v>
          </cell>
          <cell r="BQ31">
            <v>0.93300000000000005</v>
          </cell>
          <cell r="BR31">
            <v>0.496</v>
          </cell>
          <cell r="BS31">
            <v>0.65500000000000003</v>
          </cell>
          <cell r="BT31">
            <v>0.81800000000000006</v>
          </cell>
          <cell r="BU31">
            <v>0.93399999999999994</v>
          </cell>
          <cell r="BV31">
            <v>0.52500000000000002</v>
          </cell>
          <cell r="BW31">
            <v>0.74</v>
          </cell>
          <cell r="BX31">
            <v>0.74</v>
          </cell>
          <cell r="BY31">
            <v>0.92900000000000005</v>
          </cell>
          <cell r="BZ31">
            <v>0.35204629384221225</v>
          </cell>
          <cell r="CA31">
            <v>0.58011856214234125</v>
          </cell>
          <cell r="CB31">
            <v>0.64079779623386235</v>
          </cell>
          <cell r="CC31">
            <v>0.88455897210630363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</row>
        <row r="32">
          <cell r="F32">
            <v>0.81699999999999995</v>
          </cell>
          <cell r="G32">
            <v>0.92200000000000004</v>
          </cell>
          <cell r="H32">
            <v>0.97099999999999997</v>
          </cell>
          <cell r="I32">
            <v>0.99</v>
          </cell>
          <cell r="J32">
            <v>0.63349999999999995</v>
          </cell>
          <cell r="K32">
            <v>0.63349999999999995</v>
          </cell>
          <cell r="L32">
            <v>0.76300000000000001</v>
          </cell>
          <cell r="M32">
            <v>0.98399999999999999</v>
          </cell>
          <cell r="N32">
            <v>0.95699999999999996</v>
          </cell>
          <cell r="O32">
            <v>0.99099999999999999</v>
          </cell>
          <cell r="P32">
            <v>0.99099999999999999</v>
          </cell>
          <cell r="Q32">
            <v>0.997</v>
          </cell>
          <cell r="R32">
            <v>0.93700000000000006</v>
          </cell>
          <cell r="S32">
            <v>0.93700000000000006</v>
          </cell>
          <cell r="T32">
            <v>0.98099999999999998</v>
          </cell>
          <cell r="U32">
            <v>0.997</v>
          </cell>
          <cell r="V32">
            <v>0.48599999999999999</v>
          </cell>
          <cell r="W32">
            <v>0.65200000000000002</v>
          </cell>
          <cell r="X32">
            <v>0.85599999999999998</v>
          </cell>
          <cell r="Y32">
            <v>0.97099999999999997</v>
          </cell>
          <cell r="Z32">
            <v>0.95150000000000001</v>
          </cell>
          <cell r="AA32">
            <v>0.95150000000000001</v>
          </cell>
          <cell r="AB32">
            <v>0.95499999999999996</v>
          </cell>
          <cell r="AC32">
            <v>0.99</v>
          </cell>
          <cell r="AD32">
            <v>0.624</v>
          </cell>
          <cell r="AE32">
            <v>0.76800000000000002</v>
          </cell>
          <cell r="AF32">
            <v>0.83399999999999996</v>
          </cell>
          <cell r="AG32">
            <v>0.90700000000000003</v>
          </cell>
          <cell r="AH32">
            <v>0.83399999999999996</v>
          </cell>
          <cell r="AI32">
            <v>0.85799999999999998</v>
          </cell>
          <cell r="AJ32">
            <v>0.93799999999999994</v>
          </cell>
          <cell r="AK32">
            <v>0.99399999999999999</v>
          </cell>
          <cell r="AL32">
            <v>0.69900000000000007</v>
          </cell>
          <cell r="AM32">
            <v>0.74299999999999999</v>
          </cell>
          <cell r="AN32">
            <v>0.91700000000000004</v>
          </cell>
          <cell r="AO32">
            <v>0.97599999999999998</v>
          </cell>
          <cell r="AP32">
            <v>0.60399999999999998</v>
          </cell>
          <cell r="AQ32">
            <v>0.69799999999999995</v>
          </cell>
          <cell r="AR32">
            <v>0.7</v>
          </cell>
          <cell r="AS32">
            <v>0.98099999999999998</v>
          </cell>
          <cell r="AT32">
            <v>0.54600000000000004</v>
          </cell>
          <cell r="AU32">
            <v>0.54600000000000004</v>
          </cell>
          <cell r="AV32">
            <v>0.58299999999999996</v>
          </cell>
          <cell r="AW32">
            <v>0.90900000000000003</v>
          </cell>
          <cell r="AX32">
            <v>0.39200000000000002</v>
          </cell>
          <cell r="AY32">
            <v>0.56299999999999994</v>
          </cell>
          <cell r="AZ32">
            <v>0.72199999999999998</v>
          </cell>
          <cell r="BA32">
            <v>0.9</v>
          </cell>
          <cell r="BB32">
            <v>0.72399999999999998</v>
          </cell>
          <cell r="BC32">
            <v>0.79600000000000004</v>
          </cell>
          <cell r="BD32">
            <v>0.82400000000000007</v>
          </cell>
          <cell r="BE32">
            <v>0.82699999999999996</v>
          </cell>
          <cell r="BF32">
            <v>0.67799999999999994</v>
          </cell>
          <cell r="BG32">
            <v>0.76200000000000001</v>
          </cell>
          <cell r="BH32">
            <v>0.76200000000000001</v>
          </cell>
          <cell r="BI32">
            <v>0.98</v>
          </cell>
          <cell r="BJ32">
            <v>0.50700000000000001</v>
          </cell>
          <cell r="BK32">
            <v>0.65999999999999992</v>
          </cell>
          <cell r="BL32">
            <v>0.79600000000000004</v>
          </cell>
          <cell r="BM32">
            <v>0.96299999999999997</v>
          </cell>
          <cell r="BN32">
            <v>0.73699999999999999</v>
          </cell>
          <cell r="BO32">
            <v>0.88900000000000001</v>
          </cell>
          <cell r="BP32">
            <v>0.88900000000000001</v>
          </cell>
          <cell r="BQ32">
            <v>0.96399999999999997</v>
          </cell>
          <cell r="BR32">
            <v>0.71700000000000008</v>
          </cell>
          <cell r="BS32">
            <v>0.77500000000000002</v>
          </cell>
          <cell r="BT32">
            <v>0.877</v>
          </cell>
          <cell r="BU32">
            <v>0.96899999999999997</v>
          </cell>
          <cell r="BV32">
            <v>0.72699999999999998</v>
          </cell>
          <cell r="BW32">
            <v>0.872</v>
          </cell>
          <cell r="BX32">
            <v>0.872</v>
          </cell>
          <cell r="BY32">
            <v>0.95499999999999996</v>
          </cell>
          <cell r="BZ32">
            <v>0.56033621344641771</v>
          </cell>
          <cell r="CA32">
            <v>0.72199288849380527</v>
          </cell>
          <cell r="CB32">
            <v>0.76903601677493638</v>
          </cell>
          <cell r="CC32">
            <v>0.94401669229079743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</row>
        <row r="33">
          <cell r="F33">
            <v>0.81699999999999995</v>
          </cell>
          <cell r="G33">
            <v>0.92200000000000004</v>
          </cell>
          <cell r="H33">
            <v>0.97099999999999997</v>
          </cell>
          <cell r="I33">
            <v>0.99</v>
          </cell>
          <cell r="J33">
            <v>0.63349999999999995</v>
          </cell>
          <cell r="K33">
            <v>0.63349999999999995</v>
          </cell>
          <cell r="L33">
            <v>0.76300000000000001</v>
          </cell>
          <cell r="M33">
            <v>0.98399999999999999</v>
          </cell>
          <cell r="N33">
            <v>0.95699999999999996</v>
          </cell>
          <cell r="O33">
            <v>0.99099999999999999</v>
          </cell>
          <cell r="P33">
            <v>0.99099999999999999</v>
          </cell>
          <cell r="Q33">
            <v>0.997</v>
          </cell>
          <cell r="R33">
            <v>0.93700000000000006</v>
          </cell>
          <cell r="S33">
            <v>0.93700000000000006</v>
          </cell>
          <cell r="T33">
            <v>0.98099999999999998</v>
          </cell>
          <cell r="U33">
            <v>0.997</v>
          </cell>
          <cell r="V33">
            <v>0.48599999999999999</v>
          </cell>
          <cell r="W33">
            <v>0.65200000000000002</v>
          </cell>
          <cell r="X33">
            <v>0.85599999999999998</v>
          </cell>
          <cell r="Y33">
            <v>0.97099999999999997</v>
          </cell>
          <cell r="Z33">
            <v>0.95150000000000001</v>
          </cell>
          <cell r="AA33">
            <v>0.95150000000000001</v>
          </cell>
          <cell r="AB33">
            <v>0.95499999999999996</v>
          </cell>
          <cell r="AC33">
            <v>0.99</v>
          </cell>
          <cell r="AD33">
            <v>0.624</v>
          </cell>
          <cell r="AE33">
            <v>0.76800000000000002</v>
          </cell>
          <cell r="AF33">
            <v>0.83399999999999996</v>
          </cell>
          <cell r="AG33">
            <v>0.90700000000000003</v>
          </cell>
          <cell r="AH33">
            <v>0.83399999999999996</v>
          </cell>
          <cell r="AI33">
            <v>0.85799999999999998</v>
          </cell>
          <cell r="AJ33">
            <v>0.93799999999999994</v>
          </cell>
          <cell r="AK33">
            <v>0.99399999999999999</v>
          </cell>
          <cell r="AL33">
            <v>0.69900000000000007</v>
          </cell>
          <cell r="AM33">
            <v>0.74299999999999999</v>
          </cell>
          <cell r="AN33">
            <v>0.91700000000000004</v>
          </cell>
          <cell r="AO33">
            <v>0.97599999999999998</v>
          </cell>
          <cell r="AP33">
            <v>0.60399999999999998</v>
          </cell>
          <cell r="AQ33">
            <v>0.69799999999999995</v>
          </cell>
          <cell r="AR33">
            <v>0.7</v>
          </cell>
          <cell r="AS33">
            <v>0.98099999999999998</v>
          </cell>
          <cell r="AT33">
            <v>0.54600000000000004</v>
          </cell>
          <cell r="AU33">
            <v>0.54600000000000004</v>
          </cell>
          <cell r="AV33">
            <v>0.58299999999999996</v>
          </cell>
          <cell r="AW33">
            <v>0.90900000000000003</v>
          </cell>
          <cell r="AX33">
            <v>0.39200000000000002</v>
          </cell>
          <cell r="AY33">
            <v>0.56299999999999994</v>
          </cell>
          <cell r="AZ33">
            <v>0.72199999999999998</v>
          </cell>
          <cell r="BA33">
            <v>0.9</v>
          </cell>
          <cell r="BB33">
            <v>0.72399999999999998</v>
          </cell>
          <cell r="BC33">
            <v>0.79600000000000004</v>
          </cell>
          <cell r="BD33">
            <v>0.82400000000000007</v>
          </cell>
          <cell r="BE33">
            <v>0.82699999999999996</v>
          </cell>
          <cell r="BF33">
            <v>0.67799999999999994</v>
          </cell>
          <cell r="BG33">
            <v>0.76200000000000001</v>
          </cell>
          <cell r="BH33">
            <v>0.76200000000000001</v>
          </cell>
          <cell r="BI33">
            <v>0.98</v>
          </cell>
          <cell r="BJ33">
            <v>0.50700000000000001</v>
          </cell>
          <cell r="BK33">
            <v>0.65999999999999992</v>
          </cell>
          <cell r="BL33">
            <v>0.79600000000000004</v>
          </cell>
          <cell r="BM33">
            <v>0.96299999999999997</v>
          </cell>
          <cell r="BN33">
            <v>0.73699999999999999</v>
          </cell>
          <cell r="BO33">
            <v>0.88900000000000001</v>
          </cell>
          <cell r="BP33">
            <v>0.88900000000000001</v>
          </cell>
          <cell r="BQ33">
            <v>0.96399999999999997</v>
          </cell>
          <cell r="BR33">
            <v>0.71700000000000008</v>
          </cell>
          <cell r="BS33">
            <v>0.77500000000000002</v>
          </cell>
          <cell r="BT33">
            <v>0.877</v>
          </cell>
          <cell r="BU33">
            <v>0.96899999999999997</v>
          </cell>
          <cell r="BV33">
            <v>0.72699999999999998</v>
          </cell>
          <cell r="BW33">
            <v>0.872</v>
          </cell>
          <cell r="BX33">
            <v>0.872</v>
          </cell>
          <cell r="BY33">
            <v>0.95499999999999996</v>
          </cell>
          <cell r="BZ33">
            <v>0.56033621344641771</v>
          </cell>
          <cell r="CA33">
            <v>0.72199288849380527</v>
          </cell>
          <cell r="CB33">
            <v>0.76903601677493638</v>
          </cell>
          <cell r="CC33">
            <v>0.94401669229079743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</row>
        <row r="34">
          <cell r="F34">
            <v>0.81699999999999995</v>
          </cell>
          <cell r="G34">
            <v>0.92200000000000004</v>
          </cell>
          <cell r="H34">
            <v>0.97099999999999997</v>
          </cell>
          <cell r="I34">
            <v>0.99</v>
          </cell>
          <cell r="J34">
            <v>0.63349999999999995</v>
          </cell>
          <cell r="K34">
            <v>0.63349999999999995</v>
          </cell>
          <cell r="L34">
            <v>0.76300000000000001</v>
          </cell>
          <cell r="M34">
            <v>0.98399999999999999</v>
          </cell>
          <cell r="N34">
            <v>0.95699999999999996</v>
          </cell>
          <cell r="O34">
            <v>0.99099999999999999</v>
          </cell>
          <cell r="P34">
            <v>0.99099999999999999</v>
          </cell>
          <cell r="Q34">
            <v>0.997</v>
          </cell>
          <cell r="R34">
            <v>0.93700000000000006</v>
          </cell>
          <cell r="S34">
            <v>0.93700000000000006</v>
          </cell>
          <cell r="T34">
            <v>0.98099999999999998</v>
          </cell>
          <cell r="U34">
            <v>0.997</v>
          </cell>
          <cell r="V34">
            <v>0.48599999999999999</v>
          </cell>
          <cell r="W34">
            <v>0.65200000000000002</v>
          </cell>
          <cell r="X34">
            <v>0.85599999999999998</v>
          </cell>
          <cell r="Y34">
            <v>0.97099999999999997</v>
          </cell>
          <cell r="Z34">
            <v>0.95150000000000001</v>
          </cell>
          <cell r="AA34">
            <v>0.95150000000000001</v>
          </cell>
          <cell r="AB34">
            <v>0.95499999999999996</v>
          </cell>
          <cell r="AC34">
            <v>0.99</v>
          </cell>
          <cell r="AD34">
            <v>0.624</v>
          </cell>
          <cell r="AE34">
            <v>0.76800000000000002</v>
          </cell>
          <cell r="AF34">
            <v>0.83399999999999996</v>
          </cell>
          <cell r="AG34">
            <v>0.90700000000000003</v>
          </cell>
          <cell r="AH34">
            <v>0.83399999999999996</v>
          </cell>
          <cell r="AI34">
            <v>0.85799999999999998</v>
          </cell>
          <cell r="AJ34">
            <v>0.93799999999999994</v>
          </cell>
          <cell r="AK34">
            <v>0.99399999999999999</v>
          </cell>
          <cell r="AL34">
            <v>0.69900000000000007</v>
          </cell>
          <cell r="AM34">
            <v>0.74299999999999999</v>
          </cell>
          <cell r="AN34">
            <v>0.91700000000000004</v>
          </cell>
          <cell r="AO34">
            <v>0.97599999999999998</v>
          </cell>
          <cell r="AP34">
            <v>0.60399999999999998</v>
          </cell>
          <cell r="AQ34">
            <v>0.69799999999999995</v>
          </cell>
          <cell r="AR34">
            <v>0.7</v>
          </cell>
          <cell r="AS34">
            <v>0.98099999999999998</v>
          </cell>
          <cell r="AT34">
            <v>0.54600000000000004</v>
          </cell>
          <cell r="AU34">
            <v>0.54600000000000004</v>
          </cell>
          <cell r="AV34">
            <v>0.58299999999999996</v>
          </cell>
          <cell r="AW34">
            <v>0.90900000000000003</v>
          </cell>
          <cell r="AX34">
            <v>0.39200000000000002</v>
          </cell>
          <cell r="AY34">
            <v>0.56299999999999994</v>
          </cell>
          <cell r="AZ34">
            <v>0.72199999999999998</v>
          </cell>
          <cell r="BA34">
            <v>0.9</v>
          </cell>
          <cell r="BB34">
            <v>0.72399999999999998</v>
          </cell>
          <cell r="BC34">
            <v>0.79600000000000004</v>
          </cell>
          <cell r="BD34">
            <v>0.82400000000000007</v>
          </cell>
          <cell r="BE34">
            <v>0.82699999999999996</v>
          </cell>
          <cell r="BF34">
            <v>0.67799999999999994</v>
          </cell>
          <cell r="BG34">
            <v>0.76200000000000001</v>
          </cell>
          <cell r="BH34">
            <v>0.76200000000000001</v>
          </cell>
          <cell r="BI34">
            <v>0.98</v>
          </cell>
          <cell r="BJ34">
            <v>0.50700000000000001</v>
          </cell>
          <cell r="BK34">
            <v>0.65999999999999992</v>
          </cell>
          <cell r="BL34">
            <v>0.79600000000000004</v>
          </cell>
          <cell r="BM34">
            <v>0.96299999999999997</v>
          </cell>
          <cell r="BN34">
            <v>0.73699999999999999</v>
          </cell>
          <cell r="BO34">
            <v>0.88900000000000001</v>
          </cell>
          <cell r="BP34">
            <v>0.88900000000000001</v>
          </cell>
          <cell r="BQ34">
            <v>0.96399999999999997</v>
          </cell>
          <cell r="BR34">
            <v>0.71700000000000008</v>
          </cell>
          <cell r="BS34">
            <v>0.77500000000000002</v>
          </cell>
          <cell r="BT34">
            <v>0.877</v>
          </cell>
          <cell r="BU34">
            <v>0.96899999999999997</v>
          </cell>
          <cell r="BV34">
            <v>0.72699999999999998</v>
          </cell>
          <cell r="BW34">
            <v>0.872</v>
          </cell>
          <cell r="BX34">
            <v>0.872</v>
          </cell>
          <cell r="BY34">
            <v>0.95499999999999996</v>
          </cell>
          <cell r="BZ34">
            <v>0.56033621344641771</v>
          </cell>
          <cell r="CA34">
            <v>0.72199288849380527</v>
          </cell>
          <cell r="CB34">
            <v>0.76903601677493638</v>
          </cell>
          <cell r="CC34">
            <v>0.94401669229079743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</row>
        <row r="106"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Q106">
            <v>0</v>
          </cell>
          <cell r="BR106">
            <v>0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0</v>
          </cell>
          <cell r="BY106">
            <v>0</v>
          </cell>
          <cell r="BZ106">
            <v>0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0</v>
          </cell>
          <cell r="CH106">
            <v>0</v>
          </cell>
          <cell r="CI106">
            <v>0</v>
          </cell>
          <cell r="CJ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</row>
        <row r="107"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P107">
            <v>0</v>
          </cell>
          <cell r="BQ107">
            <v>0</v>
          </cell>
          <cell r="BR107">
            <v>0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0</v>
          </cell>
          <cell r="BY107">
            <v>0</v>
          </cell>
          <cell r="BZ107">
            <v>0</v>
          </cell>
          <cell r="CA107">
            <v>0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</row>
        <row r="108"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P108">
            <v>0</v>
          </cell>
          <cell r="BQ108">
            <v>0</v>
          </cell>
          <cell r="BR108">
            <v>0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0</v>
          </cell>
          <cell r="BY108">
            <v>0</v>
          </cell>
          <cell r="BZ108">
            <v>0</v>
          </cell>
          <cell r="CA108">
            <v>0</v>
          </cell>
          <cell r="CB108">
            <v>0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P109">
            <v>0</v>
          </cell>
          <cell r="BQ109">
            <v>0</v>
          </cell>
          <cell r="BR109">
            <v>0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0</v>
          </cell>
          <cell r="BY109">
            <v>0</v>
          </cell>
          <cell r="BZ109">
            <v>0</v>
          </cell>
          <cell r="CA109">
            <v>0</v>
          </cell>
          <cell r="CB109">
            <v>0</v>
          </cell>
          <cell r="CC109">
            <v>0</v>
          </cell>
          <cell r="CD109">
            <v>0</v>
          </cell>
          <cell r="CE109">
            <v>0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</row>
        <row r="110"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P110">
            <v>0</v>
          </cell>
          <cell r="BQ110">
            <v>0</v>
          </cell>
          <cell r="BR110">
            <v>0</v>
          </cell>
          <cell r="BS110">
            <v>0</v>
          </cell>
          <cell r="BT110">
            <v>0</v>
          </cell>
          <cell r="BU110">
            <v>0</v>
          </cell>
          <cell r="BV110">
            <v>0</v>
          </cell>
          <cell r="BW110">
            <v>0</v>
          </cell>
          <cell r="BX110">
            <v>0</v>
          </cell>
          <cell r="BY110">
            <v>0</v>
          </cell>
          <cell r="BZ110">
            <v>0</v>
          </cell>
          <cell r="CA110">
            <v>0</v>
          </cell>
          <cell r="CB110">
            <v>0</v>
          </cell>
          <cell r="CC110">
            <v>0</v>
          </cell>
          <cell r="CD110">
            <v>0</v>
          </cell>
          <cell r="CE110">
            <v>0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</row>
        <row r="111"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P111">
            <v>0</v>
          </cell>
          <cell r="BQ111">
            <v>0</v>
          </cell>
          <cell r="BR111">
            <v>0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0</v>
          </cell>
          <cell r="BX111">
            <v>0</v>
          </cell>
          <cell r="BY111">
            <v>0</v>
          </cell>
          <cell r="BZ111">
            <v>0</v>
          </cell>
          <cell r="CA111">
            <v>0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</row>
        <row r="112"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P112">
            <v>0</v>
          </cell>
          <cell r="BQ112">
            <v>0</v>
          </cell>
          <cell r="BR112">
            <v>0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0</v>
          </cell>
          <cell r="BY112">
            <v>0</v>
          </cell>
          <cell r="BZ112">
            <v>0</v>
          </cell>
          <cell r="CA112">
            <v>0</v>
          </cell>
          <cell r="CB112">
            <v>0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</row>
        <row r="113"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P113">
            <v>0</v>
          </cell>
          <cell r="BQ113">
            <v>0</v>
          </cell>
          <cell r="BR113">
            <v>0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0</v>
          </cell>
          <cell r="CA113">
            <v>0</v>
          </cell>
          <cell r="CB113">
            <v>0</v>
          </cell>
          <cell r="CC113">
            <v>0</v>
          </cell>
          <cell r="CD113">
            <v>0</v>
          </cell>
          <cell r="CE113">
            <v>0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</row>
        <row r="114"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</row>
        <row r="115"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</row>
      </sheetData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W calculator"/>
    </sheetNames>
    <sheetDataSet>
      <sheetData sheetId="0">
        <row r="3">
          <cell r="B3">
            <v>3.5000000000000003E-2</v>
          </cell>
          <cell r="E3">
            <v>1</v>
          </cell>
        </row>
        <row r="4">
          <cell r="B4">
            <v>0.5</v>
          </cell>
        </row>
        <row r="5">
          <cell r="B5">
            <v>50</v>
          </cell>
        </row>
        <row r="9">
          <cell r="A9">
            <v>0</v>
          </cell>
          <cell r="B9">
            <v>4.3119999999999999E-3</v>
          </cell>
          <cell r="C9">
            <v>3.5760000000000002E-3</v>
          </cell>
          <cell r="D9">
            <v>0.94464086000000003</v>
          </cell>
          <cell r="E9">
            <v>0.91032568000000003</v>
          </cell>
        </row>
        <row r="10">
          <cell r="A10">
            <v>1</v>
          </cell>
          <cell r="B10">
            <v>2.42E-4</v>
          </cell>
          <cell r="C10">
            <v>2.13E-4</v>
          </cell>
          <cell r="D10">
            <v>0.94464086000000003</v>
          </cell>
          <cell r="E10">
            <v>0.91032568000000003</v>
          </cell>
        </row>
        <row r="11">
          <cell r="A11">
            <v>2</v>
          </cell>
          <cell r="B11">
            <v>1.3200000000000001E-4</v>
          </cell>
          <cell r="C11">
            <v>1.25E-4</v>
          </cell>
          <cell r="D11">
            <v>0.94464086000000003</v>
          </cell>
          <cell r="E11">
            <v>0.91032568000000003</v>
          </cell>
        </row>
        <row r="12">
          <cell r="A12">
            <v>3</v>
          </cell>
          <cell r="B12">
            <v>1.02E-4</v>
          </cell>
          <cell r="C12">
            <v>9.7999999999999997E-5</v>
          </cell>
          <cell r="D12">
            <v>0.94464086000000003</v>
          </cell>
          <cell r="E12">
            <v>0.91032568000000003</v>
          </cell>
        </row>
        <row r="13">
          <cell r="A13">
            <v>4</v>
          </cell>
          <cell r="B13">
            <v>9.3999999999999994E-5</v>
          </cell>
          <cell r="C13">
            <v>6.3999999999999997E-5</v>
          </cell>
          <cell r="D13">
            <v>0.94464086000000003</v>
          </cell>
          <cell r="E13">
            <v>0.91032568000000003</v>
          </cell>
        </row>
        <row r="14">
          <cell r="A14">
            <v>5</v>
          </cell>
          <cell r="B14">
            <v>8.8999999999999995E-5</v>
          </cell>
          <cell r="C14">
            <v>8.5000000000000006E-5</v>
          </cell>
          <cell r="D14">
            <v>0.94464086000000003</v>
          </cell>
          <cell r="E14">
            <v>0.91032568000000003</v>
          </cell>
        </row>
        <row r="15">
          <cell r="A15">
            <v>6</v>
          </cell>
          <cell r="B15">
            <v>8.2999999999999998E-5</v>
          </cell>
          <cell r="C15">
            <v>7.8999999999999996E-5</v>
          </cell>
          <cell r="D15">
            <v>0.94464086000000003</v>
          </cell>
          <cell r="E15">
            <v>0.91032568000000003</v>
          </cell>
        </row>
        <row r="16">
          <cell r="A16">
            <v>7</v>
          </cell>
          <cell r="B16">
            <v>7.2999999999999999E-5</v>
          </cell>
          <cell r="C16">
            <v>6.0999999999999999E-5</v>
          </cell>
          <cell r="D16">
            <v>0.94464086000000003</v>
          </cell>
          <cell r="E16">
            <v>0.91032568000000003</v>
          </cell>
        </row>
        <row r="17">
          <cell r="A17">
            <v>8</v>
          </cell>
          <cell r="B17">
            <v>6.3999999999999997E-5</v>
          </cell>
          <cell r="C17">
            <v>6.3999999999999997E-5</v>
          </cell>
          <cell r="D17">
            <v>0.94464086000000003</v>
          </cell>
          <cell r="E17">
            <v>0.91032568000000003</v>
          </cell>
        </row>
        <row r="18">
          <cell r="A18">
            <v>9</v>
          </cell>
          <cell r="B18">
            <v>6.2000000000000003E-5</v>
          </cell>
          <cell r="C18">
            <v>5.5999999999999999E-5</v>
          </cell>
          <cell r="D18">
            <v>0.94464086000000003</v>
          </cell>
          <cell r="E18">
            <v>0.91032568000000003</v>
          </cell>
        </row>
        <row r="19">
          <cell r="A19">
            <v>10</v>
          </cell>
          <cell r="B19">
            <v>7.2000000000000002E-5</v>
          </cell>
          <cell r="C19">
            <v>6.3999999999999997E-5</v>
          </cell>
          <cell r="D19">
            <v>0.94464086000000003</v>
          </cell>
          <cell r="E19">
            <v>0.91032568000000003</v>
          </cell>
        </row>
        <row r="20">
          <cell r="A20">
            <v>11</v>
          </cell>
          <cell r="B20">
            <v>8.1000000000000004E-5</v>
          </cell>
          <cell r="C20">
            <v>6.2000000000000003E-5</v>
          </cell>
          <cell r="D20">
            <v>0.94464086000000003</v>
          </cell>
          <cell r="E20">
            <v>0.91032568000000003</v>
          </cell>
        </row>
        <row r="21">
          <cell r="A21">
            <v>12</v>
          </cell>
          <cell r="B21">
            <v>1.05E-4</v>
          </cell>
          <cell r="C21">
            <v>5.7000000000000003E-5</v>
          </cell>
          <cell r="D21">
            <v>0.94464086000000003</v>
          </cell>
          <cell r="E21">
            <v>0.91032568000000003</v>
          </cell>
        </row>
        <row r="22">
          <cell r="A22">
            <v>13</v>
          </cell>
          <cell r="B22">
            <v>1.25E-4</v>
          </cell>
          <cell r="C22">
            <v>7.8999999999999996E-5</v>
          </cell>
          <cell r="D22">
            <v>0.94464086000000003</v>
          </cell>
          <cell r="E22">
            <v>0.91032568000000003</v>
          </cell>
        </row>
        <row r="23">
          <cell r="A23">
            <v>14</v>
          </cell>
          <cell r="B23">
            <v>1.16E-4</v>
          </cell>
          <cell r="C23">
            <v>9.2E-5</v>
          </cell>
          <cell r="D23">
            <v>0.94464086000000003</v>
          </cell>
          <cell r="E23">
            <v>0.91032568000000003</v>
          </cell>
        </row>
        <row r="24">
          <cell r="A24">
            <v>15</v>
          </cell>
          <cell r="B24">
            <v>1.6899999999999999E-4</v>
          </cell>
          <cell r="C24">
            <v>9.7999999999999997E-5</v>
          </cell>
          <cell r="D24">
            <v>0.94464086000000003</v>
          </cell>
          <cell r="E24">
            <v>0.91032568000000003</v>
          </cell>
        </row>
        <row r="25">
          <cell r="A25">
            <v>16</v>
          </cell>
          <cell r="B25">
            <v>2.2000000000000001E-4</v>
          </cell>
          <cell r="C25">
            <v>1.4799999999999999E-4</v>
          </cell>
          <cell r="D25">
            <v>0.94464086000000003</v>
          </cell>
          <cell r="E25">
            <v>0.91032568000000003</v>
          </cell>
        </row>
        <row r="26">
          <cell r="A26">
            <v>17</v>
          </cell>
          <cell r="B26">
            <v>3.0299999999999999E-4</v>
          </cell>
          <cell r="C26">
            <v>1.5899999999999999E-4</v>
          </cell>
          <cell r="D26">
            <v>0.94333138999999999</v>
          </cell>
          <cell r="E26">
            <v>0.91087275999999995</v>
          </cell>
        </row>
        <row r="27">
          <cell r="A27">
            <v>18</v>
          </cell>
          <cell r="B27">
            <v>3.8699999999999997E-4</v>
          </cell>
          <cell r="C27">
            <v>2.1100000000000001E-4</v>
          </cell>
          <cell r="D27">
            <v>0.94198996999999995</v>
          </cell>
          <cell r="E27">
            <v>0.91123900000000002</v>
          </cell>
        </row>
        <row r="28">
          <cell r="A28">
            <v>19</v>
          </cell>
          <cell r="B28">
            <v>4.15E-4</v>
          </cell>
          <cell r="C28">
            <v>1.94E-4</v>
          </cell>
          <cell r="D28">
            <v>0.94061612000000006</v>
          </cell>
          <cell r="E28">
            <v>0.9114333</v>
          </cell>
        </row>
        <row r="29">
          <cell r="A29">
            <v>20</v>
          </cell>
          <cell r="B29">
            <v>5.0299999999999997E-4</v>
          </cell>
          <cell r="C29">
            <v>1.7899999999999999E-4</v>
          </cell>
          <cell r="D29">
            <v>0.93920935000000005</v>
          </cell>
          <cell r="E29">
            <v>0.91146389000000005</v>
          </cell>
        </row>
        <row r="30">
          <cell r="A30">
            <v>21</v>
          </cell>
          <cell r="B30">
            <v>4.9799999999999996E-4</v>
          </cell>
          <cell r="C30">
            <v>2.0100000000000001E-4</v>
          </cell>
          <cell r="D30">
            <v>0.93776915999999999</v>
          </cell>
          <cell r="E30">
            <v>0.91133843000000003</v>
          </cell>
        </row>
        <row r="31">
          <cell r="A31">
            <v>22</v>
          </cell>
          <cell r="B31">
            <v>4.7800000000000002E-4</v>
          </cell>
          <cell r="C31">
            <v>2.1499999999999999E-4</v>
          </cell>
          <cell r="D31">
            <v>0.93629505000000002</v>
          </cell>
          <cell r="E31">
            <v>0.91106401000000004</v>
          </cell>
        </row>
        <row r="32">
          <cell r="A32">
            <v>23</v>
          </cell>
          <cell r="B32">
            <v>4.6999999999999999E-4</v>
          </cell>
          <cell r="C32">
            <v>2.0000000000000001E-4</v>
          </cell>
          <cell r="D32">
            <v>0.93478653</v>
          </cell>
          <cell r="E32">
            <v>0.91064718</v>
          </cell>
        </row>
        <row r="33">
          <cell r="A33">
            <v>24</v>
          </cell>
          <cell r="B33">
            <v>5.13E-4</v>
          </cell>
          <cell r="C33">
            <v>2.1800000000000001E-4</v>
          </cell>
          <cell r="D33">
            <v>0.93324311999999998</v>
          </cell>
          <cell r="E33">
            <v>0.91009399999999996</v>
          </cell>
        </row>
        <row r="34">
          <cell r="A34">
            <v>25</v>
          </cell>
          <cell r="B34">
            <v>5.3799999999999996E-4</v>
          </cell>
          <cell r="C34">
            <v>2.4399999999999999E-4</v>
          </cell>
          <cell r="D34">
            <v>0.93166431000000005</v>
          </cell>
          <cell r="E34">
            <v>0.90941002999999998</v>
          </cell>
        </row>
        <row r="35">
          <cell r="A35">
            <v>26</v>
          </cell>
          <cell r="B35">
            <v>5.4299999999999997E-4</v>
          </cell>
          <cell r="C35">
            <v>2.5900000000000001E-4</v>
          </cell>
          <cell r="D35">
            <v>0.93004962000000002</v>
          </cell>
          <cell r="E35">
            <v>0.90860043999999995</v>
          </cell>
        </row>
        <row r="36">
          <cell r="A36">
            <v>27</v>
          </cell>
          <cell r="B36">
            <v>5.7399999999999997E-4</v>
          </cell>
          <cell r="C36">
            <v>2.7E-4</v>
          </cell>
          <cell r="D36">
            <v>0.92839855999999998</v>
          </cell>
          <cell r="E36">
            <v>0.90766992999999996</v>
          </cell>
        </row>
        <row r="37">
          <cell r="A37">
            <v>28</v>
          </cell>
          <cell r="B37">
            <v>6.29E-4</v>
          </cell>
          <cell r="C37">
            <v>3.0400000000000002E-4</v>
          </cell>
          <cell r="D37">
            <v>0.92671064999999997</v>
          </cell>
          <cell r="E37">
            <v>0.90662284999999998</v>
          </cell>
        </row>
        <row r="38">
          <cell r="A38">
            <v>29</v>
          </cell>
          <cell r="B38">
            <v>6.6399999999999999E-4</v>
          </cell>
          <cell r="C38">
            <v>3.0200000000000002E-4</v>
          </cell>
          <cell r="D38">
            <v>0.92498541000000001</v>
          </cell>
          <cell r="E38">
            <v>0.90546318999999997</v>
          </cell>
        </row>
        <row r="39">
          <cell r="A39">
            <v>30</v>
          </cell>
          <cell r="B39">
            <v>7.1100000000000004E-4</v>
          </cell>
          <cell r="C39">
            <v>3.5799999999999997E-4</v>
          </cell>
          <cell r="D39">
            <v>0.92322236000000002</v>
          </cell>
          <cell r="E39">
            <v>0.90419457000000003</v>
          </cell>
        </row>
        <row r="40">
          <cell r="A40">
            <v>31</v>
          </cell>
          <cell r="B40">
            <v>7.7200000000000001E-4</v>
          </cell>
          <cell r="C40">
            <v>3.6900000000000002E-4</v>
          </cell>
          <cell r="D40">
            <v>0.92142102000000004</v>
          </cell>
          <cell r="E40">
            <v>0.90282032999999995</v>
          </cell>
        </row>
        <row r="41">
          <cell r="A41">
            <v>32</v>
          </cell>
          <cell r="B41">
            <v>7.5500000000000003E-4</v>
          </cell>
          <cell r="C41">
            <v>4.3600000000000003E-4</v>
          </cell>
          <cell r="D41">
            <v>0.91958092999999996</v>
          </cell>
          <cell r="E41">
            <v>0.90134349999999996</v>
          </cell>
        </row>
        <row r="42">
          <cell r="A42">
            <v>33</v>
          </cell>
          <cell r="B42">
            <v>8.61E-4</v>
          </cell>
          <cell r="C42">
            <v>4.5100000000000001E-4</v>
          </cell>
          <cell r="D42">
            <v>0.91770163000000005</v>
          </cell>
          <cell r="E42">
            <v>0.89976685000000001</v>
          </cell>
        </row>
        <row r="43">
          <cell r="A43">
            <v>34</v>
          </cell>
          <cell r="B43">
            <v>8.92E-4</v>
          </cell>
          <cell r="C43">
            <v>5.2499999999999997E-4</v>
          </cell>
          <cell r="D43">
            <v>0.91578265000000003</v>
          </cell>
          <cell r="E43">
            <v>0.89809285999999999</v>
          </cell>
        </row>
        <row r="44">
          <cell r="A44">
            <v>35</v>
          </cell>
          <cell r="B44">
            <v>9.6699999999999998E-4</v>
          </cell>
          <cell r="C44">
            <v>5.5400000000000002E-4</v>
          </cell>
          <cell r="D44">
            <v>0.91382355000000004</v>
          </cell>
          <cell r="E44">
            <v>0.89632383000000004</v>
          </cell>
        </row>
        <row r="45">
          <cell r="A45">
            <v>36</v>
          </cell>
          <cell r="B45">
            <v>1.0499999999999999E-3</v>
          </cell>
          <cell r="C45">
            <v>5.8299999999999997E-4</v>
          </cell>
          <cell r="D45">
            <v>0.91182388000000003</v>
          </cell>
          <cell r="E45">
            <v>0.89446179999999997</v>
          </cell>
        </row>
        <row r="46">
          <cell r="A46">
            <v>37</v>
          </cell>
          <cell r="B46">
            <v>1.2110000000000001E-3</v>
          </cell>
          <cell r="C46">
            <v>7.4600000000000003E-4</v>
          </cell>
          <cell r="D46">
            <v>0.90978320999999995</v>
          </cell>
          <cell r="E46">
            <v>0.89250861000000004</v>
          </cell>
        </row>
        <row r="47">
          <cell r="A47">
            <v>38</v>
          </cell>
          <cell r="B47">
            <v>1.178E-3</v>
          </cell>
          <cell r="C47">
            <v>7.0299999999999996E-4</v>
          </cell>
          <cell r="D47">
            <v>0.90770110000000004</v>
          </cell>
          <cell r="E47">
            <v>0.89046592000000002</v>
          </cell>
        </row>
        <row r="48">
          <cell r="A48">
            <v>39</v>
          </cell>
          <cell r="B48">
            <v>1.2899999999999999E-3</v>
          </cell>
          <cell r="C48">
            <v>7.6999999999999996E-4</v>
          </cell>
          <cell r="D48">
            <v>0.90557714</v>
          </cell>
          <cell r="E48">
            <v>0.88833521000000004</v>
          </cell>
        </row>
        <row r="49">
          <cell r="A49">
            <v>40</v>
          </cell>
          <cell r="B49">
            <v>1.4300000000000001E-3</v>
          </cell>
          <cell r="C49">
            <v>8.2799999999999996E-4</v>
          </cell>
          <cell r="D49">
            <v>0.90341092000000001</v>
          </cell>
          <cell r="E49">
            <v>0.88611779000000002</v>
          </cell>
        </row>
        <row r="50">
          <cell r="A50">
            <v>41</v>
          </cell>
          <cell r="B50">
            <v>1.534E-3</v>
          </cell>
          <cell r="C50">
            <v>9.1600000000000004E-4</v>
          </cell>
          <cell r="D50">
            <v>0.90120202999999999</v>
          </cell>
          <cell r="E50">
            <v>0.88381483000000005</v>
          </cell>
        </row>
        <row r="51">
          <cell r="A51">
            <v>42</v>
          </cell>
          <cell r="B51">
            <v>1.676E-3</v>
          </cell>
          <cell r="C51">
            <v>1.0269999999999999E-3</v>
          </cell>
          <cell r="D51">
            <v>0.89895009000000003</v>
          </cell>
          <cell r="E51">
            <v>0.88142734</v>
          </cell>
        </row>
        <row r="52">
          <cell r="A52">
            <v>43</v>
          </cell>
          <cell r="B52">
            <v>1.851E-3</v>
          </cell>
          <cell r="C52">
            <v>1.098E-3</v>
          </cell>
          <cell r="D52">
            <v>0.89665470999999997</v>
          </cell>
          <cell r="E52">
            <v>0.87895621000000002</v>
          </cell>
        </row>
        <row r="53">
          <cell r="A53">
            <v>44</v>
          </cell>
          <cell r="B53">
            <v>1.9599999999999999E-3</v>
          </cell>
          <cell r="C53">
            <v>1.2600000000000001E-3</v>
          </cell>
          <cell r="D53">
            <v>0.89431554000000002</v>
          </cell>
          <cell r="E53">
            <v>0.87640218000000003</v>
          </cell>
        </row>
        <row r="54">
          <cell r="A54">
            <v>45</v>
          </cell>
          <cell r="B54">
            <v>2.2230000000000001E-3</v>
          </cell>
          <cell r="C54">
            <v>1.3600000000000001E-3</v>
          </cell>
          <cell r="D54">
            <v>0.89193222000000005</v>
          </cell>
          <cell r="E54">
            <v>0.87376591000000003</v>
          </cell>
        </row>
        <row r="55">
          <cell r="A55">
            <v>46</v>
          </cell>
          <cell r="B55">
            <v>2.3040000000000001E-3</v>
          </cell>
          <cell r="C55">
            <v>1.4940000000000001E-3</v>
          </cell>
          <cell r="D55">
            <v>0.88950441000000002</v>
          </cell>
          <cell r="E55">
            <v>0.87104791999999998</v>
          </cell>
        </row>
        <row r="56">
          <cell r="A56">
            <v>47</v>
          </cell>
          <cell r="B56">
            <v>2.5699999999999998E-3</v>
          </cell>
          <cell r="C56">
            <v>1.6180000000000001E-3</v>
          </cell>
          <cell r="D56">
            <v>0.88703178999999999</v>
          </cell>
          <cell r="E56">
            <v>0.86824862999999997</v>
          </cell>
        </row>
        <row r="57">
          <cell r="A57">
            <v>48</v>
          </cell>
          <cell r="B57">
            <v>2.715E-3</v>
          </cell>
          <cell r="C57">
            <v>1.7700000000000001E-3</v>
          </cell>
          <cell r="D57">
            <v>0.88451404</v>
          </cell>
          <cell r="E57">
            <v>0.86536838000000005</v>
          </cell>
        </row>
        <row r="58">
          <cell r="A58">
            <v>49</v>
          </cell>
          <cell r="B58">
            <v>3.042E-3</v>
          </cell>
          <cell r="C58">
            <v>1.897E-3</v>
          </cell>
          <cell r="D58">
            <v>0.88195089000000004</v>
          </cell>
          <cell r="E58">
            <v>0.86240737999999995</v>
          </cell>
        </row>
        <row r="59">
          <cell r="A59">
            <v>50</v>
          </cell>
          <cell r="B59">
            <v>3.2330000000000002E-3</v>
          </cell>
          <cell r="C59">
            <v>2.0890000000000001E-3</v>
          </cell>
          <cell r="D59">
            <v>0.87934204999999999</v>
          </cell>
          <cell r="E59">
            <v>0.85936579999999996</v>
          </cell>
        </row>
        <row r="60">
          <cell r="A60">
            <v>51</v>
          </cell>
          <cell r="B60">
            <v>3.49E-3</v>
          </cell>
          <cell r="C60">
            <v>2.274E-3</v>
          </cell>
          <cell r="D60">
            <v>0.87668727000000002</v>
          </cell>
          <cell r="E60">
            <v>0.85624367999999995</v>
          </cell>
        </row>
        <row r="61">
          <cell r="A61">
            <v>52</v>
          </cell>
          <cell r="B61">
            <v>3.748E-3</v>
          </cell>
          <cell r="C61">
            <v>2.4740000000000001E-3</v>
          </cell>
          <cell r="D61">
            <v>0.87398631000000004</v>
          </cell>
          <cell r="E61">
            <v>0.85304100999999999</v>
          </cell>
        </row>
        <row r="62">
          <cell r="A62">
            <v>53</v>
          </cell>
          <cell r="B62">
            <v>4.0130000000000001E-3</v>
          </cell>
          <cell r="C62">
            <v>2.5869999999999999E-3</v>
          </cell>
          <cell r="D62">
            <v>0.87123896999999995</v>
          </cell>
          <cell r="E62">
            <v>0.84975767999999996</v>
          </cell>
        </row>
        <row r="63">
          <cell r="A63">
            <v>54</v>
          </cell>
          <cell r="B63">
            <v>4.3090000000000003E-3</v>
          </cell>
          <cell r="C63">
            <v>2.7699999999999999E-3</v>
          </cell>
          <cell r="D63">
            <v>0.86844504</v>
          </cell>
          <cell r="E63">
            <v>0.84639352000000001</v>
          </cell>
        </row>
        <row r="64">
          <cell r="A64">
            <v>55</v>
          </cell>
          <cell r="B64">
            <v>4.6420000000000003E-3</v>
          </cell>
          <cell r="C64">
            <v>3.0839999999999999E-3</v>
          </cell>
          <cell r="D64">
            <v>0.86560437000000001</v>
          </cell>
          <cell r="E64">
            <v>0.84294827000000006</v>
          </cell>
        </row>
        <row r="65">
          <cell r="A65">
            <v>56</v>
          </cell>
          <cell r="B65">
            <v>5.1780000000000003E-3</v>
          </cell>
          <cell r="C65">
            <v>3.395E-3</v>
          </cell>
          <cell r="D65">
            <v>0.86271679999999995</v>
          </cell>
          <cell r="E65">
            <v>0.83942161999999998</v>
          </cell>
        </row>
        <row r="66">
          <cell r="A66">
            <v>57</v>
          </cell>
          <cell r="B66">
            <v>5.6779999999999999E-3</v>
          </cell>
          <cell r="C66">
            <v>3.6819999999999999E-3</v>
          </cell>
          <cell r="D66">
            <v>0.85978222000000004</v>
          </cell>
          <cell r="E66">
            <v>0.83581316999999999</v>
          </cell>
        </row>
        <row r="67">
          <cell r="A67">
            <v>58</v>
          </cell>
          <cell r="B67">
            <v>6.1890000000000001E-3</v>
          </cell>
          <cell r="C67">
            <v>4.0730000000000002E-3</v>
          </cell>
          <cell r="D67">
            <v>0.85680053</v>
          </cell>
          <cell r="E67">
            <v>0.83212248</v>
          </cell>
        </row>
        <row r="68">
          <cell r="A68">
            <v>59</v>
          </cell>
          <cell r="B68">
            <v>6.705E-3</v>
          </cell>
          <cell r="C68">
            <v>4.3930000000000002E-3</v>
          </cell>
          <cell r="D68">
            <v>0.85377168999999997</v>
          </cell>
          <cell r="E68">
            <v>0.82834901000000005</v>
          </cell>
        </row>
        <row r="69">
          <cell r="A69">
            <v>60</v>
          </cell>
          <cell r="B69">
            <v>7.3860000000000002E-3</v>
          </cell>
          <cell r="C69">
            <v>4.8409999999999998E-3</v>
          </cell>
          <cell r="D69">
            <v>0.85069565000000003</v>
          </cell>
          <cell r="E69">
            <v>0.82449218000000002</v>
          </cell>
        </row>
        <row r="70">
          <cell r="A70">
            <v>61</v>
          </cell>
          <cell r="B70">
            <v>8.0169999999999998E-3</v>
          </cell>
          <cell r="C70">
            <v>5.2849999999999998E-3</v>
          </cell>
          <cell r="D70">
            <v>0.84757241000000005</v>
          </cell>
          <cell r="E70">
            <v>0.82055133000000002</v>
          </cell>
        </row>
        <row r="71">
          <cell r="A71">
            <v>62</v>
          </cell>
          <cell r="B71">
            <v>8.9580000000000007E-3</v>
          </cell>
          <cell r="C71">
            <v>6.0790000000000002E-3</v>
          </cell>
          <cell r="D71">
            <v>0.84440201999999998</v>
          </cell>
          <cell r="E71">
            <v>0.81652575999999999</v>
          </cell>
        </row>
        <row r="72">
          <cell r="A72">
            <v>63</v>
          </cell>
          <cell r="B72">
            <v>9.8799999999999999E-3</v>
          </cell>
          <cell r="C72">
            <v>6.4570000000000001E-3</v>
          </cell>
          <cell r="D72">
            <v>0.84118453999999998</v>
          </cell>
          <cell r="E72">
            <v>0.81241467999999994</v>
          </cell>
        </row>
        <row r="73">
          <cell r="A73">
            <v>64</v>
          </cell>
          <cell r="B73">
            <v>1.0678E-2</v>
          </cell>
          <cell r="C73">
            <v>6.9820000000000004E-3</v>
          </cell>
          <cell r="D73">
            <v>0.83792007000000002</v>
          </cell>
          <cell r="E73">
            <v>0.80821728000000004</v>
          </cell>
        </row>
        <row r="74">
          <cell r="A74">
            <v>65</v>
          </cell>
          <cell r="B74">
            <v>1.1802E-2</v>
          </cell>
          <cell r="C74">
            <v>7.6680000000000003E-3</v>
          </cell>
          <cell r="D74">
            <v>0.83460878000000005</v>
          </cell>
          <cell r="E74">
            <v>0.80393265999999997</v>
          </cell>
        </row>
        <row r="75">
          <cell r="A75">
            <v>66</v>
          </cell>
          <cell r="B75">
            <v>1.2900999999999999E-2</v>
          </cell>
          <cell r="C75">
            <v>8.2439999999999996E-3</v>
          </cell>
          <cell r="D75">
            <v>0.83125083</v>
          </cell>
          <cell r="E75">
            <v>0.79955988</v>
          </cell>
        </row>
        <row r="76">
          <cell r="A76">
            <v>67</v>
          </cell>
          <cell r="B76">
            <v>1.406E-2</v>
          </cell>
          <cell r="C76">
            <v>9.0119999999999992E-3</v>
          </cell>
          <cell r="D76">
            <v>0.82784647</v>
          </cell>
          <cell r="E76">
            <v>0.79509795999999999</v>
          </cell>
        </row>
        <row r="77">
          <cell r="A77">
            <v>68</v>
          </cell>
          <cell r="B77">
            <v>1.5370999999999999E-2</v>
          </cell>
          <cell r="C77">
            <v>1.0031999999999999E-2</v>
          </cell>
          <cell r="D77">
            <v>0.82439596999999998</v>
          </cell>
          <cell r="E77">
            <v>0.79054586000000004</v>
          </cell>
        </row>
        <row r="78">
          <cell r="A78">
            <v>69</v>
          </cell>
          <cell r="B78">
            <v>1.6844000000000001E-2</v>
          </cell>
          <cell r="C78">
            <v>1.0821000000000001E-2</v>
          </cell>
          <cell r="D78">
            <v>0.82089964999999998</v>
          </cell>
          <cell r="E78">
            <v>0.78590249999999995</v>
          </cell>
        </row>
        <row r="79">
          <cell r="A79">
            <v>70</v>
          </cell>
          <cell r="B79">
            <v>1.7795999999999999E-2</v>
          </cell>
          <cell r="C79">
            <v>1.1958E-2</v>
          </cell>
          <cell r="D79">
            <v>0.81735787999999998</v>
          </cell>
          <cell r="E79">
            <v>0.78116677000000001</v>
          </cell>
        </row>
        <row r="80">
          <cell r="A80">
            <v>71</v>
          </cell>
          <cell r="B80">
            <v>1.9812E-2</v>
          </cell>
          <cell r="C80">
            <v>1.2886999999999999E-2</v>
          </cell>
          <cell r="D80">
            <v>0.81377109999999997</v>
          </cell>
          <cell r="E80">
            <v>0.77633753999999999</v>
          </cell>
        </row>
        <row r="81">
          <cell r="A81">
            <v>72</v>
          </cell>
          <cell r="B81">
            <v>2.1631999999999998E-2</v>
          </cell>
          <cell r="C81">
            <v>1.4774000000000001E-2</v>
          </cell>
          <cell r="D81">
            <v>0.81013979000000003</v>
          </cell>
          <cell r="E81">
            <v>0.77141364000000001</v>
          </cell>
        </row>
        <row r="82">
          <cell r="A82">
            <v>73</v>
          </cell>
          <cell r="B82">
            <v>2.4995E-2</v>
          </cell>
          <cell r="C82">
            <v>1.6891E-2</v>
          </cell>
          <cell r="D82">
            <v>0.80646446999999999</v>
          </cell>
          <cell r="E82">
            <v>0.76639389999999996</v>
          </cell>
        </row>
        <row r="83">
          <cell r="A83">
            <v>74</v>
          </cell>
          <cell r="B83">
            <v>2.7226E-2</v>
          </cell>
          <cell r="C83">
            <v>1.8495000000000001E-2</v>
          </cell>
          <cell r="D83">
            <v>0.80274575000000004</v>
          </cell>
          <cell r="E83">
            <v>0.76127716000000001</v>
          </cell>
        </row>
        <row r="84">
          <cell r="A84">
            <v>75</v>
          </cell>
          <cell r="B84">
            <v>3.0421E-2</v>
          </cell>
          <cell r="C84">
            <v>2.0695999999999999E-2</v>
          </cell>
          <cell r="D84">
            <v>0.79898427999999999</v>
          </cell>
          <cell r="E84">
            <v>0.75606225000000005</v>
          </cell>
        </row>
        <row r="85">
          <cell r="A85">
            <v>76</v>
          </cell>
          <cell r="B85">
            <v>3.4347999999999997E-2</v>
          </cell>
          <cell r="C85">
            <v>2.3335999999999999E-2</v>
          </cell>
          <cell r="D85">
            <v>0.79518078999999997</v>
          </cell>
          <cell r="E85">
            <v>0.75074803999999995</v>
          </cell>
        </row>
        <row r="86">
          <cell r="A86">
            <v>77</v>
          </cell>
          <cell r="B86">
            <v>3.7936999999999999E-2</v>
          </cell>
          <cell r="C86">
            <v>2.6453000000000001E-2</v>
          </cell>
          <cell r="D86">
            <v>0.79133606999999995</v>
          </cell>
          <cell r="E86">
            <v>0.74533344999999995</v>
          </cell>
        </row>
        <row r="87">
          <cell r="A87">
            <v>78</v>
          </cell>
          <cell r="B87">
            <v>4.2587E-2</v>
          </cell>
          <cell r="C87">
            <v>2.9933999999999999E-2</v>
          </cell>
          <cell r="D87">
            <v>0.78745098000000002</v>
          </cell>
          <cell r="E87">
            <v>0.73981744000000005</v>
          </cell>
        </row>
        <row r="88">
          <cell r="A88">
            <v>79</v>
          </cell>
          <cell r="B88">
            <v>4.6927999999999997E-2</v>
          </cell>
          <cell r="C88">
            <v>3.3614999999999999E-2</v>
          </cell>
          <cell r="D88">
            <v>0.78352646000000004</v>
          </cell>
          <cell r="E88">
            <v>0.73419909000000005</v>
          </cell>
        </row>
        <row r="89">
          <cell r="A89">
            <v>80</v>
          </cell>
          <cell r="B89">
            <v>5.2892000000000002E-2</v>
          </cell>
          <cell r="C89">
            <v>3.7650000000000003E-2</v>
          </cell>
          <cell r="D89">
            <v>0.77956351000000002</v>
          </cell>
          <cell r="E89">
            <v>0.72847753999999998</v>
          </cell>
        </row>
        <row r="90">
          <cell r="A90">
            <v>81</v>
          </cell>
          <cell r="B90">
            <v>5.8881000000000003E-2</v>
          </cell>
          <cell r="C90">
            <v>4.2359000000000001E-2</v>
          </cell>
          <cell r="D90">
            <v>0.77556323999999999</v>
          </cell>
          <cell r="E90">
            <v>0.72265208999999997</v>
          </cell>
        </row>
        <row r="91">
          <cell r="A91">
            <v>82</v>
          </cell>
          <cell r="B91">
            <v>6.5105999999999997E-2</v>
          </cell>
          <cell r="C91">
            <v>4.7884000000000003E-2</v>
          </cell>
          <cell r="D91">
            <v>0.77152679999999996</v>
          </cell>
          <cell r="E91">
            <v>0.71672221000000003</v>
          </cell>
        </row>
        <row r="92">
          <cell r="A92">
            <v>83</v>
          </cell>
          <cell r="B92">
            <v>7.3435E-2</v>
          </cell>
          <cell r="C92">
            <v>5.525E-2</v>
          </cell>
          <cell r="D92">
            <v>0.76745545999999998</v>
          </cell>
          <cell r="E92">
            <v>0.71068752999999996</v>
          </cell>
        </row>
        <row r="93">
          <cell r="A93">
            <v>84</v>
          </cell>
          <cell r="B93">
            <v>8.3471000000000004E-2</v>
          </cell>
          <cell r="C93">
            <v>6.2504000000000004E-2</v>
          </cell>
          <cell r="D93">
            <v>0.76335056000000001</v>
          </cell>
          <cell r="E93">
            <v>0.70454791999999999</v>
          </cell>
        </row>
        <row r="94">
          <cell r="A94">
            <v>85</v>
          </cell>
          <cell r="B94">
            <v>9.3214000000000005E-2</v>
          </cell>
          <cell r="C94">
            <v>7.1405999999999997E-2</v>
          </cell>
          <cell r="D94">
            <v>0.75921353999999996</v>
          </cell>
          <cell r="E94">
            <v>0.69830351999999996</v>
          </cell>
        </row>
        <row r="95">
          <cell r="A95">
            <v>86</v>
          </cell>
          <cell r="B95">
            <v>0.105286</v>
          </cell>
          <cell r="C95">
            <v>8.1604999999999997E-2</v>
          </cell>
          <cell r="D95">
            <v>0.75504594000000003</v>
          </cell>
          <cell r="E95">
            <v>0.69195476</v>
          </cell>
        </row>
        <row r="96">
          <cell r="A96">
            <v>87</v>
          </cell>
          <cell r="B96">
            <v>0.117324</v>
          </cell>
          <cell r="C96">
            <v>9.2016000000000001E-2</v>
          </cell>
          <cell r="D96">
            <v>0.75084936999999996</v>
          </cell>
          <cell r="E96">
            <v>0.68550239000000002</v>
          </cell>
        </row>
        <row r="97">
          <cell r="A97">
            <v>88</v>
          </cell>
          <cell r="B97">
            <v>0.131771</v>
          </cell>
          <cell r="C97">
            <v>0.10509400000000001</v>
          </cell>
          <cell r="D97">
            <v>0.74662556999999996</v>
          </cell>
          <cell r="E97">
            <v>0.67894756999999994</v>
          </cell>
        </row>
        <row r="98">
          <cell r="A98">
            <v>89</v>
          </cell>
          <cell r="B98">
            <v>0.148173</v>
          </cell>
          <cell r="C98">
            <v>0.11718099999999999</v>
          </cell>
          <cell r="D98">
            <v>0.74237635999999996</v>
          </cell>
          <cell r="E98">
            <v>0.67229185999999996</v>
          </cell>
        </row>
        <row r="99">
          <cell r="A99">
            <v>90</v>
          </cell>
          <cell r="B99">
            <v>0.15778800000000001</v>
          </cell>
          <cell r="C99">
            <v>0.13162199999999999</v>
          </cell>
          <cell r="D99">
            <v>0.73810368999999998</v>
          </cell>
          <cell r="E99">
            <v>0.66553728999999995</v>
          </cell>
        </row>
        <row r="100">
          <cell r="A100">
            <v>91</v>
          </cell>
          <cell r="B100">
            <v>0.17689299999999999</v>
          </cell>
          <cell r="C100">
            <v>0.14793000000000001</v>
          </cell>
          <cell r="D100">
            <v>0.73380961</v>
          </cell>
          <cell r="E100">
            <v>0.65868643999999998</v>
          </cell>
        </row>
        <row r="101">
          <cell r="A101">
            <v>92</v>
          </cell>
          <cell r="B101">
            <v>0.1943</v>
          </cell>
          <cell r="C101">
            <v>0.16517899999999999</v>
          </cell>
          <cell r="D101">
            <v>0.72949626000000001</v>
          </cell>
          <cell r="E101">
            <v>0.65174239</v>
          </cell>
        </row>
        <row r="102">
          <cell r="A102">
            <v>93</v>
          </cell>
          <cell r="B102">
            <v>0.214033</v>
          </cell>
          <cell r="C102">
            <v>0.182699</v>
          </cell>
          <cell r="D102">
            <v>0.72516592999999996</v>
          </cell>
          <cell r="E102">
            <v>0.64470888000000004</v>
          </cell>
        </row>
        <row r="103">
          <cell r="A103">
            <v>94</v>
          </cell>
          <cell r="B103">
            <v>0.23701800000000001</v>
          </cell>
          <cell r="C103">
            <v>0.20327300000000001</v>
          </cell>
          <cell r="D103">
            <v>0.72082100000000005</v>
          </cell>
          <cell r="E103">
            <v>0.63759025000000003</v>
          </cell>
        </row>
        <row r="104">
          <cell r="A104">
            <v>95</v>
          </cell>
          <cell r="B104">
            <v>0.26174500000000001</v>
          </cell>
          <cell r="C104">
            <v>0.226544</v>
          </cell>
          <cell r="D104">
            <v>0.71646399000000005</v>
          </cell>
          <cell r="E104">
            <v>0.63039157999999995</v>
          </cell>
        </row>
        <row r="105">
          <cell r="A105">
            <v>96</v>
          </cell>
          <cell r="B105">
            <v>0.290462</v>
          </cell>
          <cell r="C105">
            <v>0.25041999999999998</v>
          </cell>
          <cell r="D105">
            <v>0.71209750999999999</v>
          </cell>
          <cell r="E105">
            <v>0.62311863999999995</v>
          </cell>
        </row>
        <row r="106">
          <cell r="A106">
            <v>97</v>
          </cell>
          <cell r="B106">
            <v>0.30513800000000002</v>
          </cell>
          <cell r="C106">
            <v>0.26713999999999999</v>
          </cell>
          <cell r="D106">
            <v>0.70772433999999995</v>
          </cell>
          <cell r="E106">
            <v>0.61577799</v>
          </cell>
        </row>
        <row r="107">
          <cell r="A107">
            <v>98</v>
          </cell>
          <cell r="B107">
            <v>0.326401</v>
          </cell>
          <cell r="C107">
            <v>0.29338900000000001</v>
          </cell>
          <cell r="D107">
            <v>0.70334735999999998</v>
          </cell>
          <cell r="E107">
            <v>0.60837695999999997</v>
          </cell>
        </row>
        <row r="108">
          <cell r="A108">
            <v>99</v>
          </cell>
          <cell r="B108">
            <v>0.36866500000000002</v>
          </cell>
          <cell r="C108">
            <v>0.31467800000000001</v>
          </cell>
          <cell r="D108">
            <v>0.69896955999999999</v>
          </cell>
          <cell r="E108">
            <v>0.60092374999999998</v>
          </cell>
        </row>
        <row r="109">
          <cell r="A109">
            <v>100</v>
          </cell>
          <cell r="B109">
            <v>0.38807000000000003</v>
          </cell>
          <cell r="C109">
            <v>0.35030600000000001</v>
          </cell>
          <cell r="D109">
            <v>0.69459409999999999</v>
          </cell>
          <cell r="E109">
            <v>0.59342735999999996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9FEBB-0330-5B4D-87DA-56A94B23326F}">
  <dimension ref="A1:G25"/>
  <sheetViews>
    <sheetView workbookViewId="0">
      <selection activeCell="J28" sqref="J28"/>
    </sheetView>
  </sheetViews>
  <sheetFormatPr baseColWidth="10" defaultRowHeight="16" x14ac:dyDescent="0.2"/>
  <cols>
    <col min="3" max="4" width="28.1640625" customWidth="1"/>
    <col min="5" max="5" width="31.5" customWidth="1"/>
    <col min="6" max="6" width="23.1640625" customWidth="1"/>
    <col min="7" max="7" width="21.6640625" customWidth="1"/>
  </cols>
  <sheetData>
    <row r="1" spans="1:7" x14ac:dyDescent="0.2">
      <c r="A1" t="s">
        <v>18</v>
      </c>
      <c r="B1" t="s">
        <v>6</v>
      </c>
      <c r="C1" t="s">
        <v>10</v>
      </c>
      <c r="E1" t="s">
        <v>11</v>
      </c>
      <c r="F1" t="s">
        <v>8</v>
      </c>
      <c r="G1" t="s">
        <v>9</v>
      </c>
    </row>
    <row r="2" spans="1:7" x14ac:dyDescent="0.2">
      <c r="A2" t="s">
        <v>19</v>
      </c>
      <c r="B2" t="s">
        <v>12</v>
      </c>
      <c r="C2" s="2">
        <v>4.4349020000000001</v>
      </c>
      <c r="D2" s="2">
        <v>0.77200000000000002</v>
      </c>
      <c r="E2">
        <v>26.24</v>
      </c>
      <c r="F2" s="2">
        <v>4.4349020000000001</v>
      </c>
      <c r="G2">
        <v>28.64</v>
      </c>
    </row>
    <row r="3" spans="1:7" x14ac:dyDescent="0.2">
      <c r="A3" t="s">
        <v>19</v>
      </c>
      <c r="B3" t="s">
        <v>13</v>
      </c>
      <c r="C3" s="2">
        <v>10.150356</v>
      </c>
      <c r="D3" s="2">
        <v>0.69</v>
      </c>
      <c r="E3">
        <v>21.42</v>
      </c>
      <c r="F3" s="2">
        <v>10.150356</v>
      </c>
      <c r="G3">
        <v>23.38</v>
      </c>
    </row>
    <row r="4" spans="1:7" x14ac:dyDescent="0.2">
      <c r="A4" t="s">
        <v>19</v>
      </c>
      <c r="B4" t="s">
        <v>14</v>
      </c>
      <c r="C4" s="2">
        <v>20.912485</v>
      </c>
      <c r="D4" s="2">
        <v>0.67400000000000004</v>
      </c>
      <c r="E4">
        <v>17.7</v>
      </c>
      <c r="F4" s="2">
        <v>20.912485</v>
      </c>
      <c r="G4">
        <v>19.41</v>
      </c>
    </row>
    <row r="5" spans="1:7" x14ac:dyDescent="0.2">
      <c r="A5" t="s">
        <v>19</v>
      </c>
      <c r="B5" t="s">
        <v>15</v>
      </c>
      <c r="C5" s="2">
        <v>35.535290000000003</v>
      </c>
      <c r="D5" s="2">
        <v>0.64300000000000002</v>
      </c>
      <c r="E5">
        <v>13.55</v>
      </c>
      <c r="F5" s="2">
        <v>35.535290000000003</v>
      </c>
      <c r="G5">
        <v>14.89</v>
      </c>
    </row>
    <row r="6" spans="1:7" x14ac:dyDescent="0.2">
      <c r="A6" t="s">
        <v>19</v>
      </c>
      <c r="B6" t="s">
        <v>16</v>
      </c>
      <c r="C6" s="2">
        <v>56.038108999999999</v>
      </c>
      <c r="D6" s="2">
        <v>0.54900000000000004</v>
      </c>
      <c r="E6">
        <v>10.08</v>
      </c>
      <c r="F6" s="2">
        <v>56.038108999999999</v>
      </c>
      <c r="G6">
        <v>11.06</v>
      </c>
    </row>
    <row r="7" spans="1:7" x14ac:dyDescent="0.2">
      <c r="A7" t="s">
        <v>19</v>
      </c>
      <c r="B7" t="s">
        <v>17</v>
      </c>
      <c r="C7" s="2">
        <v>71.974258000000006</v>
      </c>
      <c r="D7" s="2">
        <v>0.47899999999999998</v>
      </c>
      <c r="E7">
        <v>9.18</v>
      </c>
      <c r="F7" s="2">
        <v>71.974258000000006</v>
      </c>
      <c r="G7">
        <v>10.17</v>
      </c>
    </row>
    <row r="8" spans="1:7" x14ac:dyDescent="0.2">
      <c r="A8" t="s">
        <v>20</v>
      </c>
      <c r="B8" t="s">
        <v>12</v>
      </c>
      <c r="C8" s="2">
        <v>1.8562669999999999</v>
      </c>
      <c r="D8" s="2">
        <v>0.46899999999999997</v>
      </c>
      <c r="E8">
        <v>18.059999999999999</v>
      </c>
      <c r="F8" s="2">
        <v>1.8562669999999999</v>
      </c>
      <c r="G8">
        <v>20.43</v>
      </c>
    </row>
    <row r="9" spans="1:7" x14ac:dyDescent="0.2">
      <c r="A9" t="s">
        <v>20</v>
      </c>
      <c r="B9" t="s">
        <v>13</v>
      </c>
      <c r="C9" s="2">
        <v>4.5079370000000001</v>
      </c>
      <c r="D9" s="2">
        <v>0.52500000000000002</v>
      </c>
      <c r="E9">
        <v>14.47</v>
      </c>
      <c r="F9" s="2">
        <v>4.5079370000000001</v>
      </c>
      <c r="G9">
        <v>17</v>
      </c>
    </row>
    <row r="10" spans="1:7" x14ac:dyDescent="0.2">
      <c r="A10" t="s">
        <v>20</v>
      </c>
      <c r="B10" t="s">
        <v>14</v>
      </c>
      <c r="C10" s="2">
        <v>9.6236929999999994</v>
      </c>
      <c r="D10" s="2">
        <v>0.48399999999999999</v>
      </c>
      <c r="E10">
        <v>13.07</v>
      </c>
      <c r="F10" s="2">
        <v>9.6236929999999994</v>
      </c>
      <c r="G10">
        <v>13.39</v>
      </c>
    </row>
    <row r="11" spans="1:7" x14ac:dyDescent="0.2">
      <c r="A11" t="s">
        <v>20</v>
      </c>
      <c r="B11" t="s">
        <v>15</v>
      </c>
      <c r="C11" s="2">
        <v>15.235882999999999</v>
      </c>
      <c r="D11" s="2">
        <v>0.39</v>
      </c>
      <c r="E11">
        <v>9.01</v>
      </c>
      <c r="F11" s="2">
        <v>15.235882999999999</v>
      </c>
      <c r="G11">
        <v>9.86</v>
      </c>
    </row>
    <row r="12" spans="1:7" x14ac:dyDescent="0.2">
      <c r="A12" t="s">
        <v>20</v>
      </c>
      <c r="B12" t="s">
        <v>16</v>
      </c>
      <c r="C12" s="2">
        <v>23.261631000000001</v>
      </c>
      <c r="D12" s="2">
        <v>0.312</v>
      </c>
      <c r="E12">
        <v>7.18</v>
      </c>
      <c r="F12" s="2">
        <v>23.261631000000001</v>
      </c>
      <c r="G12">
        <v>7.61</v>
      </c>
    </row>
    <row r="13" spans="1:7" x14ac:dyDescent="0.2">
      <c r="A13" t="s">
        <v>20</v>
      </c>
      <c r="B13" t="s">
        <v>17</v>
      </c>
      <c r="C13" s="2">
        <v>30.003927000000001</v>
      </c>
      <c r="D13" s="2">
        <v>0.27</v>
      </c>
      <c r="E13">
        <v>7.25</v>
      </c>
      <c r="F13" s="2">
        <v>30.003927000000001</v>
      </c>
      <c r="G13">
        <v>8.2200000000000006</v>
      </c>
    </row>
    <row r="14" spans="1:7" x14ac:dyDescent="0.2">
      <c r="A14" t="s">
        <v>21</v>
      </c>
      <c r="B14" t="s">
        <v>12</v>
      </c>
      <c r="C14" s="2">
        <v>6.7158340000000001</v>
      </c>
      <c r="D14" s="2">
        <v>0.23499999999999999</v>
      </c>
      <c r="E14">
        <v>10.050000000000001</v>
      </c>
      <c r="F14" s="2">
        <v>6.7158340000000001</v>
      </c>
      <c r="G14">
        <v>10.83</v>
      </c>
    </row>
    <row r="15" spans="1:7" x14ac:dyDescent="0.2">
      <c r="A15" t="s">
        <v>21</v>
      </c>
      <c r="B15" t="s">
        <v>13</v>
      </c>
      <c r="C15" s="2">
        <v>14.493369</v>
      </c>
      <c r="D15" s="2">
        <v>0.18</v>
      </c>
      <c r="E15">
        <v>7.57</v>
      </c>
      <c r="F15" s="2">
        <v>14.493369</v>
      </c>
      <c r="G15">
        <v>8.2899999999999991</v>
      </c>
    </row>
    <row r="16" spans="1:7" x14ac:dyDescent="0.2">
      <c r="A16" t="s">
        <v>21</v>
      </c>
      <c r="B16" t="s">
        <v>14</v>
      </c>
      <c r="C16" s="2">
        <v>26.968920000000001</v>
      </c>
      <c r="D16" s="2">
        <v>0.17499999999999999</v>
      </c>
      <c r="E16">
        <v>6.48</v>
      </c>
      <c r="F16" s="2">
        <v>26.968920000000001</v>
      </c>
      <c r="G16">
        <v>6.97</v>
      </c>
    </row>
    <row r="17" spans="1:7" x14ac:dyDescent="0.2">
      <c r="A17" t="s">
        <v>21</v>
      </c>
      <c r="B17" t="s">
        <v>15</v>
      </c>
      <c r="C17" s="2">
        <v>41.374766999999999</v>
      </c>
      <c r="D17" s="2">
        <v>0.13800000000000001</v>
      </c>
      <c r="E17">
        <v>4.51</v>
      </c>
      <c r="F17" s="2">
        <v>41.374766999999999</v>
      </c>
      <c r="G17">
        <v>4.63</v>
      </c>
    </row>
    <row r="18" spans="1:7" x14ac:dyDescent="0.2">
      <c r="A18" t="s">
        <v>21</v>
      </c>
      <c r="B18" t="s">
        <v>16</v>
      </c>
      <c r="C18" s="2">
        <v>58.420326000000003</v>
      </c>
      <c r="D18" s="2">
        <v>0.112</v>
      </c>
      <c r="E18">
        <v>3.46</v>
      </c>
      <c r="F18" s="2">
        <v>58.420326000000003</v>
      </c>
      <c r="G18">
        <v>3.7</v>
      </c>
    </row>
    <row r="19" spans="1:7" x14ac:dyDescent="0.2">
      <c r="A19" t="s">
        <v>21</v>
      </c>
      <c r="B19" t="s">
        <v>17</v>
      </c>
      <c r="C19" s="2">
        <v>73.279182000000006</v>
      </c>
      <c r="D19" s="2">
        <v>9.6000000000000002E-2</v>
      </c>
      <c r="E19">
        <v>4.55</v>
      </c>
      <c r="F19" s="2">
        <v>73.279182000000006</v>
      </c>
      <c r="G19">
        <v>4.97</v>
      </c>
    </row>
    <row r="20" spans="1:7" x14ac:dyDescent="0.2">
      <c r="A20" t="s">
        <v>22</v>
      </c>
      <c r="B20" t="s">
        <v>12</v>
      </c>
      <c r="C20" s="2">
        <v>17.516331000000001</v>
      </c>
      <c r="D20" s="2">
        <v>5.5E-2</v>
      </c>
      <c r="E20">
        <v>3.06</v>
      </c>
      <c r="F20" s="2">
        <v>17.516331000000001</v>
      </c>
      <c r="G20">
        <v>2.87</v>
      </c>
    </row>
    <row r="21" spans="1:7" x14ac:dyDescent="0.2">
      <c r="A21" t="s">
        <v>22</v>
      </c>
      <c r="B21" t="s">
        <v>13</v>
      </c>
      <c r="C21" s="2">
        <v>35.513751999999997</v>
      </c>
      <c r="D21" s="2">
        <v>4.4999999999999998E-2</v>
      </c>
      <c r="E21">
        <v>2.2000000000000002</v>
      </c>
      <c r="F21" s="2">
        <v>35.513751999999997</v>
      </c>
      <c r="G21">
        <v>2.34</v>
      </c>
    </row>
    <row r="22" spans="1:7" x14ac:dyDescent="0.2">
      <c r="A22" t="s">
        <v>22</v>
      </c>
      <c r="B22" t="s">
        <v>14</v>
      </c>
      <c r="C22" s="2">
        <v>65.085517999999993</v>
      </c>
      <c r="D22" s="2">
        <v>3.5000000000000003E-2</v>
      </c>
      <c r="E22">
        <v>1.83</v>
      </c>
      <c r="F22" s="2">
        <v>65.085517999999993</v>
      </c>
      <c r="G22">
        <v>1.94</v>
      </c>
    </row>
    <row r="23" spans="1:7" x14ac:dyDescent="0.2">
      <c r="A23" t="s">
        <v>22</v>
      </c>
      <c r="B23" t="s">
        <v>15</v>
      </c>
      <c r="C23" s="2">
        <v>99.622283999999993</v>
      </c>
      <c r="D23" s="2">
        <v>2.7E-2</v>
      </c>
      <c r="E23">
        <v>1.39</v>
      </c>
      <c r="F23" s="2">
        <v>99.622283999999993</v>
      </c>
      <c r="G23">
        <v>1.51</v>
      </c>
    </row>
    <row r="24" spans="1:7" x14ac:dyDescent="0.2">
      <c r="A24" t="s">
        <v>22</v>
      </c>
      <c r="B24" t="s">
        <v>16</v>
      </c>
      <c r="C24" s="2">
        <v>138.44874999999999</v>
      </c>
      <c r="D24" s="2">
        <v>2.3E-2</v>
      </c>
      <c r="E24">
        <v>1.1399999999999999</v>
      </c>
      <c r="F24" s="2">
        <v>138.44874999999999</v>
      </c>
      <c r="G24">
        <v>1.28</v>
      </c>
    </row>
    <row r="25" spans="1:7" x14ac:dyDescent="0.2">
      <c r="A25" t="s">
        <v>22</v>
      </c>
      <c r="B25" t="s">
        <v>17</v>
      </c>
      <c r="C25" s="2">
        <v>169.87109000000001</v>
      </c>
      <c r="D25" s="2">
        <v>1.7999999999999999E-2</v>
      </c>
      <c r="E25">
        <v>4.12</v>
      </c>
      <c r="F25" s="2">
        <v>169.87109000000001</v>
      </c>
      <c r="G25">
        <v>4.46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84394-C0CE-6143-8481-1FB2C4D4CCF3}">
  <dimension ref="A1:G25"/>
  <sheetViews>
    <sheetView zoomScale="130" zoomScaleNormal="130" workbookViewId="0">
      <selection activeCell="G35" sqref="G35"/>
    </sheetView>
  </sheetViews>
  <sheetFormatPr baseColWidth="10" defaultRowHeight="16" x14ac:dyDescent="0.2"/>
  <cols>
    <col min="3" max="3" width="16.6640625" customWidth="1"/>
    <col min="4" max="4" width="11.33203125" customWidth="1"/>
    <col min="5" max="5" width="16" customWidth="1"/>
    <col min="6" max="6" width="13" customWidth="1"/>
    <col min="7" max="7" width="12.83203125" customWidth="1"/>
  </cols>
  <sheetData>
    <row r="1" spans="1:7" ht="54" customHeight="1" x14ac:dyDescent="0.2">
      <c r="A1" s="5" t="s">
        <v>18</v>
      </c>
      <c r="B1" s="5" t="s">
        <v>6</v>
      </c>
      <c r="C1" s="5" t="s">
        <v>7</v>
      </c>
      <c r="D1" s="5" t="s">
        <v>23</v>
      </c>
      <c r="E1" s="5" t="s">
        <v>11</v>
      </c>
      <c r="F1" s="5" t="s">
        <v>9</v>
      </c>
      <c r="G1" s="5" t="s">
        <v>24</v>
      </c>
    </row>
    <row r="2" spans="1:7" x14ac:dyDescent="0.2">
      <c r="A2" t="s">
        <v>19</v>
      </c>
      <c r="B2" t="s">
        <v>12</v>
      </c>
      <c r="C2">
        <v>4.4349020000000001</v>
      </c>
      <c r="D2">
        <v>0.77200000000000002</v>
      </c>
      <c r="E2">
        <v>26.24</v>
      </c>
      <c r="F2">
        <v>28.64</v>
      </c>
      <c r="G2">
        <f>SUM(E2*(1-0.53) + F2*0.53)</f>
        <v>27.512</v>
      </c>
    </row>
    <row r="3" spans="1:7" x14ac:dyDescent="0.2">
      <c r="A3" t="s">
        <v>19</v>
      </c>
      <c r="B3" t="s">
        <v>13</v>
      </c>
      <c r="C3">
        <v>10.150356</v>
      </c>
      <c r="D3">
        <v>0.69</v>
      </c>
      <c r="E3">
        <v>21.42</v>
      </c>
      <c r="F3">
        <v>23.38</v>
      </c>
      <c r="G3">
        <f>SUM(E3*(1-0.53) + F3*0.53)</f>
        <v>22.458800000000004</v>
      </c>
    </row>
    <row r="4" spans="1:7" x14ac:dyDescent="0.2">
      <c r="A4" t="s">
        <v>19</v>
      </c>
      <c r="B4" t="s">
        <v>14</v>
      </c>
      <c r="C4">
        <v>20.912485</v>
      </c>
      <c r="D4">
        <v>0.67400000000000004</v>
      </c>
      <c r="E4">
        <v>17.7</v>
      </c>
      <c r="F4">
        <v>19.41</v>
      </c>
      <c r="G4">
        <f>SUM(E4*(1-0.53) + F4*0.53)</f>
        <v>18.606299999999997</v>
      </c>
    </row>
    <row r="5" spans="1:7" x14ac:dyDescent="0.2">
      <c r="A5" t="s">
        <v>19</v>
      </c>
      <c r="B5" t="s">
        <v>15</v>
      </c>
      <c r="C5">
        <v>35.535290000000003</v>
      </c>
      <c r="D5">
        <v>0.64300000000000002</v>
      </c>
      <c r="E5">
        <v>13.55</v>
      </c>
      <c r="F5">
        <v>14.89</v>
      </c>
      <c r="G5">
        <f>SUM(E5*(1-0.53) + F5*0.53)</f>
        <v>14.260200000000001</v>
      </c>
    </row>
    <row r="6" spans="1:7" x14ac:dyDescent="0.2">
      <c r="A6" t="s">
        <v>19</v>
      </c>
      <c r="B6" t="s">
        <v>16</v>
      </c>
      <c r="C6">
        <v>56.038108999999999</v>
      </c>
      <c r="D6">
        <v>0.54900000000000004</v>
      </c>
      <c r="E6">
        <v>10.08</v>
      </c>
      <c r="F6">
        <v>11.06</v>
      </c>
      <c r="G6">
        <f>SUM(E6*(1-0.53) + F6*0.53)</f>
        <v>10.599399999999999</v>
      </c>
    </row>
    <row r="7" spans="1:7" x14ac:dyDescent="0.2">
      <c r="A7" s="4" t="s">
        <v>19</v>
      </c>
      <c r="B7" s="4" t="s">
        <v>17</v>
      </c>
      <c r="C7" s="4">
        <v>71.974258000000006</v>
      </c>
      <c r="D7" s="4">
        <v>0.47899999999999998</v>
      </c>
      <c r="E7" s="4">
        <v>9.18</v>
      </c>
      <c r="F7" s="4">
        <v>10.17</v>
      </c>
      <c r="G7">
        <f>SUM(E7*(1-0.53) + F7*0.53)</f>
        <v>9.704699999999999</v>
      </c>
    </row>
    <row r="8" spans="1:7" x14ac:dyDescent="0.2">
      <c r="A8" t="s">
        <v>20</v>
      </c>
      <c r="B8" t="s">
        <v>12</v>
      </c>
      <c r="C8">
        <v>1.8562669999999999</v>
      </c>
      <c r="D8">
        <v>0.46899999999999997</v>
      </c>
      <c r="E8">
        <v>18.059999999999999</v>
      </c>
      <c r="F8">
        <v>20.43</v>
      </c>
      <c r="G8">
        <f>SUM(E8*(1-0.53) + F8*0.53)</f>
        <v>19.316099999999999</v>
      </c>
    </row>
    <row r="9" spans="1:7" x14ac:dyDescent="0.2">
      <c r="A9" t="s">
        <v>20</v>
      </c>
      <c r="B9" t="s">
        <v>13</v>
      </c>
      <c r="C9">
        <v>4.5079370000000001</v>
      </c>
      <c r="D9">
        <v>0.52500000000000002</v>
      </c>
      <c r="E9">
        <v>14.47</v>
      </c>
      <c r="F9">
        <v>17</v>
      </c>
      <c r="G9">
        <f>SUM(E9*(1-0.53) + F9*0.53)</f>
        <v>15.8109</v>
      </c>
    </row>
    <row r="10" spans="1:7" x14ac:dyDescent="0.2">
      <c r="A10" t="s">
        <v>20</v>
      </c>
      <c r="B10" t="s">
        <v>14</v>
      </c>
      <c r="C10">
        <v>9.6236929999999994</v>
      </c>
      <c r="D10">
        <v>0.48399999999999999</v>
      </c>
      <c r="E10">
        <v>13.07</v>
      </c>
      <c r="F10">
        <v>13.39</v>
      </c>
      <c r="G10">
        <f>SUM(E10*(1-0.53) + F10*0.53)</f>
        <v>13.239599999999999</v>
      </c>
    </row>
    <row r="11" spans="1:7" x14ac:dyDescent="0.2">
      <c r="A11" t="s">
        <v>20</v>
      </c>
      <c r="B11" t="s">
        <v>15</v>
      </c>
      <c r="C11">
        <v>15.235882999999999</v>
      </c>
      <c r="D11">
        <v>0.39</v>
      </c>
      <c r="E11">
        <v>9.01</v>
      </c>
      <c r="F11">
        <v>9.86</v>
      </c>
      <c r="G11">
        <f>SUM(E11*(1-0.53) + F11*0.53)</f>
        <v>9.4604999999999997</v>
      </c>
    </row>
    <row r="12" spans="1:7" x14ac:dyDescent="0.2">
      <c r="A12" t="s">
        <v>20</v>
      </c>
      <c r="B12" t="s">
        <v>16</v>
      </c>
      <c r="C12">
        <v>23.261631000000001</v>
      </c>
      <c r="D12">
        <v>0.312</v>
      </c>
      <c r="E12">
        <v>7.18</v>
      </c>
      <c r="F12">
        <v>7.61</v>
      </c>
      <c r="G12">
        <f>SUM(E12*(1-0.53) + F12*0.53)</f>
        <v>7.4078999999999997</v>
      </c>
    </row>
    <row r="13" spans="1:7" x14ac:dyDescent="0.2">
      <c r="A13" s="4" t="s">
        <v>20</v>
      </c>
      <c r="B13" s="4" t="s">
        <v>17</v>
      </c>
      <c r="C13" s="4">
        <v>30.003927000000001</v>
      </c>
      <c r="D13" s="4">
        <v>0.27</v>
      </c>
      <c r="E13" s="4">
        <f>E12</f>
        <v>7.18</v>
      </c>
      <c r="F13" s="4">
        <f>F12</f>
        <v>7.61</v>
      </c>
      <c r="G13">
        <f>SUM(E13*(1-0.53) + F13*0.53)</f>
        <v>7.4078999999999997</v>
      </c>
    </row>
    <row r="14" spans="1:7" x14ac:dyDescent="0.2">
      <c r="A14" t="s">
        <v>21</v>
      </c>
      <c r="B14" t="s">
        <v>12</v>
      </c>
      <c r="C14">
        <v>6.7158340000000001</v>
      </c>
      <c r="D14">
        <v>0.23499999999999999</v>
      </c>
      <c r="E14">
        <v>10.050000000000001</v>
      </c>
      <c r="F14">
        <v>10.83</v>
      </c>
      <c r="G14">
        <f>SUM(E14*(1-0.53) + F14*0.53)</f>
        <v>10.4634</v>
      </c>
    </row>
    <row r="15" spans="1:7" x14ac:dyDescent="0.2">
      <c r="A15" t="s">
        <v>21</v>
      </c>
      <c r="B15" t="s">
        <v>13</v>
      </c>
      <c r="C15">
        <v>14.493369</v>
      </c>
      <c r="D15">
        <v>0.18</v>
      </c>
      <c r="E15">
        <v>7.57</v>
      </c>
      <c r="F15">
        <v>8.2899999999999991</v>
      </c>
      <c r="G15">
        <f>SUM(E15*(1-0.53) + F15*0.53)</f>
        <v>7.9516</v>
      </c>
    </row>
    <row r="16" spans="1:7" x14ac:dyDescent="0.2">
      <c r="A16" t="s">
        <v>21</v>
      </c>
      <c r="B16" t="s">
        <v>14</v>
      </c>
      <c r="C16">
        <v>26.968920000000001</v>
      </c>
      <c r="D16">
        <v>0.17499999999999999</v>
      </c>
      <c r="E16">
        <v>6.48</v>
      </c>
      <c r="F16">
        <v>6.97</v>
      </c>
      <c r="G16">
        <f>SUM(E16*(1-0.53) + F16*0.53)</f>
        <v>6.7397</v>
      </c>
    </row>
    <row r="17" spans="1:7" x14ac:dyDescent="0.2">
      <c r="A17" t="s">
        <v>21</v>
      </c>
      <c r="B17" t="s">
        <v>15</v>
      </c>
      <c r="C17">
        <v>41.374766999999999</v>
      </c>
      <c r="D17">
        <v>0.13800000000000001</v>
      </c>
      <c r="E17">
        <v>4.51</v>
      </c>
      <c r="F17">
        <v>4.63</v>
      </c>
      <c r="G17">
        <f t="shared" ref="G3:G25" si="0">SUM(E17*(1-0.53) + F17*0.53)</f>
        <v>4.5735999999999999</v>
      </c>
    </row>
    <row r="18" spans="1:7" x14ac:dyDescent="0.2">
      <c r="A18" t="s">
        <v>21</v>
      </c>
      <c r="B18" t="s">
        <v>16</v>
      </c>
      <c r="C18">
        <v>58.420326000000003</v>
      </c>
      <c r="D18">
        <v>0.112</v>
      </c>
      <c r="E18">
        <v>3.46</v>
      </c>
      <c r="F18">
        <v>3.7</v>
      </c>
      <c r="G18">
        <f t="shared" si="0"/>
        <v>3.5872000000000002</v>
      </c>
    </row>
    <row r="19" spans="1:7" x14ac:dyDescent="0.2">
      <c r="A19" s="4" t="s">
        <v>21</v>
      </c>
      <c r="B19" s="4" t="s">
        <v>17</v>
      </c>
      <c r="C19" s="4">
        <v>73.279182000000006</v>
      </c>
      <c r="D19" s="4">
        <v>9.6000000000000002E-2</v>
      </c>
      <c r="E19" s="4">
        <f>E18</f>
        <v>3.46</v>
      </c>
      <c r="F19" s="4">
        <f>F18</f>
        <v>3.7</v>
      </c>
      <c r="G19">
        <f>SUM(E19*(1-0.53) + F19*0.53)</f>
        <v>3.5872000000000002</v>
      </c>
    </row>
    <row r="20" spans="1:7" x14ac:dyDescent="0.2">
      <c r="A20" t="s">
        <v>22</v>
      </c>
      <c r="B20" t="s">
        <v>12</v>
      </c>
      <c r="C20">
        <v>17.516331000000001</v>
      </c>
      <c r="D20">
        <v>5.5E-2</v>
      </c>
      <c r="E20">
        <v>3.06</v>
      </c>
      <c r="F20">
        <v>2.87</v>
      </c>
      <c r="G20">
        <f>SUM(E20*(1-0.53) + F20*0.53)</f>
        <v>2.9592999999999998</v>
      </c>
    </row>
    <row r="21" spans="1:7" x14ac:dyDescent="0.2">
      <c r="A21" t="s">
        <v>22</v>
      </c>
      <c r="B21" t="s">
        <v>13</v>
      </c>
      <c r="C21">
        <v>35.513751999999997</v>
      </c>
      <c r="D21">
        <v>4.4999999999999998E-2</v>
      </c>
      <c r="E21">
        <v>2.2000000000000002</v>
      </c>
      <c r="F21">
        <v>2.34</v>
      </c>
      <c r="G21">
        <f>SUM(E21*(1-0.53) + F21*0.53)</f>
        <v>2.2742</v>
      </c>
    </row>
    <row r="22" spans="1:7" x14ac:dyDescent="0.2">
      <c r="A22" t="s">
        <v>22</v>
      </c>
      <c r="B22" t="s">
        <v>14</v>
      </c>
      <c r="C22">
        <v>65.085517999999993</v>
      </c>
      <c r="D22">
        <v>3.5000000000000003E-2</v>
      </c>
      <c r="E22">
        <v>1.83</v>
      </c>
      <c r="F22">
        <v>1.94</v>
      </c>
      <c r="G22">
        <f>SUM(E22*(1-0.53) + F22*0.53)</f>
        <v>1.8883000000000001</v>
      </c>
    </row>
    <row r="23" spans="1:7" x14ac:dyDescent="0.2">
      <c r="A23" t="s">
        <v>22</v>
      </c>
      <c r="B23" t="s">
        <v>15</v>
      </c>
      <c r="C23">
        <v>99.622283999999993</v>
      </c>
      <c r="D23">
        <v>2.7E-2</v>
      </c>
      <c r="E23">
        <v>1.39</v>
      </c>
      <c r="F23">
        <v>1.51</v>
      </c>
      <c r="G23">
        <f t="shared" si="0"/>
        <v>1.4535999999999998</v>
      </c>
    </row>
    <row r="24" spans="1:7" x14ac:dyDescent="0.2">
      <c r="A24" t="s">
        <v>22</v>
      </c>
      <c r="B24" t="s">
        <v>16</v>
      </c>
      <c r="C24">
        <v>138.44874999999999</v>
      </c>
      <c r="D24">
        <v>2.3E-2</v>
      </c>
      <c r="E24">
        <v>1.1399999999999999</v>
      </c>
      <c r="F24">
        <v>1.28</v>
      </c>
      <c r="G24">
        <f t="shared" si="0"/>
        <v>1.2141999999999999</v>
      </c>
    </row>
    <row r="25" spans="1:7" x14ac:dyDescent="0.2">
      <c r="A25" s="4" t="s">
        <v>22</v>
      </c>
      <c r="B25" s="4" t="s">
        <v>17</v>
      </c>
      <c r="C25" s="4">
        <v>169.87109000000001</v>
      </c>
      <c r="D25" s="4">
        <v>1.7999999999999999E-2</v>
      </c>
      <c r="E25" s="4">
        <f>E24</f>
        <v>1.1399999999999999</v>
      </c>
      <c r="F25" s="4">
        <f>F24</f>
        <v>1.28</v>
      </c>
      <c r="G25">
        <f t="shared" si="0"/>
        <v>1.2141999999999999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4B9A8-B593-1047-A2ED-8087DB1ED824}">
  <dimension ref="A1:AB110"/>
  <sheetViews>
    <sheetView tabSelected="1" topLeftCell="F1" zoomScale="110" zoomScaleNormal="110" workbookViewId="0">
      <selection activeCell="P3" sqref="P3"/>
    </sheetView>
  </sheetViews>
  <sheetFormatPr baseColWidth="10" defaultColWidth="8.83203125" defaultRowHeight="15" x14ac:dyDescent="0.2"/>
  <cols>
    <col min="1" max="1" width="18.1640625" style="20" customWidth="1"/>
    <col min="2" max="3" width="8.83203125" style="20"/>
    <col min="4" max="4" width="15.83203125" style="20" bestFit="1" customWidth="1"/>
    <col min="5" max="15" width="8.83203125" style="20"/>
    <col min="16" max="16" width="12" style="20" customWidth="1"/>
    <col min="17" max="17" width="11.83203125" style="20" bestFit="1" customWidth="1"/>
    <col min="18" max="23" width="8.83203125" style="20"/>
    <col min="24" max="24" width="2.5" style="21" customWidth="1"/>
    <col min="25" max="25" width="16" style="20" bestFit="1" customWidth="1"/>
    <col min="26" max="16384" width="8.83203125" style="20"/>
  </cols>
  <sheetData>
    <row r="1" spans="1:28" ht="20" thickBot="1" x14ac:dyDescent="0.3">
      <c r="A1" s="69" t="s">
        <v>91</v>
      </c>
      <c r="N1" s="38" t="s">
        <v>90</v>
      </c>
      <c r="Y1" s="38" t="s">
        <v>88</v>
      </c>
    </row>
    <row r="2" spans="1:28" ht="16" thickTop="1" x14ac:dyDescent="0.2">
      <c r="A2" s="68" t="s">
        <v>89</v>
      </c>
      <c r="B2" s="67"/>
      <c r="C2" s="67"/>
      <c r="D2" s="67"/>
      <c r="E2" s="66"/>
      <c r="J2" s="37" t="s">
        <v>88</v>
      </c>
      <c r="K2" s="65"/>
      <c r="Y2" s="38"/>
      <c r="Z2" s="38" t="s">
        <v>57</v>
      </c>
      <c r="AA2" s="38" t="s">
        <v>56</v>
      </c>
      <c r="AB2" s="38" t="s">
        <v>87</v>
      </c>
    </row>
    <row r="3" spans="1:28" x14ac:dyDescent="0.2">
      <c r="A3" s="64" t="s">
        <v>86</v>
      </c>
      <c r="B3" s="48">
        <v>3.5000000000000003E-2</v>
      </c>
      <c r="C3" s="48"/>
      <c r="D3" s="49" t="s">
        <v>85</v>
      </c>
      <c r="E3" s="63">
        <v>1</v>
      </c>
      <c r="F3" s="48" t="s">
        <v>84</v>
      </c>
      <c r="G3" s="48"/>
      <c r="H3" s="48"/>
      <c r="I3" s="48"/>
      <c r="J3" s="62" t="s">
        <v>49</v>
      </c>
      <c r="K3" s="61">
        <f>Z9</f>
        <v>-3.913362638309267</v>
      </c>
      <c r="Y3" s="38" t="s">
        <v>83</v>
      </c>
      <c r="Z3" s="20">
        <f>SUMIF(P9:P109,"&lt;&gt;#N/A")</f>
        <v>9.0301057007384316</v>
      </c>
      <c r="AA3" s="20">
        <f>SUMIF(Q9:Q109,"&lt;&gt;#N/A")</f>
        <v>10.319695006126206</v>
      </c>
      <c r="AB3" s="20">
        <f>(Z3*(1-Female))+(AA3*Female)</f>
        <v>9.7135880325939521</v>
      </c>
    </row>
    <row r="4" spans="1:28" ht="16" thickBot="1" x14ac:dyDescent="0.25">
      <c r="A4" s="60" t="s">
        <v>82</v>
      </c>
      <c r="B4" s="20">
        <v>0.53</v>
      </c>
      <c r="D4" s="38" t="s">
        <v>81</v>
      </c>
      <c r="E4" s="59">
        <v>6.03</v>
      </c>
      <c r="J4" s="35" t="s">
        <v>47</v>
      </c>
      <c r="K4" s="58">
        <f>Z10</f>
        <v>-1.8488583397126377</v>
      </c>
      <c r="Y4" s="38" t="s">
        <v>80</v>
      </c>
      <c r="Z4" s="20">
        <f>SUMIF(R9:R109,"&lt;&gt;#N/A")</f>
        <v>9.0241602070232236</v>
      </c>
      <c r="AA4" s="20">
        <f>SUMIF(S9:S109,"&lt;&gt;#N/A")</f>
        <v>10.306913200546571</v>
      </c>
      <c r="AB4" s="20">
        <f>(Z4*(1-Female))+(AA4*Female)</f>
        <v>9.7040192935905978</v>
      </c>
    </row>
    <row r="5" spans="1:28" ht="17" thickTop="1" thickBot="1" x14ac:dyDescent="0.25">
      <c r="A5" s="57" t="s">
        <v>79</v>
      </c>
      <c r="B5" s="56">
        <v>50</v>
      </c>
      <c r="C5" s="56"/>
      <c r="D5" s="56"/>
      <c r="E5" s="55"/>
      <c r="F5" s="30"/>
      <c r="G5" s="30"/>
      <c r="H5" s="30"/>
      <c r="I5" s="54"/>
      <c r="J5" s="38"/>
      <c r="Y5" s="38" t="s">
        <v>78</v>
      </c>
      <c r="Z5" s="20">
        <f>SUMIF(T9:T109,"&lt;&gt;#N/A")</f>
        <v>6.8492554311759211</v>
      </c>
      <c r="AA5" s="20">
        <f>SUMIF(U9:U109,"&lt;&gt;#N/A")</f>
        <v>7.1476380066554679</v>
      </c>
      <c r="AB5" s="20">
        <f>(Z5*(1-Female))+(AA5*Female)</f>
        <v>7.0073981961800804</v>
      </c>
    </row>
    <row r="6" spans="1:28" ht="43.5" customHeight="1" thickTop="1" thickBot="1" x14ac:dyDescent="0.3">
      <c r="A6" s="53" t="s">
        <v>77</v>
      </c>
      <c r="B6" s="52"/>
      <c r="C6" s="52"/>
      <c r="D6" s="52"/>
      <c r="E6" s="52"/>
      <c r="F6" s="52"/>
      <c r="G6" s="52"/>
      <c r="H6" s="52"/>
      <c r="I6" s="51"/>
      <c r="J6" s="50" t="s">
        <v>76</v>
      </c>
      <c r="K6" s="49"/>
      <c r="L6" s="48"/>
      <c r="M6" s="47"/>
      <c r="Y6" s="38" t="s">
        <v>75</v>
      </c>
      <c r="Z6" s="20">
        <f>SUMIF(V9:V109,"&lt;&gt;#N/A")</f>
        <v>2.0864110069919377</v>
      </c>
      <c r="AA6" s="20">
        <f>SUMIF(W9:W109,"&lt;&gt;#N/A")</f>
        <v>2.1434418649141929</v>
      </c>
      <c r="AB6" s="70">
        <f>(Z6*(1-Female))+(AA6*Female)</f>
        <v>2.1166373616907332</v>
      </c>
    </row>
    <row r="7" spans="1:28" ht="30" customHeight="1" x14ac:dyDescent="0.2">
      <c r="B7" s="20" t="s">
        <v>73</v>
      </c>
      <c r="C7" s="20" t="s">
        <v>64</v>
      </c>
      <c r="D7" s="20" t="s">
        <v>74</v>
      </c>
      <c r="F7" s="20" t="s">
        <v>73</v>
      </c>
      <c r="G7" s="20" t="s">
        <v>64</v>
      </c>
      <c r="H7" s="20" t="s">
        <v>72</v>
      </c>
      <c r="J7" s="33"/>
      <c r="M7" s="39"/>
      <c r="P7" s="46" t="s">
        <v>71</v>
      </c>
      <c r="Q7" s="46"/>
      <c r="R7" s="45" t="s">
        <v>70</v>
      </c>
      <c r="S7" s="45"/>
      <c r="T7" s="38" t="s">
        <v>69</v>
      </c>
      <c r="V7" s="38" t="s">
        <v>68</v>
      </c>
      <c r="Y7" s="38" t="s">
        <v>67</v>
      </c>
      <c r="Z7" s="44">
        <f>SUM(P9:P47)</f>
        <v>6.8741617733435225</v>
      </c>
      <c r="AA7" s="44">
        <f>SUM(Q9:Q47)</f>
        <v>7.3537686259891695</v>
      </c>
      <c r="AB7" s="20">
        <f>Z7*(1-Female)+AA7*Female</f>
        <v>7.1283534052457149</v>
      </c>
    </row>
    <row r="8" spans="1:28" ht="16" thickBot="1" x14ac:dyDescent="0.25">
      <c r="A8" s="43" t="s">
        <v>66</v>
      </c>
      <c r="B8" s="42" t="s">
        <v>65</v>
      </c>
      <c r="C8" s="41" t="s">
        <v>65</v>
      </c>
      <c r="D8" s="40" t="s">
        <v>61</v>
      </c>
      <c r="E8" s="40" t="s">
        <v>64</v>
      </c>
      <c r="F8" s="38" t="s">
        <v>63</v>
      </c>
      <c r="G8" s="20" t="s">
        <v>62</v>
      </c>
      <c r="H8" s="40" t="s">
        <v>61</v>
      </c>
      <c r="I8" s="40" t="s">
        <v>60</v>
      </c>
      <c r="J8" s="33" t="s">
        <v>59</v>
      </c>
      <c r="K8" s="20" t="s">
        <v>58</v>
      </c>
      <c r="L8" s="20" t="s">
        <v>57</v>
      </c>
      <c r="M8" s="39" t="s">
        <v>56</v>
      </c>
      <c r="N8" s="20" t="s">
        <v>55</v>
      </c>
      <c r="O8" s="20" t="s">
        <v>2</v>
      </c>
      <c r="P8" s="20" t="s">
        <v>54</v>
      </c>
      <c r="Q8" s="20" t="s">
        <v>53</v>
      </c>
      <c r="R8" s="20" t="s">
        <v>52</v>
      </c>
      <c r="S8" s="20" t="s">
        <v>51</v>
      </c>
      <c r="T8" s="20" t="s">
        <v>52</v>
      </c>
      <c r="U8" s="20" t="s">
        <v>51</v>
      </c>
      <c r="V8" s="20" t="s">
        <v>52</v>
      </c>
      <c r="W8" s="20" t="s">
        <v>51</v>
      </c>
      <c r="Y8" s="38"/>
    </row>
    <row r="9" spans="1:28" ht="16" thickTop="1" x14ac:dyDescent="0.2">
      <c r="A9" s="25">
        <v>0</v>
      </c>
      <c r="B9" s="27">
        <v>4.3119999999999999E-3</v>
      </c>
      <c r="C9" s="23">
        <v>3.5760000000000002E-3</v>
      </c>
      <c r="D9" s="23">
        <f>IF(util=1,F9,IF(util=2,H9,"err"))</f>
        <v>0.94464086000000003</v>
      </c>
      <c r="E9" s="23">
        <f>IF(util=1,G9,IF(util=2,I9,"err"))</f>
        <v>0.91032568000000003</v>
      </c>
      <c r="F9" s="20">
        <v>0.94464086000000003</v>
      </c>
      <c r="G9" s="20">
        <v>0.91032568000000003</v>
      </c>
      <c r="H9" s="22">
        <f>VLOOKUP($A9,$K$9:$M$26,2)</f>
        <v>0.91600000000000004</v>
      </c>
      <c r="I9" s="22">
        <f>VLOOKUP($A9,$K$9:$M$26,3)</f>
        <v>0.88100000000000001</v>
      </c>
      <c r="J9" s="33" t="s">
        <v>50</v>
      </c>
      <c r="K9" s="20">
        <v>0</v>
      </c>
      <c r="L9" s="22">
        <f>L10</f>
        <v>0.91600000000000004</v>
      </c>
      <c r="M9" s="32">
        <f>M10</f>
        <v>0.88100000000000001</v>
      </c>
      <c r="N9" s="25">
        <v>0</v>
      </c>
      <c r="O9" s="20">
        <f>Age+N9</f>
        <v>50</v>
      </c>
      <c r="P9" s="24">
        <v>0</v>
      </c>
      <c r="Q9" s="24">
        <v>0</v>
      </c>
      <c r="R9" s="20">
        <f>(P9+P10)/2</f>
        <v>0</v>
      </c>
      <c r="S9" s="20">
        <f>(Q9+Q10)/2</f>
        <v>0</v>
      </c>
      <c r="T9" s="20">
        <f>R9*VLOOKUP(O9,lifetable,4,FALSE)</f>
        <v>0</v>
      </c>
      <c r="U9" s="20">
        <f>S9*VLOOKUP(O9,lifetable,5,FALSE)</f>
        <v>0</v>
      </c>
      <c r="V9" s="20">
        <f>T9/(1+Disc)^N9</f>
        <v>0</v>
      </c>
      <c r="W9" s="20">
        <f>U9/(1+Disc)^N9</f>
        <v>0</v>
      </c>
      <c r="Y9" s="37" t="s">
        <v>49</v>
      </c>
      <c r="Z9" s="36">
        <f>AB6-E4</f>
        <v>-3.913362638309267</v>
      </c>
    </row>
    <row r="10" spans="1:28" ht="16" thickBot="1" x14ac:dyDescent="0.25">
      <c r="A10" s="25">
        <v>1</v>
      </c>
      <c r="B10" s="27">
        <v>2.42E-4</v>
      </c>
      <c r="C10" s="23">
        <v>2.13E-4</v>
      </c>
      <c r="D10" s="23">
        <f>IF(util=1,F10,IF(util=2,H10,"err"))</f>
        <v>0.94464086000000003</v>
      </c>
      <c r="E10" s="23">
        <f>IF(util=1,G10,IF(util=2,I10,"err"))</f>
        <v>0.91032568000000003</v>
      </c>
      <c r="F10" s="20">
        <v>0.94464086000000003</v>
      </c>
      <c r="G10" s="20">
        <v>0.91032568000000003</v>
      </c>
      <c r="H10" s="22">
        <f>VLOOKUP($A10,$K$9:$M$26,2)</f>
        <v>0.91600000000000004</v>
      </c>
      <c r="I10" s="22">
        <f>VLOOKUP($A10,$K$9:$M$26,3)</f>
        <v>0.88100000000000001</v>
      </c>
      <c r="J10" s="33" t="s">
        <v>48</v>
      </c>
      <c r="K10" s="20">
        <v>16</v>
      </c>
      <c r="L10" s="22">
        <v>0.91600000000000004</v>
      </c>
      <c r="M10" s="32">
        <v>0.88100000000000001</v>
      </c>
      <c r="N10" s="25">
        <v>1</v>
      </c>
      <c r="O10" s="20">
        <f>Age+N10</f>
        <v>51</v>
      </c>
      <c r="P10" s="24">
        <v>0</v>
      </c>
      <c r="Q10" s="24">
        <v>0</v>
      </c>
      <c r="R10" s="20">
        <f>(P10+P11)/2</f>
        <v>0</v>
      </c>
      <c r="S10" s="20">
        <f>(Q10+Q11)/2</f>
        <v>0</v>
      </c>
      <c r="T10" s="20">
        <f>R10*VLOOKUP(O10,lifetable,4,FALSE)</f>
        <v>0</v>
      </c>
      <c r="U10" s="20">
        <f>S10*VLOOKUP(O10,lifetable,5,FALSE)</f>
        <v>0</v>
      </c>
      <c r="V10" s="20">
        <f>T10/(1+Disc)^N10</f>
        <v>0</v>
      </c>
      <c r="W10" s="20">
        <f>U10/(1+Disc)^N10</f>
        <v>0</v>
      </c>
      <c r="Y10" s="35" t="s">
        <v>47</v>
      </c>
      <c r="Z10" s="34">
        <f>Z9/AB6</f>
        <v>-1.8488583397126377</v>
      </c>
    </row>
    <row r="11" spans="1:28" ht="16" thickTop="1" x14ac:dyDescent="0.2">
      <c r="A11" s="25">
        <v>2</v>
      </c>
      <c r="B11" s="27">
        <v>1.3200000000000001E-4</v>
      </c>
      <c r="C11" s="23">
        <v>1.25E-4</v>
      </c>
      <c r="D11" s="23">
        <f>IF(util=1,F11,IF(util=2,H11,"err"))</f>
        <v>0.94464086000000003</v>
      </c>
      <c r="E11" s="23">
        <f>IF(util=1,G11,IF(util=2,I11,"err"))</f>
        <v>0.91032568000000003</v>
      </c>
      <c r="F11" s="20">
        <v>0.94464086000000003</v>
      </c>
      <c r="G11" s="20">
        <v>0.91032568000000003</v>
      </c>
      <c r="H11" s="22">
        <f>VLOOKUP($A11,$K$9:$M$26,2)</f>
        <v>0.91600000000000004</v>
      </c>
      <c r="I11" s="22">
        <f>VLOOKUP($A11,$K$9:$M$26,3)</f>
        <v>0.88100000000000001</v>
      </c>
      <c r="J11" s="33" t="s">
        <v>46</v>
      </c>
      <c r="K11" s="20">
        <v>18</v>
      </c>
      <c r="L11" s="22">
        <v>0.93300000000000005</v>
      </c>
      <c r="M11" s="32">
        <v>0.86399999999999999</v>
      </c>
      <c r="N11" s="25">
        <v>2</v>
      </c>
      <c r="O11" s="20">
        <f>Age+N11</f>
        <v>52</v>
      </c>
      <c r="P11" s="24">
        <v>0</v>
      </c>
      <c r="Q11" s="24">
        <v>0</v>
      </c>
      <c r="R11" s="20">
        <f>(P11+P12)/2</f>
        <v>0</v>
      </c>
      <c r="S11" s="20">
        <f>(Q11+Q12)/2</f>
        <v>0</v>
      </c>
      <c r="T11" s="20">
        <f>R11*VLOOKUP(O11,lifetable,4,FALSE)</f>
        <v>0</v>
      </c>
      <c r="U11" s="20">
        <f>S11*VLOOKUP(O11,lifetable,5,FALSE)</f>
        <v>0</v>
      </c>
      <c r="V11" s="20">
        <f>T11/(1+Disc)^N11</f>
        <v>0</v>
      </c>
      <c r="W11" s="20">
        <f>U11/(1+Disc)^N11</f>
        <v>0</v>
      </c>
    </row>
    <row r="12" spans="1:28" x14ac:dyDescent="0.2">
      <c r="A12" s="25">
        <v>3</v>
      </c>
      <c r="B12" s="27">
        <v>1.02E-4</v>
      </c>
      <c r="C12" s="23">
        <v>9.7999999999999997E-5</v>
      </c>
      <c r="D12" s="23">
        <f>IF(util=1,F12,IF(util=2,H12,"err"))</f>
        <v>0.94464086000000003</v>
      </c>
      <c r="E12" s="23">
        <f>IF(util=1,G12,IF(util=2,I12,"err"))</f>
        <v>0.91032568000000003</v>
      </c>
      <c r="F12" s="20">
        <v>0.94464086000000003</v>
      </c>
      <c r="G12" s="20">
        <v>0.91032568000000003</v>
      </c>
      <c r="H12" s="22">
        <f>VLOOKUP($A12,$K$9:$M$26,2)</f>
        <v>0.91600000000000004</v>
      </c>
      <c r="I12" s="22">
        <f>VLOOKUP($A12,$K$9:$M$26,3)</f>
        <v>0.88100000000000001</v>
      </c>
      <c r="J12" s="33" t="s">
        <v>45</v>
      </c>
      <c r="K12" s="20">
        <v>20</v>
      </c>
      <c r="L12" s="22">
        <v>0.89500000000000002</v>
      </c>
      <c r="M12" s="32">
        <v>0.86599999999999999</v>
      </c>
      <c r="N12" s="25">
        <v>3</v>
      </c>
      <c r="O12" s="20">
        <f>Age+N12</f>
        <v>53</v>
      </c>
      <c r="P12" s="24">
        <v>0</v>
      </c>
      <c r="Q12" s="24">
        <v>0</v>
      </c>
      <c r="R12" s="20">
        <f>(P12+P13)/2</f>
        <v>0</v>
      </c>
      <c r="S12" s="20">
        <f>(Q12+Q13)/2</f>
        <v>0</v>
      </c>
      <c r="T12" s="20">
        <f>R12*VLOOKUP(O12,lifetable,4,FALSE)</f>
        <v>0</v>
      </c>
      <c r="U12" s="20">
        <f>S12*VLOOKUP(O12,lifetable,5,FALSE)</f>
        <v>0</v>
      </c>
      <c r="V12" s="20">
        <f>T12/(1+Disc)^N12</f>
        <v>0</v>
      </c>
      <c r="W12" s="20">
        <f>U12/(1+Disc)^N12</f>
        <v>0</v>
      </c>
    </row>
    <row r="13" spans="1:28" x14ac:dyDescent="0.2">
      <c r="A13" s="25">
        <v>4</v>
      </c>
      <c r="B13" s="27">
        <v>9.3999999999999994E-5</v>
      </c>
      <c r="C13" s="23">
        <v>6.3999999999999997E-5</v>
      </c>
      <c r="D13" s="23">
        <f>IF(util=1,F13,IF(util=2,H13,"err"))</f>
        <v>0.94464086000000003</v>
      </c>
      <c r="E13" s="23">
        <f>IF(util=1,G13,IF(util=2,I13,"err"))</f>
        <v>0.91032568000000003</v>
      </c>
      <c r="F13" s="20">
        <v>0.94464086000000003</v>
      </c>
      <c r="G13" s="20">
        <v>0.91032568000000003</v>
      </c>
      <c r="H13" s="22">
        <f>VLOOKUP($A13,$K$9:$M$26,2)</f>
        <v>0.91600000000000004</v>
      </c>
      <c r="I13" s="22">
        <f>VLOOKUP($A13,$K$9:$M$26,3)</f>
        <v>0.88100000000000001</v>
      </c>
      <c r="J13" s="33" t="s">
        <v>44</v>
      </c>
      <c r="K13" s="20">
        <v>25</v>
      </c>
      <c r="L13" s="22">
        <v>0.89500000000000002</v>
      </c>
      <c r="M13" s="32">
        <v>0.873</v>
      </c>
      <c r="N13" s="25">
        <v>4</v>
      </c>
      <c r="O13" s="20">
        <f>Age+N13</f>
        <v>54</v>
      </c>
      <c r="P13" s="24">
        <v>0</v>
      </c>
      <c r="Q13" s="24">
        <v>0</v>
      </c>
      <c r="R13" s="20">
        <f>(P13+P14)/2</f>
        <v>0</v>
      </c>
      <c r="S13" s="20">
        <f>(Q13+Q14)/2</f>
        <v>0</v>
      </c>
      <c r="T13" s="20">
        <f>R13*VLOOKUP(O13,lifetable,4,FALSE)</f>
        <v>0</v>
      </c>
      <c r="U13" s="20">
        <f>S13*VLOOKUP(O13,lifetable,5,FALSE)</f>
        <v>0</v>
      </c>
      <c r="V13" s="20">
        <f>T13/(1+Disc)^N13</f>
        <v>0</v>
      </c>
      <c r="W13" s="20">
        <f>U13/(1+Disc)^N13</f>
        <v>0</v>
      </c>
    </row>
    <row r="14" spans="1:28" x14ac:dyDescent="0.2">
      <c r="A14" s="25">
        <v>5</v>
      </c>
      <c r="B14" s="27">
        <v>8.8999999999999995E-5</v>
      </c>
      <c r="C14" s="23">
        <v>8.5000000000000006E-5</v>
      </c>
      <c r="D14" s="23">
        <f>IF(util=1,F14,IF(util=2,H14,"err"))</f>
        <v>0.94464086000000003</v>
      </c>
      <c r="E14" s="23">
        <f>IF(util=1,G14,IF(util=2,I14,"err"))</f>
        <v>0.91032568000000003</v>
      </c>
      <c r="F14" s="20">
        <v>0.94464086000000003</v>
      </c>
      <c r="G14" s="20">
        <v>0.91032568000000003</v>
      </c>
      <c r="H14" s="22">
        <f>VLOOKUP($A14,$K$9:$M$26,2)</f>
        <v>0.91600000000000004</v>
      </c>
      <c r="I14" s="22">
        <f>VLOOKUP($A14,$K$9:$M$26,3)</f>
        <v>0.88100000000000001</v>
      </c>
      <c r="J14" s="33" t="s">
        <v>43</v>
      </c>
      <c r="K14" s="20">
        <v>30</v>
      </c>
      <c r="L14" s="22">
        <v>0.91600000000000004</v>
      </c>
      <c r="M14" s="32">
        <v>0.87</v>
      </c>
      <c r="N14" s="25">
        <v>5</v>
      </c>
      <c r="O14" s="20">
        <f>Age+N14</f>
        <v>55</v>
      </c>
      <c r="P14" s="24">
        <v>0</v>
      </c>
      <c r="Q14" s="24">
        <v>0</v>
      </c>
      <c r="R14" s="20">
        <f>(P14+P15)/2</f>
        <v>0</v>
      </c>
      <c r="S14" s="20">
        <f>(Q14+Q15)/2</f>
        <v>0</v>
      </c>
      <c r="T14" s="20">
        <f>R14*VLOOKUP(O14,lifetable,4,FALSE)</f>
        <v>0</v>
      </c>
      <c r="U14" s="20">
        <f>S14*VLOOKUP(O14,lifetable,5,FALSE)</f>
        <v>0</v>
      </c>
      <c r="V14" s="20">
        <f>T14/(1+Disc)^N14</f>
        <v>0</v>
      </c>
      <c r="W14" s="20">
        <f>U14/(1+Disc)^N14</f>
        <v>0</v>
      </c>
    </row>
    <row r="15" spans="1:28" x14ac:dyDescent="0.2">
      <c r="A15" s="25">
        <v>6</v>
      </c>
      <c r="B15" s="27">
        <v>8.2999999999999998E-5</v>
      </c>
      <c r="C15" s="23">
        <v>7.8999999999999996E-5</v>
      </c>
      <c r="D15" s="23">
        <f>IF(util=1,F15,IF(util=2,H15,"err"))</f>
        <v>0.94464086000000003</v>
      </c>
      <c r="E15" s="23">
        <f>IF(util=1,G15,IF(util=2,I15,"err"))</f>
        <v>0.91032568000000003</v>
      </c>
      <c r="F15" s="20">
        <v>0.94464086000000003</v>
      </c>
      <c r="G15" s="20">
        <v>0.91032568000000003</v>
      </c>
      <c r="H15" s="22">
        <f>VLOOKUP($A15,$K$9:$M$26,2)</f>
        <v>0.91600000000000004</v>
      </c>
      <c r="I15" s="22">
        <f>VLOOKUP($A15,$K$9:$M$26,3)</f>
        <v>0.88100000000000001</v>
      </c>
      <c r="J15" s="33" t="s">
        <v>42</v>
      </c>
      <c r="K15" s="20">
        <v>35</v>
      </c>
      <c r="L15" s="22">
        <v>0.86199999999999999</v>
      </c>
      <c r="M15" s="32">
        <v>0.85699999999999998</v>
      </c>
      <c r="N15" s="25">
        <v>6</v>
      </c>
      <c r="O15" s="20">
        <f>Age+N15</f>
        <v>56</v>
      </c>
      <c r="P15" s="24">
        <v>0</v>
      </c>
      <c r="Q15" s="24">
        <v>0</v>
      </c>
      <c r="R15" s="20">
        <f>(P15+P16)/2</f>
        <v>0</v>
      </c>
      <c r="S15" s="20">
        <f>(Q15+Q16)/2</f>
        <v>0</v>
      </c>
      <c r="T15" s="20">
        <f>R15*VLOOKUP(O15,lifetable,4,FALSE)</f>
        <v>0</v>
      </c>
      <c r="U15" s="20">
        <f>S15*VLOOKUP(O15,lifetable,5,FALSE)</f>
        <v>0</v>
      </c>
      <c r="V15" s="20">
        <f>T15/(1+Disc)^N15</f>
        <v>0</v>
      </c>
      <c r="W15" s="20">
        <f>U15/(1+Disc)^N15</f>
        <v>0</v>
      </c>
    </row>
    <row r="16" spans="1:28" x14ac:dyDescent="0.2">
      <c r="A16" s="25">
        <v>7</v>
      </c>
      <c r="B16" s="27">
        <v>7.2999999999999999E-5</v>
      </c>
      <c r="C16" s="23">
        <v>6.0999999999999999E-5</v>
      </c>
      <c r="D16" s="23">
        <f>IF(util=1,F16,IF(util=2,H16,"err"))</f>
        <v>0.94464086000000003</v>
      </c>
      <c r="E16" s="23">
        <f>IF(util=1,G16,IF(util=2,I16,"err"))</f>
        <v>0.91032568000000003</v>
      </c>
      <c r="F16" s="20">
        <v>0.94464086000000003</v>
      </c>
      <c r="G16" s="20">
        <v>0.91032568000000003</v>
      </c>
      <c r="H16" s="22">
        <f>VLOOKUP($A16,$K$9:$M$26,2)</f>
        <v>0.91600000000000004</v>
      </c>
      <c r="I16" s="22">
        <f>VLOOKUP($A16,$K$9:$M$26,3)</f>
        <v>0.88100000000000001</v>
      </c>
      <c r="J16" s="33" t="s">
        <v>41</v>
      </c>
      <c r="K16" s="20">
        <v>40</v>
      </c>
      <c r="L16" s="22">
        <v>0.87</v>
      </c>
      <c r="M16" s="32">
        <v>0.85</v>
      </c>
      <c r="N16" s="25">
        <v>7</v>
      </c>
      <c r="O16" s="20">
        <f>Age+N16</f>
        <v>57</v>
      </c>
      <c r="P16" s="24">
        <v>0</v>
      </c>
      <c r="Q16" s="24">
        <v>0</v>
      </c>
      <c r="R16" s="20">
        <f>(P16+P17)/2</f>
        <v>0</v>
      </c>
      <c r="S16" s="20">
        <f>(Q16+Q17)/2</f>
        <v>0</v>
      </c>
      <c r="T16" s="20">
        <f>R16*VLOOKUP(O16,lifetable,4,FALSE)</f>
        <v>0</v>
      </c>
      <c r="U16" s="20">
        <f>S16*VLOOKUP(O16,lifetable,5,FALSE)</f>
        <v>0</v>
      </c>
      <c r="V16" s="20">
        <f>T16/(1+Disc)^N16</f>
        <v>0</v>
      </c>
      <c r="W16" s="20">
        <f>U16/(1+Disc)^N16</f>
        <v>0</v>
      </c>
    </row>
    <row r="17" spans="1:23" s="21" customFormat="1" x14ac:dyDescent="0.2">
      <c r="A17" s="25">
        <v>8</v>
      </c>
      <c r="B17" s="27">
        <v>6.3999999999999997E-5</v>
      </c>
      <c r="C17" s="23">
        <v>6.3999999999999997E-5</v>
      </c>
      <c r="D17" s="23">
        <f>IF(util=1,F17,IF(util=2,H17,"err"))</f>
        <v>0.94464086000000003</v>
      </c>
      <c r="E17" s="23">
        <f>IF(util=1,G17,IF(util=2,I17,"err"))</f>
        <v>0.91032568000000003</v>
      </c>
      <c r="F17" s="20">
        <v>0.94464086000000003</v>
      </c>
      <c r="G17" s="20">
        <v>0.91032568000000003</v>
      </c>
      <c r="H17" s="22">
        <f>VLOOKUP($A17,$K$9:$M$26,2)</f>
        <v>0.91600000000000004</v>
      </c>
      <c r="I17" s="22">
        <f>VLOOKUP($A17,$K$9:$M$26,3)</f>
        <v>0.88100000000000001</v>
      </c>
      <c r="J17" s="33" t="s">
        <v>40</v>
      </c>
      <c r="K17" s="20">
        <v>45</v>
      </c>
      <c r="L17" s="22">
        <v>0.82399999999999995</v>
      </c>
      <c r="M17" s="32">
        <v>0.81499999999999995</v>
      </c>
      <c r="N17" s="25">
        <v>8</v>
      </c>
      <c r="O17" s="20">
        <f>Age+N17</f>
        <v>58</v>
      </c>
      <c r="P17" s="24">
        <v>0</v>
      </c>
      <c r="Q17" s="24">
        <v>0</v>
      </c>
      <c r="R17" s="20">
        <f>(P17+P18)/2</f>
        <v>0</v>
      </c>
      <c r="S17" s="20">
        <f>(Q17+Q18)/2</f>
        <v>0</v>
      </c>
      <c r="T17" s="20">
        <f>R17*VLOOKUP(O17,lifetable,4,FALSE)</f>
        <v>0</v>
      </c>
      <c r="U17" s="20">
        <f>S17*VLOOKUP(O17,lifetable,5,FALSE)</f>
        <v>0</v>
      </c>
      <c r="V17" s="20">
        <f>T17/(1+Disc)^N17</f>
        <v>0</v>
      </c>
      <c r="W17" s="20">
        <f>U17/(1+Disc)^N17</f>
        <v>0</v>
      </c>
    </row>
    <row r="18" spans="1:23" s="21" customFormat="1" x14ac:dyDescent="0.2">
      <c r="A18" s="25">
        <v>9</v>
      </c>
      <c r="B18" s="27">
        <v>6.2000000000000003E-5</v>
      </c>
      <c r="C18" s="23">
        <v>5.5999999999999999E-5</v>
      </c>
      <c r="D18" s="23">
        <f>IF(util=1,F18,IF(util=2,H18,"err"))</f>
        <v>0.94464086000000003</v>
      </c>
      <c r="E18" s="23">
        <f>IF(util=1,G18,IF(util=2,I18,"err"))</f>
        <v>0.91032568000000003</v>
      </c>
      <c r="F18" s="20">
        <v>0.94464086000000003</v>
      </c>
      <c r="G18" s="20">
        <v>0.91032568000000003</v>
      </c>
      <c r="H18" s="22">
        <f>VLOOKUP($A18,$K$9:$M$26,2)</f>
        <v>0.91600000000000004</v>
      </c>
      <c r="I18" s="22">
        <f>VLOOKUP($A18,$K$9:$M$26,3)</f>
        <v>0.88100000000000001</v>
      </c>
      <c r="J18" s="33" t="s">
        <v>12</v>
      </c>
      <c r="K18" s="20">
        <v>50</v>
      </c>
      <c r="L18" s="22">
        <v>0.83699999999999997</v>
      </c>
      <c r="M18" s="32">
        <v>0.80500000000000005</v>
      </c>
      <c r="N18" s="25">
        <v>9</v>
      </c>
      <c r="O18" s="20">
        <f>Age+N18</f>
        <v>59</v>
      </c>
      <c r="P18" s="24">
        <v>0</v>
      </c>
      <c r="Q18" s="24">
        <v>0</v>
      </c>
      <c r="R18" s="20">
        <f>(P18+P19)/2</f>
        <v>0</v>
      </c>
      <c r="S18" s="20">
        <f>(Q18+Q19)/2</f>
        <v>0</v>
      </c>
      <c r="T18" s="20">
        <f>R18*VLOOKUP(O18,lifetable,4,FALSE)</f>
        <v>0</v>
      </c>
      <c r="U18" s="20">
        <f>S18*VLOOKUP(O18,lifetable,5,FALSE)</f>
        <v>0</v>
      </c>
      <c r="V18" s="20">
        <f>T18/(1+Disc)^N18</f>
        <v>0</v>
      </c>
      <c r="W18" s="20">
        <f>U18/(1+Disc)^N18</f>
        <v>0</v>
      </c>
    </row>
    <row r="19" spans="1:23" s="21" customFormat="1" x14ac:dyDescent="0.2">
      <c r="A19" s="25">
        <v>10</v>
      </c>
      <c r="B19" s="27">
        <v>7.2000000000000002E-5</v>
      </c>
      <c r="C19" s="23">
        <v>6.3999999999999997E-5</v>
      </c>
      <c r="D19" s="23">
        <f>IF(util=1,F19,IF(util=2,H19,"err"))</f>
        <v>0.94464086000000003</v>
      </c>
      <c r="E19" s="23">
        <f>IF(util=1,G19,IF(util=2,I19,"err"))</f>
        <v>0.91032568000000003</v>
      </c>
      <c r="F19" s="20">
        <v>0.94464086000000003</v>
      </c>
      <c r="G19" s="20">
        <v>0.91032568000000003</v>
      </c>
      <c r="H19" s="22">
        <f>VLOOKUP($A19,$K$9:$M$26,2)</f>
        <v>0.91600000000000004</v>
      </c>
      <c r="I19" s="22">
        <f>VLOOKUP($A19,$K$9:$M$26,3)</f>
        <v>0.88100000000000001</v>
      </c>
      <c r="J19" s="33" t="s">
        <v>13</v>
      </c>
      <c r="K19" s="20">
        <v>55</v>
      </c>
      <c r="L19" s="22">
        <v>0.81699999999999995</v>
      </c>
      <c r="M19" s="32">
        <v>0.80200000000000005</v>
      </c>
      <c r="N19" s="25">
        <v>10</v>
      </c>
      <c r="O19" s="20">
        <f>Age+N19</f>
        <v>60</v>
      </c>
      <c r="P19" s="24">
        <v>0</v>
      </c>
      <c r="Q19" s="24">
        <v>0</v>
      </c>
      <c r="R19" s="20">
        <f>(P19+P20)/2</f>
        <v>0</v>
      </c>
      <c r="S19" s="20">
        <f>(Q19+Q20)/2</f>
        <v>0</v>
      </c>
      <c r="T19" s="20">
        <f>R19*VLOOKUP(O19,lifetable,4,FALSE)</f>
        <v>0</v>
      </c>
      <c r="U19" s="20">
        <f>S19*VLOOKUP(O19,lifetable,5,FALSE)</f>
        <v>0</v>
      </c>
      <c r="V19" s="20">
        <f>T19/(1+Disc)^N19</f>
        <v>0</v>
      </c>
      <c r="W19" s="20">
        <f>U19/(1+Disc)^N19</f>
        <v>0</v>
      </c>
    </row>
    <row r="20" spans="1:23" s="21" customFormat="1" x14ac:dyDescent="0.2">
      <c r="A20" s="25">
        <v>11</v>
      </c>
      <c r="B20" s="27">
        <v>8.1000000000000004E-5</v>
      </c>
      <c r="C20" s="23">
        <v>6.2000000000000003E-5</v>
      </c>
      <c r="D20" s="23">
        <f>IF(util=1,F20,IF(util=2,H20,"err"))</f>
        <v>0.94464086000000003</v>
      </c>
      <c r="E20" s="23">
        <f>IF(util=1,G20,IF(util=2,I20,"err"))</f>
        <v>0.91032568000000003</v>
      </c>
      <c r="F20" s="20">
        <v>0.94464086000000003</v>
      </c>
      <c r="G20" s="20">
        <v>0.91032568000000003</v>
      </c>
      <c r="H20" s="22">
        <f>VLOOKUP($A20,$K$9:$M$26,2)</f>
        <v>0.91600000000000004</v>
      </c>
      <c r="I20" s="22">
        <f>VLOOKUP($A20,$K$9:$M$26,3)</f>
        <v>0.88100000000000001</v>
      </c>
      <c r="J20" s="33" t="s">
        <v>14</v>
      </c>
      <c r="K20" s="20">
        <v>60</v>
      </c>
      <c r="L20" s="22">
        <v>0.80900000000000005</v>
      </c>
      <c r="M20" s="32">
        <v>0.78400000000000003</v>
      </c>
      <c r="N20" s="25">
        <v>11</v>
      </c>
      <c r="O20" s="20">
        <f>Age+N20</f>
        <v>61</v>
      </c>
      <c r="P20" s="24">
        <v>0</v>
      </c>
      <c r="Q20" s="24">
        <v>0</v>
      </c>
      <c r="R20" s="20">
        <f>(P20+P21)/2</f>
        <v>0</v>
      </c>
      <c r="S20" s="20">
        <f>(Q20+Q21)/2</f>
        <v>0</v>
      </c>
      <c r="T20" s="20">
        <f>R20*VLOOKUP(O20,lifetable,4,FALSE)</f>
        <v>0</v>
      </c>
      <c r="U20" s="20">
        <f>S20*VLOOKUP(O20,lifetable,5,FALSE)</f>
        <v>0</v>
      </c>
      <c r="V20" s="20">
        <f>T20/(1+Disc)^N20</f>
        <v>0</v>
      </c>
      <c r="W20" s="20">
        <f>U20/(1+Disc)^N20</f>
        <v>0</v>
      </c>
    </row>
    <row r="21" spans="1:23" s="21" customFormat="1" x14ac:dyDescent="0.2">
      <c r="A21" s="25">
        <v>12</v>
      </c>
      <c r="B21" s="27">
        <v>1.05E-4</v>
      </c>
      <c r="C21" s="23">
        <v>5.7000000000000003E-5</v>
      </c>
      <c r="D21" s="23">
        <f>IF(util=1,F21,IF(util=2,H21,"err"))</f>
        <v>0.94464086000000003</v>
      </c>
      <c r="E21" s="23">
        <f>IF(util=1,G21,IF(util=2,I21,"err"))</f>
        <v>0.91032568000000003</v>
      </c>
      <c r="F21" s="20">
        <v>0.94464086000000003</v>
      </c>
      <c r="G21" s="20">
        <v>0.91032568000000003</v>
      </c>
      <c r="H21" s="22">
        <f>VLOOKUP($A21,$K$9:$M$26,2)</f>
        <v>0.91600000000000004</v>
      </c>
      <c r="I21" s="22">
        <f>VLOOKUP($A21,$K$9:$M$26,3)</f>
        <v>0.88100000000000001</v>
      </c>
      <c r="J21" s="33" t="s">
        <v>15</v>
      </c>
      <c r="K21" s="20">
        <v>65</v>
      </c>
      <c r="L21" s="22">
        <v>0.79800000000000004</v>
      </c>
      <c r="M21" s="32">
        <v>0.78200000000000003</v>
      </c>
      <c r="N21" s="25">
        <v>12</v>
      </c>
      <c r="O21" s="20">
        <f>Age+N21</f>
        <v>62</v>
      </c>
      <c r="P21" s="24">
        <v>0</v>
      </c>
      <c r="Q21" s="24">
        <v>0</v>
      </c>
      <c r="R21" s="20">
        <f>(P21+P22)/2</f>
        <v>0</v>
      </c>
      <c r="S21" s="20">
        <f>(Q21+Q22)/2</f>
        <v>0</v>
      </c>
      <c r="T21" s="20">
        <f>R21*VLOOKUP(O21,lifetable,4,FALSE)</f>
        <v>0</v>
      </c>
      <c r="U21" s="20">
        <f>S21*VLOOKUP(O21,lifetable,5,FALSE)</f>
        <v>0</v>
      </c>
      <c r="V21" s="20">
        <f>T21/(1+Disc)^N21</f>
        <v>0</v>
      </c>
      <c r="W21" s="20">
        <f>U21/(1+Disc)^N21</f>
        <v>0</v>
      </c>
    </row>
    <row r="22" spans="1:23" s="21" customFormat="1" x14ac:dyDescent="0.2">
      <c r="A22" s="25">
        <v>13</v>
      </c>
      <c r="B22" s="27">
        <v>1.25E-4</v>
      </c>
      <c r="C22" s="23">
        <v>7.8999999999999996E-5</v>
      </c>
      <c r="D22" s="23">
        <f>IF(util=1,F22,IF(util=2,H22,"err"))</f>
        <v>0.94464086000000003</v>
      </c>
      <c r="E22" s="23">
        <f>IF(util=1,G22,IF(util=2,I22,"err"))</f>
        <v>0.91032568000000003</v>
      </c>
      <c r="F22" s="20">
        <v>0.94464086000000003</v>
      </c>
      <c r="G22" s="20">
        <v>0.91032568000000003</v>
      </c>
      <c r="H22" s="22">
        <f>VLOOKUP($A22,$K$9:$M$26,2)</f>
        <v>0.91600000000000004</v>
      </c>
      <c r="I22" s="22">
        <f>VLOOKUP($A22,$K$9:$M$26,3)</f>
        <v>0.88100000000000001</v>
      </c>
      <c r="J22" s="33" t="s">
        <v>16</v>
      </c>
      <c r="K22" s="20">
        <v>70</v>
      </c>
      <c r="L22" s="22">
        <v>0.80200000000000005</v>
      </c>
      <c r="M22" s="32">
        <v>0.78700000000000003</v>
      </c>
      <c r="N22" s="25">
        <v>13</v>
      </c>
      <c r="O22" s="20">
        <f>Age+N22</f>
        <v>63</v>
      </c>
      <c r="P22" s="24">
        <v>0</v>
      </c>
      <c r="Q22" s="24">
        <v>0</v>
      </c>
      <c r="R22" s="20">
        <f>(P22+P23)/2</f>
        <v>0</v>
      </c>
      <c r="S22" s="20">
        <f>(Q22+Q23)/2</f>
        <v>0</v>
      </c>
      <c r="T22" s="20">
        <f>R22*VLOOKUP(O22,lifetable,4,FALSE)</f>
        <v>0</v>
      </c>
      <c r="U22" s="20">
        <f>S22*VLOOKUP(O22,lifetable,5,FALSE)</f>
        <v>0</v>
      </c>
      <c r="V22" s="20">
        <f>T22/(1+Disc)^N22</f>
        <v>0</v>
      </c>
      <c r="W22" s="20">
        <f>U22/(1+Disc)^N22</f>
        <v>0</v>
      </c>
    </row>
    <row r="23" spans="1:23" s="21" customFormat="1" x14ac:dyDescent="0.2">
      <c r="A23" s="25">
        <v>14</v>
      </c>
      <c r="B23" s="27">
        <v>1.16E-4</v>
      </c>
      <c r="C23" s="23">
        <v>9.2E-5</v>
      </c>
      <c r="D23" s="23">
        <f>IF(util=1,F23,IF(util=2,H23,"err"))</f>
        <v>0.94464086000000003</v>
      </c>
      <c r="E23" s="23">
        <f>IF(util=1,G23,IF(util=2,I23,"err"))</f>
        <v>0.91032568000000003</v>
      </c>
      <c r="F23" s="20">
        <v>0.94464086000000003</v>
      </c>
      <c r="G23" s="20">
        <v>0.91032568000000003</v>
      </c>
      <c r="H23" s="22">
        <f>VLOOKUP($A23,$K$9:$M$26,2)</f>
        <v>0.91600000000000004</v>
      </c>
      <c r="I23" s="22">
        <f>VLOOKUP($A23,$K$9:$M$26,3)</f>
        <v>0.88100000000000001</v>
      </c>
      <c r="J23" s="33" t="s">
        <v>17</v>
      </c>
      <c r="K23" s="20">
        <v>75</v>
      </c>
      <c r="L23" s="22">
        <v>0.79100000000000004</v>
      </c>
      <c r="M23" s="32">
        <v>0.74099999999999999</v>
      </c>
      <c r="N23" s="25">
        <v>14</v>
      </c>
      <c r="O23" s="20">
        <f>Age+N23</f>
        <v>64</v>
      </c>
      <c r="P23" s="24">
        <v>0</v>
      </c>
      <c r="Q23" s="24">
        <v>0</v>
      </c>
      <c r="R23" s="20">
        <f>(P23+P24)/2</f>
        <v>0</v>
      </c>
      <c r="S23" s="20">
        <f>(Q23+Q24)/2</f>
        <v>0</v>
      </c>
      <c r="T23" s="20">
        <f>R23*VLOOKUP(O23,lifetable,4,FALSE)</f>
        <v>0</v>
      </c>
      <c r="U23" s="20">
        <f>S23*VLOOKUP(O23,lifetable,5,FALSE)</f>
        <v>0</v>
      </c>
      <c r="V23" s="20">
        <f>T23/(1+Disc)^N23</f>
        <v>0</v>
      </c>
      <c r="W23" s="20">
        <f>U23/(1+Disc)^N23</f>
        <v>0</v>
      </c>
    </row>
    <row r="24" spans="1:23" s="21" customFormat="1" x14ac:dyDescent="0.2">
      <c r="A24" s="25">
        <v>15</v>
      </c>
      <c r="B24" s="27">
        <v>1.6899999999999999E-4</v>
      </c>
      <c r="C24" s="23">
        <v>9.7999999999999997E-5</v>
      </c>
      <c r="D24" s="23">
        <f>IF(util=1,F24,IF(util=2,H24,"err"))</f>
        <v>0.94464086000000003</v>
      </c>
      <c r="E24" s="23">
        <f>IF(util=1,G24,IF(util=2,I24,"err"))</f>
        <v>0.91032568000000003</v>
      </c>
      <c r="F24" s="20">
        <v>0.94464086000000003</v>
      </c>
      <c r="G24" s="20">
        <v>0.91032568000000003</v>
      </c>
      <c r="H24" s="22">
        <f>VLOOKUP($A24,$K$9:$M$26,2)</f>
        <v>0.91600000000000004</v>
      </c>
      <c r="I24" s="22">
        <f>VLOOKUP($A24,$K$9:$M$26,3)</f>
        <v>0.88100000000000001</v>
      </c>
      <c r="J24" s="33" t="s">
        <v>39</v>
      </c>
      <c r="K24" s="20">
        <v>80</v>
      </c>
      <c r="L24" s="22">
        <v>0.77300000000000002</v>
      </c>
      <c r="M24" s="32">
        <v>0.71699999999999997</v>
      </c>
      <c r="N24" s="25">
        <v>15</v>
      </c>
      <c r="O24" s="20">
        <f>Age+N24</f>
        <v>65</v>
      </c>
      <c r="P24" s="24">
        <v>0</v>
      </c>
      <c r="Q24" s="24">
        <v>0</v>
      </c>
      <c r="R24" s="20">
        <f>(P24+P25)/2</f>
        <v>0</v>
      </c>
      <c r="S24" s="20">
        <f>(Q24+Q25)/2</f>
        <v>0</v>
      </c>
      <c r="T24" s="20">
        <f>R24*VLOOKUP(O24,lifetable,4,FALSE)</f>
        <v>0</v>
      </c>
      <c r="U24" s="20">
        <f>S24*VLOOKUP(O24,lifetable,5,FALSE)</f>
        <v>0</v>
      </c>
      <c r="V24" s="20">
        <f>T24/(1+Disc)^N24</f>
        <v>0</v>
      </c>
      <c r="W24" s="20">
        <f>U24/(1+Disc)^N24</f>
        <v>0</v>
      </c>
    </row>
    <row r="25" spans="1:23" s="21" customFormat="1" x14ac:dyDescent="0.2">
      <c r="A25" s="25">
        <v>16</v>
      </c>
      <c r="B25" s="27">
        <v>2.2000000000000001E-4</v>
      </c>
      <c r="C25" s="23">
        <v>1.4799999999999999E-4</v>
      </c>
      <c r="D25" s="23">
        <f>IF(util=1,F25,IF(util=2,H25,"err"))</f>
        <v>0.94464086000000003</v>
      </c>
      <c r="E25" s="23">
        <f>IF(util=1,G25,IF(util=2,I25,"err"))</f>
        <v>0.91032568000000003</v>
      </c>
      <c r="F25" s="20">
        <v>0.94464086000000003</v>
      </c>
      <c r="G25" s="20">
        <v>0.91032568000000003</v>
      </c>
      <c r="H25" s="22">
        <f>VLOOKUP($A25,$K$9:$M$26,2)</f>
        <v>0.91600000000000004</v>
      </c>
      <c r="I25" s="22">
        <f>VLOOKUP($A25,$K$9:$M$26,3)</f>
        <v>0.88100000000000001</v>
      </c>
      <c r="J25" s="33" t="s">
        <v>38</v>
      </c>
      <c r="K25" s="20">
        <v>85</v>
      </c>
      <c r="L25" s="22">
        <v>0.71799999999999997</v>
      </c>
      <c r="M25" s="32">
        <v>0.66500000000000004</v>
      </c>
      <c r="N25" s="25">
        <v>16</v>
      </c>
      <c r="O25" s="20">
        <f>Age+N25</f>
        <v>66</v>
      </c>
      <c r="P25" s="24">
        <v>0</v>
      </c>
      <c r="Q25" s="24">
        <v>0</v>
      </c>
      <c r="R25" s="20">
        <f>(P25+P26)/2</f>
        <v>0</v>
      </c>
      <c r="S25" s="20">
        <f>(Q25+Q26)/2</f>
        <v>0</v>
      </c>
      <c r="T25" s="20">
        <f>R25*VLOOKUP(O25,lifetable,4,FALSE)</f>
        <v>0</v>
      </c>
      <c r="U25" s="20">
        <f>S25*VLOOKUP(O25,lifetable,5,FALSE)</f>
        <v>0</v>
      </c>
      <c r="V25" s="20">
        <f>T25/(1+Disc)^N25</f>
        <v>0</v>
      </c>
      <c r="W25" s="20">
        <f>U25/(1+Disc)^N25</f>
        <v>0</v>
      </c>
    </row>
    <row r="26" spans="1:23" s="21" customFormat="1" x14ac:dyDescent="0.2">
      <c r="A26" s="25">
        <v>17</v>
      </c>
      <c r="B26" s="27">
        <v>3.0299999999999999E-4</v>
      </c>
      <c r="C26" s="23">
        <v>1.5899999999999999E-4</v>
      </c>
      <c r="D26" s="23">
        <f>IF(util=1,F26,IF(util=2,H26,"err"))</f>
        <v>0.94333138999999999</v>
      </c>
      <c r="E26" s="23">
        <f>IF(util=1,G26,IF(util=2,I26,"err"))</f>
        <v>0.91087275999999995</v>
      </c>
      <c r="F26" s="20">
        <v>0.94333138999999999</v>
      </c>
      <c r="G26" s="20">
        <v>0.91087275999999995</v>
      </c>
      <c r="H26" s="22">
        <f>VLOOKUP($A26,$K$9:$M$26,2)</f>
        <v>0.91600000000000004</v>
      </c>
      <c r="I26" s="22">
        <f>VLOOKUP($A26,$K$9:$M$26,3)</f>
        <v>0.88100000000000001</v>
      </c>
      <c r="J26" s="31" t="s">
        <v>37</v>
      </c>
      <c r="K26" s="30">
        <v>90</v>
      </c>
      <c r="L26" s="29">
        <v>0.66300000000000003</v>
      </c>
      <c r="M26" s="28">
        <v>0.66500000000000004</v>
      </c>
      <c r="N26" s="25">
        <v>17</v>
      </c>
      <c r="O26" s="20">
        <f>Age+N26</f>
        <v>67</v>
      </c>
      <c r="P26" s="24">
        <v>0</v>
      </c>
      <c r="Q26" s="24">
        <v>0</v>
      </c>
      <c r="R26" s="20">
        <f>(P26+P27)/2</f>
        <v>0</v>
      </c>
      <c r="S26" s="20">
        <f>(Q26+Q27)/2</f>
        <v>0</v>
      </c>
      <c r="T26" s="20">
        <f>R26*VLOOKUP(O26,lifetable,4,FALSE)</f>
        <v>0</v>
      </c>
      <c r="U26" s="20">
        <f>S26*VLOOKUP(O26,lifetable,5,FALSE)</f>
        <v>0</v>
      </c>
      <c r="V26" s="20">
        <f>T26/(1+Disc)^N26</f>
        <v>0</v>
      </c>
      <c r="W26" s="20">
        <f>U26/(1+Disc)^N26</f>
        <v>0</v>
      </c>
    </row>
    <row r="27" spans="1:23" s="21" customFormat="1" x14ac:dyDescent="0.2">
      <c r="A27" s="25">
        <v>18</v>
      </c>
      <c r="B27" s="27">
        <v>3.8699999999999997E-4</v>
      </c>
      <c r="C27" s="23">
        <v>2.1100000000000001E-4</v>
      </c>
      <c r="D27" s="23">
        <f>IF(util=1,F27,IF(util=2,H27,"err"))</f>
        <v>0.94198996999999995</v>
      </c>
      <c r="E27" s="23">
        <f>IF(util=1,G27,IF(util=2,I27,"err"))</f>
        <v>0.91123900000000002</v>
      </c>
      <c r="F27" s="20">
        <v>0.94198996999999995</v>
      </c>
      <c r="G27" s="20">
        <v>0.91123900000000002</v>
      </c>
      <c r="H27" s="22">
        <f>VLOOKUP($A27,$K$9:$M$26,2)</f>
        <v>0.93300000000000005</v>
      </c>
      <c r="I27" s="22">
        <f>VLOOKUP($A27,$K$9:$M$26,3)</f>
        <v>0.86399999999999999</v>
      </c>
      <c r="J27" s="23"/>
      <c r="K27" s="23"/>
      <c r="L27" s="20"/>
      <c r="M27" s="20"/>
      <c r="N27" s="25">
        <v>18</v>
      </c>
      <c r="O27" s="20">
        <f>Age+N27</f>
        <v>68</v>
      </c>
      <c r="P27" s="24">
        <v>0</v>
      </c>
      <c r="Q27" s="24">
        <v>0</v>
      </c>
      <c r="R27" s="20">
        <f>(P27+P28)/2</f>
        <v>0</v>
      </c>
      <c r="S27" s="20">
        <f>(Q27+Q28)/2</f>
        <v>0</v>
      </c>
      <c r="T27" s="20">
        <f>R27*VLOOKUP(O27,lifetable,4,FALSE)</f>
        <v>0</v>
      </c>
      <c r="U27" s="20">
        <f>S27*VLOOKUP(O27,lifetable,5,FALSE)</f>
        <v>0</v>
      </c>
      <c r="V27" s="20">
        <f>T27/(1+Disc)^N27</f>
        <v>0</v>
      </c>
      <c r="W27" s="20">
        <f>U27/(1+Disc)^N27</f>
        <v>0</v>
      </c>
    </row>
    <row r="28" spans="1:23" s="21" customFormat="1" x14ac:dyDescent="0.2">
      <c r="A28" s="25">
        <v>19</v>
      </c>
      <c r="B28" s="27">
        <v>4.15E-4</v>
      </c>
      <c r="C28" s="23">
        <v>1.94E-4</v>
      </c>
      <c r="D28" s="23">
        <f>IF(util=1,F28,IF(util=2,H28,"err"))</f>
        <v>0.94061612000000006</v>
      </c>
      <c r="E28" s="23">
        <f>IF(util=1,G28,IF(util=2,I28,"err"))</f>
        <v>0.9114333</v>
      </c>
      <c r="F28" s="20">
        <v>0.94061612000000006</v>
      </c>
      <c r="G28" s="20">
        <v>0.9114333</v>
      </c>
      <c r="H28" s="22">
        <f>VLOOKUP($A28,$K$9:$M$26,2)</f>
        <v>0.93300000000000005</v>
      </c>
      <c r="I28" s="22">
        <f>VLOOKUP($A28,$K$9:$M$26,3)</f>
        <v>0.86399999999999999</v>
      </c>
      <c r="J28" s="23"/>
      <c r="K28" s="23"/>
      <c r="L28" s="20"/>
      <c r="M28" s="20"/>
      <c r="N28" s="25">
        <v>19</v>
      </c>
      <c r="O28" s="20">
        <f>Age+N28</f>
        <v>69</v>
      </c>
      <c r="P28" s="24">
        <v>0</v>
      </c>
      <c r="Q28" s="24">
        <v>0</v>
      </c>
      <c r="R28" s="20">
        <f>(P28+P29)/2</f>
        <v>0</v>
      </c>
      <c r="S28" s="20">
        <f>(Q28+Q29)/2</f>
        <v>0</v>
      </c>
      <c r="T28" s="20">
        <f>R28*VLOOKUP(O28,lifetable,4,FALSE)</f>
        <v>0</v>
      </c>
      <c r="U28" s="20">
        <f>S28*VLOOKUP(O28,lifetable,5,FALSE)</f>
        <v>0</v>
      </c>
      <c r="V28" s="20">
        <f>T28/(1+Disc)^N28</f>
        <v>0</v>
      </c>
      <c r="W28" s="20">
        <f>U28/(1+Disc)^N28</f>
        <v>0</v>
      </c>
    </row>
    <row r="29" spans="1:23" s="21" customFormat="1" x14ac:dyDescent="0.2">
      <c r="A29" s="25">
        <v>20</v>
      </c>
      <c r="B29" s="27">
        <v>5.0299999999999997E-4</v>
      </c>
      <c r="C29" s="23">
        <v>1.7899999999999999E-4</v>
      </c>
      <c r="D29" s="23">
        <f>IF(util=1,F29,IF(util=2,H29,"err"))</f>
        <v>0.93920935000000005</v>
      </c>
      <c r="E29" s="23">
        <f>IF(util=1,G29,IF(util=2,I29,"err"))</f>
        <v>0.91146389000000005</v>
      </c>
      <c r="F29" s="20">
        <v>0.93920935000000005</v>
      </c>
      <c r="G29" s="20">
        <v>0.91146389000000005</v>
      </c>
      <c r="H29" s="22">
        <f>VLOOKUP($A29,$K$9:$M$26,2)</f>
        <v>0.89500000000000002</v>
      </c>
      <c r="I29" s="22">
        <f>VLOOKUP($A29,$K$9:$M$26,3)</f>
        <v>0.86599999999999999</v>
      </c>
      <c r="J29" s="23"/>
      <c r="K29" s="23"/>
      <c r="L29" s="20"/>
      <c r="M29" s="20"/>
      <c r="N29" s="25">
        <v>20</v>
      </c>
      <c r="O29" s="20">
        <f>Age+N29</f>
        <v>70</v>
      </c>
      <c r="P29" s="24">
        <v>0</v>
      </c>
      <c r="Q29" s="24">
        <v>0</v>
      </c>
      <c r="R29" s="20">
        <f>(P29+P30)/2</f>
        <v>0</v>
      </c>
      <c r="S29" s="20">
        <f>(Q29+Q30)/2</f>
        <v>0</v>
      </c>
      <c r="T29" s="20">
        <f>R29*VLOOKUP(O29,lifetable,4,FALSE)</f>
        <v>0</v>
      </c>
      <c r="U29" s="20">
        <f>S29*VLOOKUP(O29,lifetable,5,FALSE)</f>
        <v>0</v>
      </c>
      <c r="V29" s="20">
        <f>T29/(1+Disc)^N29</f>
        <v>0</v>
      </c>
      <c r="W29" s="20">
        <f>U29/(1+Disc)^N29</f>
        <v>0</v>
      </c>
    </row>
    <row r="30" spans="1:23" s="21" customFormat="1" x14ac:dyDescent="0.2">
      <c r="A30" s="25">
        <v>21</v>
      </c>
      <c r="B30" s="27">
        <v>4.9799999999999996E-4</v>
      </c>
      <c r="C30" s="23">
        <v>2.0100000000000001E-4</v>
      </c>
      <c r="D30" s="23">
        <f>IF(util=1,F30,IF(util=2,H30,"err"))</f>
        <v>0.93776915999999999</v>
      </c>
      <c r="E30" s="23">
        <f>IF(util=1,G30,IF(util=2,I30,"err"))</f>
        <v>0.91133843000000003</v>
      </c>
      <c r="F30" s="20">
        <v>0.93776915999999999</v>
      </c>
      <c r="G30" s="20">
        <v>0.91133843000000003</v>
      </c>
      <c r="H30" s="22">
        <f>VLOOKUP($A30,$K$9:$M$26,2)</f>
        <v>0.89500000000000002</v>
      </c>
      <c r="I30" s="22">
        <f>VLOOKUP($A30,$K$9:$M$26,3)</f>
        <v>0.86599999999999999</v>
      </c>
      <c r="J30" s="23"/>
      <c r="K30" s="23"/>
      <c r="L30" s="20"/>
      <c r="M30" s="20"/>
      <c r="N30" s="25">
        <v>21</v>
      </c>
      <c r="O30" s="20">
        <f>Age+N30</f>
        <v>71</v>
      </c>
      <c r="P30" s="24">
        <v>0</v>
      </c>
      <c r="Q30" s="24">
        <v>0</v>
      </c>
      <c r="R30" s="20">
        <f>(P30+P31)/2</f>
        <v>0</v>
      </c>
      <c r="S30" s="20">
        <f>(Q30+Q31)/2</f>
        <v>0</v>
      </c>
      <c r="T30" s="20">
        <f>R30*VLOOKUP(O30,lifetable,4,FALSE)</f>
        <v>0</v>
      </c>
      <c r="U30" s="20">
        <f>S30*VLOOKUP(O30,lifetable,5,FALSE)</f>
        <v>0</v>
      </c>
      <c r="V30" s="20">
        <f>T30/(1+Disc)^N30</f>
        <v>0</v>
      </c>
      <c r="W30" s="20">
        <f>U30/(1+Disc)^N30</f>
        <v>0</v>
      </c>
    </row>
    <row r="31" spans="1:23" s="21" customFormat="1" x14ac:dyDescent="0.2">
      <c r="A31" s="25">
        <v>22</v>
      </c>
      <c r="B31" s="27">
        <v>4.7800000000000002E-4</v>
      </c>
      <c r="C31" s="23">
        <v>2.1499999999999999E-4</v>
      </c>
      <c r="D31" s="23">
        <f>IF(util=1,F31,IF(util=2,H31,"err"))</f>
        <v>0.93629505000000002</v>
      </c>
      <c r="E31" s="23">
        <f>IF(util=1,G31,IF(util=2,I31,"err"))</f>
        <v>0.91106401000000004</v>
      </c>
      <c r="F31" s="20">
        <v>0.93629505000000002</v>
      </c>
      <c r="G31" s="20">
        <v>0.91106401000000004</v>
      </c>
      <c r="H31" s="22">
        <f>VLOOKUP($A31,$K$9:$M$26,2)</f>
        <v>0.89500000000000002</v>
      </c>
      <c r="I31" s="22">
        <f>VLOOKUP($A31,$K$9:$M$26,3)</f>
        <v>0.86599999999999999</v>
      </c>
      <c r="J31" s="23"/>
      <c r="K31" s="23"/>
      <c r="L31" s="20"/>
      <c r="M31" s="20"/>
      <c r="N31" s="25">
        <v>22</v>
      </c>
      <c r="O31" s="20">
        <f>Age+N31</f>
        <v>72</v>
      </c>
      <c r="P31" s="24">
        <v>0</v>
      </c>
      <c r="Q31" s="24">
        <v>0</v>
      </c>
      <c r="R31" s="20">
        <f>(P31+P32)/2</f>
        <v>0</v>
      </c>
      <c r="S31" s="20">
        <f>(Q31+Q32)/2</f>
        <v>0</v>
      </c>
      <c r="T31" s="20">
        <f>R31*VLOOKUP(O31,lifetable,4,FALSE)</f>
        <v>0</v>
      </c>
      <c r="U31" s="20">
        <f>S31*VLOOKUP(O31,lifetable,5,FALSE)</f>
        <v>0</v>
      </c>
      <c r="V31" s="20">
        <f>T31/(1+Disc)^N31</f>
        <v>0</v>
      </c>
      <c r="W31" s="20">
        <f>U31/(1+Disc)^N31</f>
        <v>0</v>
      </c>
    </row>
    <row r="32" spans="1:23" s="21" customFormat="1" x14ac:dyDescent="0.2">
      <c r="A32" s="25">
        <v>23</v>
      </c>
      <c r="B32" s="27">
        <v>4.6999999999999999E-4</v>
      </c>
      <c r="C32" s="23">
        <v>2.0000000000000001E-4</v>
      </c>
      <c r="D32" s="23">
        <f>IF(util=1,F32,IF(util=2,H32,"err"))</f>
        <v>0.93478653</v>
      </c>
      <c r="E32" s="23">
        <f>IF(util=1,G32,IF(util=2,I32,"err"))</f>
        <v>0.91064718</v>
      </c>
      <c r="F32" s="20">
        <v>0.93478653</v>
      </c>
      <c r="G32" s="20">
        <v>0.91064718</v>
      </c>
      <c r="H32" s="22">
        <f>VLOOKUP($A32,$K$9:$M$26,2)</f>
        <v>0.89500000000000002</v>
      </c>
      <c r="I32" s="22">
        <f>VLOOKUP($A32,$K$9:$M$26,3)</f>
        <v>0.86599999999999999</v>
      </c>
      <c r="J32" s="23"/>
      <c r="K32" s="23"/>
      <c r="L32" s="20"/>
      <c r="M32" s="20"/>
      <c r="N32" s="25">
        <v>23</v>
      </c>
      <c r="O32" s="20">
        <f>Age+N32</f>
        <v>73</v>
      </c>
      <c r="P32" s="24">
        <v>0</v>
      </c>
      <c r="Q32" s="24">
        <v>0</v>
      </c>
      <c r="R32" s="20">
        <f>(P32+P33)/2</f>
        <v>0</v>
      </c>
      <c r="S32" s="20">
        <f>(Q32+Q33)/2</f>
        <v>0</v>
      </c>
      <c r="T32" s="20">
        <f>R32*VLOOKUP(O32,lifetable,4,FALSE)</f>
        <v>0</v>
      </c>
      <c r="U32" s="20">
        <f>S32*VLOOKUP(O32,lifetable,5,FALSE)</f>
        <v>0</v>
      </c>
      <c r="V32" s="20">
        <f>T32/(1+Disc)^N32</f>
        <v>0</v>
      </c>
      <c r="W32" s="20">
        <f>U32/(1+Disc)^N32</f>
        <v>0</v>
      </c>
    </row>
    <row r="33" spans="1:23" s="21" customFormat="1" x14ac:dyDescent="0.2">
      <c r="A33" s="25">
        <v>24</v>
      </c>
      <c r="B33" s="27">
        <v>5.13E-4</v>
      </c>
      <c r="C33" s="23">
        <v>2.1800000000000001E-4</v>
      </c>
      <c r="D33" s="23">
        <f>IF(util=1,F33,IF(util=2,H33,"err"))</f>
        <v>0.93324311999999998</v>
      </c>
      <c r="E33" s="23">
        <f>IF(util=1,G33,IF(util=2,I33,"err"))</f>
        <v>0.91009399999999996</v>
      </c>
      <c r="F33" s="20">
        <v>0.93324311999999998</v>
      </c>
      <c r="G33" s="20">
        <v>0.91009399999999996</v>
      </c>
      <c r="H33" s="22">
        <f>VLOOKUP($A33,$K$9:$M$26,2)</f>
        <v>0.89500000000000002</v>
      </c>
      <c r="I33" s="22">
        <f>VLOOKUP($A33,$K$9:$M$26,3)</f>
        <v>0.86599999999999999</v>
      </c>
      <c r="J33" s="23"/>
      <c r="K33" s="23"/>
      <c r="L33" s="20"/>
      <c r="M33" s="20"/>
      <c r="N33" s="25">
        <v>24</v>
      </c>
      <c r="O33" s="20">
        <f>Age+N33</f>
        <v>74</v>
      </c>
      <c r="P33" s="24">
        <v>0</v>
      </c>
      <c r="Q33" s="24">
        <v>0</v>
      </c>
      <c r="R33" s="20">
        <f>(P33+P34)/2</f>
        <v>0</v>
      </c>
      <c r="S33" s="20">
        <f>(Q33+Q34)/2</f>
        <v>0</v>
      </c>
      <c r="T33" s="20">
        <f>R33*VLOOKUP(O33,lifetable,4,FALSE)</f>
        <v>0</v>
      </c>
      <c r="U33" s="20">
        <f>S33*VLOOKUP(O33,lifetable,5,FALSE)</f>
        <v>0</v>
      </c>
      <c r="V33" s="20">
        <f>T33/(1+Disc)^N33</f>
        <v>0</v>
      </c>
      <c r="W33" s="20">
        <f>U33/(1+Disc)^N33</f>
        <v>0</v>
      </c>
    </row>
    <row r="34" spans="1:23" s="21" customFormat="1" x14ac:dyDescent="0.2">
      <c r="A34" s="25">
        <v>25</v>
      </c>
      <c r="B34" s="27">
        <v>5.3799999999999996E-4</v>
      </c>
      <c r="C34" s="23">
        <v>2.4399999999999999E-4</v>
      </c>
      <c r="D34" s="23">
        <f>IF(util=1,F34,IF(util=2,H34,"err"))</f>
        <v>0.93166431000000005</v>
      </c>
      <c r="E34" s="23">
        <f>IF(util=1,G34,IF(util=2,I34,"err"))</f>
        <v>0.90941002999999998</v>
      </c>
      <c r="F34" s="20">
        <v>0.93166431000000005</v>
      </c>
      <c r="G34" s="20">
        <v>0.90941002999999998</v>
      </c>
      <c r="H34" s="22">
        <f>VLOOKUP($A34,$K$9:$M$26,2)</f>
        <v>0.89500000000000002</v>
      </c>
      <c r="I34" s="22">
        <f>VLOOKUP($A34,$K$9:$M$26,3)</f>
        <v>0.873</v>
      </c>
      <c r="J34" s="23"/>
      <c r="K34" s="23"/>
      <c r="L34" s="20"/>
      <c r="M34" s="20"/>
      <c r="N34" s="25">
        <v>25</v>
      </c>
      <c r="O34" s="20">
        <f>Age+N34</f>
        <v>75</v>
      </c>
      <c r="P34" s="24">
        <v>0</v>
      </c>
      <c r="Q34" s="24">
        <v>0</v>
      </c>
      <c r="R34" s="20">
        <f>(P34+P35)/2</f>
        <v>0</v>
      </c>
      <c r="S34" s="20">
        <f>(Q34+Q35)/2</f>
        <v>0</v>
      </c>
      <c r="T34" s="20">
        <f>R34*VLOOKUP(O34,lifetable,4,FALSE)</f>
        <v>0</v>
      </c>
      <c r="U34" s="20">
        <f>S34*VLOOKUP(O34,lifetable,5,FALSE)</f>
        <v>0</v>
      </c>
      <c r="V34" s="20">
        <f>T34/(1+Disc)^N34</f>
        <v>0</v>
      </c>
      <c r="W34" s="20">
        <f>U34/(1+Disc)^N34</f>
        <v>0</v>
      </c>
    </row>
    <row r="35" spans="1:23" s="21" customFormat="1" x14ac:dyDescent="0.2">
      <c r="A35" s="25">
        <v>26</v>
      </c>
      <c r="B35" s="27">
        <v>5.4299999999999997E-4</v>
      </c>
      <c r="C35" s="23">
        <v>2.5900000000000001E-4</v>
      </c>
      <c r="D35" s="23">
        <f>IF(util=1,F35,IF(util=2,H35,"err"))</f>
        <v>0.93004962000000002</v>
      </c>
      <c r="E35" s="23">
        <f>IF(util=1,G35,IF(util=2,I35,"err"))</f>
        <v>0.90860043999999995</v>
      </c>
      <c r="F35" s="20">
        <v>0.93004962000000002</v>
      </c>
      <c r="G35" s="20">
        <v>0.90860043999999995</v>
      </c>
      <c r="H35" s="22">
        <f>VLOOKUP($A35,$K$9:$M$26,2)</f>
        <v>0.89500000000000002</v>
      </c>
      <c r="I35" s="22">
        <f>VLOOKUP($A35,$K$9:$M$26,3)</f>
        <v>0.873</v>
      </c>
      <c r="J35" s="23"/>
      <c r="K35" s="23"/>
      <c r="L35" s="20"/>
      <c r="M35" s="20"/>
      <c r="N35" s="25">
        <v>26</v>
      </c>
      <c r="O35" s="20">
        <f>Age+N35</f>
        <v>76</v>
      </c>
      <c r="P35" s="24">
        <v>0</v>
      </c>
      <c r="Q35" s="24">
        <v>0</v>
      </c>
      <c r="R35" s="20">
        <f>(P35+P36)/2</f>
        <v>0</v>
      </c>
      <c r="S35" s="20">
        <f>(Q35+Q36)/2</f>
        <v>0</v>
      </c>
      <c r="T35" s="20">
        <f>R35*VLOOKUP(O35,lifetable,4,FALSE)</f>
        <v>0</v>
      </c>
      <c r="U35" s="20">
        <f>S35*VLOOKUP(O35,lifetable,5,FALSE)</f>
        <v>0</v>
      </c>
      <c r="V35" s="20">
        <f>T35/(1+Disc)^N35</f>
        <v>0</v>
      </c>
      <c r="W35" s="20">
        <f>U35/(1+Disc)^N35</f>
        <v>0</v>
      </c>
    </row>
    <row r="36" spans="1:23" s="21" customFormat="1" x14ac:dyDescent="0.2">
      <c r="A36" s="25">
        <v>27</v>
      </c>
      <c r="B36" s="27">
        <v>5.7399999999999997E-4</v>
      </c>
      <c r="C36" s="23">
        <v>2.7E-4</v>
      </c>
      <c r="D36" s="23">
        <f>IF(util=1,F36,IF(util=2,H36,"err"))</f>
        <v>0.92839855999999998</v>
      </c>
      <c r="E36" s="23">
        <f>IF(util=1,G36,IF(util=2,I36,"err"))</f>
        <v>0.90766992999999996</v>
      </c>
      <c r="F36" s="20">
        <v>0.92839855999999998</v>
      </c>
      <c r="G36" s="20">
        <v>0.90766992999999996</v>
      </c>
      <c r="H36" s="22">
        <f>VLOOKUP($A36,$K$9:$M$26,2)</f>
        <v>0.89500000000000002</v>
      </c>
      <c r="I36" s="22">
        <f>VLOOKUP($A36,$K$9:$M$26,3)</f>
        <v>0.873</v>
      </c>
      <c r="J36" s="23"/>
      <c r="K36" s="23"/>
      <c r="L36" s="20"/>
      <c r="M36" s="20"/>
      <c r="N36" s="25">
        <v>27</v>
      </c>
      <c r="O36" s="20">
        <f>Age+N36</f>
        <v>77</v>
      </c>
      <c r="P36" s="24">
        <v>0</v>
      </c>
      <c r="Q36" s="24">
        <v>0</v>
      </c>
      <c r="R36" s="20">
        <f>(P36+P37)/2</f>
        <v>0</v>
      </c>
      <c r="S36" s="20">
        <f>(Q36+Q37)/2</f>
        <v>0</v>
      </c>
      <c r="T36" s="20">
        <f>R36*VLOOKUP(O36,lifetable,4,FALSE)</f>
        <v>0</v>
      </c>
      <c r="U36" s="20">
        <f>S36*VLOOKUP(O36,lifetable,5,FALSE)</f>
        <v>0</v>
      </c>
      <c r="V36" s="20">
        <f>T36/(1+Disc)^N36</f>
        <v>0</v>
      </c>
      <c r="W36" s="20">
        <f>U36/(1+Disc)^N36</f>
        <v>0</v>
      </c>
    </row>
    <row r="37" spans="1:23" s="21" customFormat="1" x14ac:dyDescent="0.2">
      <c r="A37" s="25">
        <v>28</v>
      </c>
      <c r="B37" s="27">
        <v>6.29E-4</v>
      </c>
      <c r="C37" s="23">
        <v>3.0400000000000002E-4</v>
      </c>
      <c r="D37" s="23">
        <f>IF(util=1,F37,IF(util=2,H37,"err"))</f>
        <v>0.92671064999999997</v>
      </c>
      <c r="E37" s="23">
        <f>IF(util=1,G37,IF(util=2,I37,"err"))</f>
        <v>0.90662284999999998</v>
      </c>
      <c r="F37" s="20">
        <v>0.92671064999999997</v>
      </c>
      <c r="G37" s="20">
        <v>0.90662284999999998</v>
      </c>
      <c r="H37" s="22">
        <f>VLOOKUP($A37,$K$9:$M$26,2)</f>
        <v>0.89500000000000002</v>
      </c>
      <c r="I37" s="22">
        <f>VLOOKUP($A37,$K$9:$M$26,3)</f>
        <v>0.873</v>
      </c>
      <c r="J37" s="23"/>
      <c r="K37" s="23"/>
      <c r="L37" s="20"/>
      <c r="M37" s="20"/>
      <c r="N37" s="25">
        <v>28</v>
      </c>
      <c r="O37" s="20">
        <f>Age+N37</f>
        <v>78</v>
      </c>
      <c r="P37" s="24">
        <v>0</v>
      </c>
      <c r="Q37" s="24">
        <v>0</v>
      </c>
      <c r="R37" s="20">
        <f>(P37+P38)/2</f>
        <v>0</v>
      </c>
      <c r="S37" s="20">
        <f>(Q37+Q38)/2</f>
        <v>0</v>
      </c>
      <c r="T37" s="20">
        <f>R37*VLOOKUP(O37,lifetable,4,FALSE)</f>
        <v>0</v>
      </c>
      <c r="U37" s="20">
        <f>S37*VLOOKUP(O37,lifetable,5,FALSE)</f>
        <v>0</v>
      </c>
      <c r="V37" s="20">
        <f>T37/(1+Disc)^N37</f>
        <v>0</v>
      </c>
      <c r="W37" s="20">
        <f>U37/(1+Disc)^N37</f>
        <v>0</v>
      </c>
    </row>
    <row r="38" spans="1:23" s="21" customFormat="1" x14ac:dyDescent="0.2">
      <c r="A38" s="25">
        <v>29</v>
      </c>
      <c r="B38" s="27">
        <v>6.6399999999999999E-4</v>
      </c>
      <c r="C38" s="23">
        <v>3.0200000000000002E-4</v>
      </c>
      <c r="D38" s="23">
        <f>IF(util=1,F38,IF(util=2,H38,"err"))</f>
        <v>0.92498541000000001</v>
      </c>
      <c r="E38" s="23">
        <f>IF(util=1,G38,IF(util=2,I38,"err"))</f>
        <v>0.90546318999999997</v>
      </c>
      <c r="F38" s="20">
        <v>0.92498541000000001</v>
      </c>
      <c r="G38" s="20">
        <v>0.90546318999999997</v>
      </c>
      <c r="H38" s="22">
        <f>VLOOKUP($A38,$K$9:$M$26,2)</f>
        <v>0.89500000000000002</v>
      </c>
      <c r="I38" s="22">
        <f>VLOOKUP($A38,$K$9:$M$26,3)</f>
        <v>0.873</v>
      </c>
      <c r="J38" s="23"/>
      <c r="K38" s="23"/>
      <c r="L38" s="20"/>
      <c r="M38" s="20"/>
      <c r="N38" s="25">
        <v>29</v>
      </c>
      <c r="O38" s="20">
        <f>Age+N38</f>
        <v>79</v>
      </c>
      <c r="P38" s="24">
        <v>0</v>
      </c>
      <c r="Q38" s="24">
        <v>0</v>
      </c>
      <c r="R38" s="20">
        <f>(P38+P39)/2</f>
        <v>0.5</v>
      </c>
      <c r="S38" s="20">
        <f>(Q38+Q39)/2</f>
        <v>0.5</v>
      </c>
      <c r="T38" s="20">
        <f>R38*VLOOKUP(O38,lifetable,4,FALSE)</f>
        <v>0.39176323000000002</v>
      </c>
      <c r="U38" s="20">
        <f>S38*VLOOKUP(O38,lifetable,5,FALSE)</f>
        <v>0.36709954500000003</v>
      </c>
      <c r="V38" s="20">
        <f>T38/(1+Disc)^N38</f>
        <v>0.14446196824891308</v>
      </c>
      <c r="W38" s="20">
        <f>U38/(1+Disc)^N38</f>
        <v>0.13536727991031838</v>
      </c>
    </row>
    <row r="39" spans="1:23" s="21" customFormat="1" x14ac:dyDescent="0.2">
      <c r="A39" s="25">
        <v>30</v>
      </c>
      <c r="B39" s="27">
        <v>7.1100000000000004E-4</v>
      </c>
      <c r="C39" s="23">
        <v>3.5799999999999997E-4</v>
      </c>
      <c r="D39" s="23">
        <f>IF(util=1,F39,IF(util=2,H39,"err"))</f>
        <v>0.92322236000000002</v>
      </c>
      <c r="E39" s="23">
        <f>IF(util=1,G39,IF(util=2,I39,"err"))</f>
        <v>0.90419457000000003</v>
      </c>
      <c r="F39" s="20">
        <v>0.92322236000000002</v>
      </c>
      <c r="G39" s="20">
        <v>0.90419457000000003</v>
      </c>
      <c r="H39" s="22">
        <f>VLOOKUP($A39,$K$9:$M$26,2)</f>
        <v>0.91600000000000004</v>
      </c>
      <c r="I39" s="22">
        <f>VLOOKUP($A39,$K$9:$M$26,3)</f>
        <v>0.87</v>
      </c>
      <c r="J39" s="23"/>
      <c r="K39" s="23"/>
      <c r="L39" s="20"/>
      <c r="M39" s="20"/>
      <c r="N39" s="25">
        <v>30</v>
      </c>
      <c r="O39" s="20">
        <f>Age+N39</f>
        <v>80</v>
      </c>
      <c r="P39" s="24">
        <v>1</v>
      </c>
      <c r="Q39" s="24">
        <v>1</v>
      </c>
      <c r="R39" s="20">
        <f>(P39+P40)/2</f>
        <v>0.97355400000000003</v>
      </c>
      <c r="S39" s="20">
        <f>(Q39+Q40)/2</f>
        <v>0.98117500000000002</v>
      </c>
      <c r="T39" s="20">
        <f>R39*VLOOKUP(O39,lifetable,4,FALSE)</f>
        <v>0.75894717341453999</v>
      </c>
      <c r="U39" s="20">
        <f>S39*VLOOKUP(O39,lifetable,5,FALSE)</f>
        <v>0.71476395030950002</v>
      </c>
      <c r="V39" s="20">
        <f>T39/(1+Disc)^N39</f>
        <v>0.27039649267524224</v>
      </c>
      <c r="W39" s="20">
        <f>U39/(1+Disc)^N39</f>
        <v>0.25465496417209166</v>
      </c>
    </row>
    <row r="40" spans="1:23" s="21" customFormat="1" x14ac:dyDescent="0.2">
      <c r="A40" s="25">
        <v>31</v>
      </c>
      <c r="B40" s="27">
        <v>7.7200000000000001E-4</v>
      </c>
      <c r="C40" s="23">
        <v>3.6900000000000002E-4</v>
      </c>
      <c r="D40" s="23">
        <f>IF(util=1,F40,IF(util=2,H40,"err"))</f>
        <v>0.92142102000000004</v>
      </c>
      <c r="E40" s="23">
        <f>IF(util=1,G40,IF(util=2,I40,"err"))</f>
        <v>0.90282032999999995</v>
      </c>
      <c r="F40" s="20">
        <v>0.92142102000000004</v>
      </c>
      <c r="G40" s="20">
        <v>0.90282032999999995</v>
      </c>
      <c r="H40" s="22">
        <f>VLOOKUP($A40,$K$9:$M$26,2)</f>
        <v>0.91600000000000004</v>
      </c>
      <c r="I40" s="22">
        <f>VLOOKUP($A40,$K$9:$M$26,3)</f>
        <v>0.87</v>
      </c>
      <c r="J40" s="23"/>
      <c r="K40" s="23"/>
      <c r="L40" s="20"/>
      <c r="M40" s="20"/>
      <c r="N40" s="25">
        <v>31</v>
      </c>
      <c r="O40" s="20">
        <f>Age+N40</f>
        <v>81</v>
      </c>
      <c r="P40" s="24">
        <f>P39-P39*VLOOKUP(O39,lifetable,2,FALSE)</f>
        <v>0.94710799999999995</v>
      </c>
      <c r="Q40" s="24">
        <f>Q39-Q39*VLOOKUP(O39,lifetable,3,FALSE)</f>
        <v>0.96235000000000004</v>
      </c>
      <c r="R40" s="20">
        <f>(P40+P41)/2</f>
        <v>0.91922466692600002</v>
      </c>
      <c r="S40" s="20">
        <f>(Q40+Q41)/2</f>
        <v>0.94196790817500009</v>
      </c>
      <c r="T40" s="20">
        <f>R40*VLOOKUP(O40,lifetable,4,FALSE)</f>
        <v>0.71291686096904938</v>
      </c>
      <c r="U40" s="20">
        <f>S40*VLOOKUP(O40,lifetable,5,FALSE)</f>
        <v>0.68071507755559191</v>
      </c>
      <c r="V40" s="20">
        <f>T40/(1+Disc)^N40</f>
        <v>0.24540761943732897</v>
      </c>
      <c r="W40" s="20">
        <f>U40/(1+Disc)^N40</f>
        <v>0.23432278831355485</v>
      </c>
    </row>
    <row r="41" spans="1:23" s="21" customFormat="1" x14ac:dyDescent="0.2">
      <c r="A41" s="25">
        <v>32</v>
      </c>
      <c r="B41" s="27">
        <v>7.5500000000000003E-4</v>
      </c>
      <c r="C41" s="23">
        <v>4.3600000000000003E-4</v>
      </c>
      <c r="D41" s="23">
        <f>IF(util=1,F41,IF(util=2,H41,"err"))</f>
        <v>0.91958092999999996</v>
      </c>
      <c r="E41" s="23">
        <f>IF(util=1,G41,IF(util=2,I41,"err"))</f>
        <v>0.90134349999999996</v>
      </c>
      <c r="F41" s="20">
        <v>0.91958092999999996</v>
      </c>
      <c r="G41" s="20">
        <v>0.90134349999999996</v>
      </c>
      <c r="H41" s="22">
        <f>VLOOKUP($A41,$K$9:$M$26,2)</f>
        <v>0.91600000000000004</v>
      </c>
      <c r="I41" s="22">
        <f>VLOOKUP($A41,$K$9:$M$26,3)</f>
        <v>0.87</v>
      </c>
      <c r="J41" s="23"/>
      <c r="K41" s="23"/>
      <c r="L41" s="20"/>
      <c r="M41" s="20"/>
      <c r="N41" s="25">
        <v>32</v>
      </c>
      <c r="O41" s="20">
        <f>Age+N41</f>
        <v>82</v>
      </c>
      <c r="P41" s="24">
        <f>P40-P40*VLOOKUP(O40,lifetable,2,FALSE)</f>
        <v>0.89134133385199998</v>
      </c>
      <c r="Q41" s="24">
        <f>Q40-Q40*VLOOKUP(O40,lifetable,3,FALSE)</f>
        <v>0.92158581635000003</v>
      </c>
      <c r="R41" s="20">
        <f>(P41+P42)/2</f>
        <v>0.8623254994111158</v>
      </c>
      <c r="S41" s="20">
        <f>(Q41+Q42)/2</f>
        <v>0.89952120873494834</v>
      </c>
      <c r="T41" s="20">
        <f>R41*VLOOKUP(O41,lifetable,4,FALSE)</f>
        <v>0.66530723311906004</v>
      </c>
      <c r="U41" s="20">
        <f>S41*VLOOKUP(O41,lifetable,5,FALSE)</f>
        <v>0.64470682866638351</v>
      </c>
      <c r="V41" s="20">
        <f>T41/(1+Disc)^N41</f>
        <v>0.22127433879705408</v>
      </c>
      <c r="W41" s="20">
        <f>U41/(1+Disc)^N41</f>
        <v>0.21442285628295649</v>
      </c>
    </row>
    <row r="42" spans="1:23" s="21" customFormat="1" x14ac:dyDescent="0.2">
      <c r="A42" s="25">
        <v>33</v>
      </c>
      <c r="B42" s="27">
        <v>8.61E-4</v>
      </c>
      <c r="C42" s="23">
        <v>4.5100000000000001E-4</v>
      </c>
      <c r="D42" s="23">
        <f>IF(util=1,F42,IF(util=2,H42,"err"))</f>
        <v>0.91770163000000005</v>
      </c>
      <c r="E42" s="23">
        <f>IF(util=1,G42,IF(util=2,I42,"err"))</f>
        <v>0.89976685000000001</v>
      </c>
      <c r="F42" s="20">
        <v>0.91770163000000005</v>
      </c>
      <c r="G42" s="20">
        <v>0.89976685000000001</v>
      </c>
      <c r="H42" s="22">
        <f>VLOOKUP($A42,$K$9:$M$26,2)</f>
        <v>0.91600000000000004</v>
      </c>
      <c r="I42" s="22">
        <f>VLOOKUP($A42,$K$9:$M$26,3)</f>
        <v>0.87</v>
      </c>
      <c r="J42" s="23"/>
      <c r="K42" s="23"/>
      <c r="L42" s="20"/>
      <c r="M42" s="20"/>
      <c r="N42" s="25">
        <v>33</v>
      </c>
      <c r="O42" s="20">
        <f>Age+N42</f>
        <v>83</v>
      </c>
      <c r="P42" s="24">
        <f>P41-P41*VLOOKUP(O41,lifetable,2,FALSE)</f>
        <v>0.83330966497023162</v>
      </c>
      <c r="Q42" s="24">
        <f>Q41-Q41*VLOOKUP(O41,lifetable,3,FALSE)</f>
        <v>0.87745660111989665</v>
      </c>
      <c r="R42" s="20">
        <f>(P42+P43)/2</f>
        <v>0.8027126173466872</v>
      </c>
      <c r="S42" s="20">
        <f>(Q42+Q43)/2</f>
        <v>0.85321686251395956</v>
      </c>
      <c r="T42" s="20">
        <f>R42*VLOOKUP(O42,lifetable,4,FALSE)</f>
        <v>0.61604618099360575</v>
      </c>
      <c r="U42" s="20">
        <f>S42*VLOOKUP(O42,lifetable,5,FALSE)</f>
        <v>0.60637058457439552</v>
      </c>
      <c r="V42" s="20">
        <f>T42/(1+Disc)^N42</f>
        <v>0.19796195152172524</v>
      </c>
      <c r="W42" s="20">
        <f>U42/(1+Disc)^N42</f>
        <v>0.19485276911239002</v>
      </c>
    </row>
    <row r="43" spans="1:23" s="21" customFormat="1" x14ac:dyDescent="0.2">
      <c r="A43" s="25">
        <v>34</v>
      </c>
      <c r="B43" s="27">
        <v>8.92E-4</v>
      </c>
      <c r="C43" s="23">
        <v>5.2499999999999997E-4</v>
      </c>
      <c r="D43" s="23">
        <f>IF(util=1,F43,IF(util=2,H43,"err"))</f>
        <v>0.91578265000000003</v>
      </c>
      <c r="E43" s="23">
        <f>IF(util=1,G43,IF(util=2,I43,"err"))</f>
        <v>0.89809285999999999</v>
      </c>
      <c r="F43" s="20">
        <v>0.91578265000000003</v>
      </c>
      <c r="G43" s="20">
        <v>0.89809285999999999</v>
      </c>
      <c r="H43" s="22">
        <f>VLOOKUP($A43,$K$9:$M$26,2)</f>
        <v>0.91600000000000004</v>
      </c>
      <c r="I43" s="22">
        <f>VLOOKUP($A43,$K$9:$M$26,3)</f>
        <v>0.87</v>
      </c>
      <c r="J43" s="23"/>
      <c r="K43" s="23"/>
      <c r="L43" s="20"/>
      <c r="M43" s="20"/>
      <c r="N43" s="25">
        <v>34</v>
      </c>
      <c r="O43" s="20">
        <f>Age+N43</f>
        <v>84</v>
      </c>
      <c r="P43" s="24">
        <f>P42-P42*VLOOKUP(O42,lifetable,2,FALSE)</f>
        <v>0.77211556972314266</v>
      </c>
      <c r="Q43" s="24">
        <f>Q42-Q42*VLOOKUP(O42,lifetable,3,FALSE)</f>
        <v>0.82897712390802236</v>
      </c>
      <c r="R43" s="20">
        <f>(P43+P44)/2</f>
        <v>0.73989094036296243</v>
      </c>
      <c r="S43" s="20">
        <f>(Q43+Q44)/2</f>
        <v>0.8030699308316489</v>
      </c>
      <c r="T43" s="20">
        <f>R43*VLOOKUP(O43,lifetable,4,FALSE)</f>
        <v>0.56479616366499397</v>
      </c>
      <c r="U43" s="20">
        <f>S43*VLOOKUP(O43,lifetable,5,FALSE)</f>
        <v>0.56580124938198206</v>
      </c>
      <c r="V43" s="20">
        <f>T43/(1+Disc)^N43</f>
        <v>0.1753556829756307</v>
      </c>
      <c r="W43" s="20">
        <f>U43/(1+Disc)^N43</f>
        <v>0.17566773802077801</v>
      </c>
    </row>
    <row r="44" spans="1:23" s="21" customFormat="1" x14ac:dyDescent="0.2">
      <c r="A44" s="25">
        <v>35</v>
      </c>
      <c r="B44" s="27">
        <v>9.6699999999999998E-4</v>
      </c>
      <c r="C44" s="23">
        <v>5.5400000000000002E-4</v>
      </c>
      <c r="D44" s="23">
        <f>IF(util=1,F44,IF(util=2,H44,"err"))</f>
        <v>0.91382355000000004</v>
      </c>
      <c r="E44" s="23">
        <f>IF(util=1,G44,IF(util=2,I44,"err"))</f>
        <v>0.89632383000000004</v>
      </c>
      <c r="F44" s="20">
        <v>0.91382355000000004</v>
      </c>
      <c r="G44" s="20">
        <v>0.89632383000000004</v>
      </c>
      <c r="H44" s="22">
        <f>VLOOKUP($A44,$K$9:$M$26,2)</f>
        <v>0.86199999999999999</v>
      </c>
      <c r="I44" s="22">
        <f>VLOOKUP($A44,$K$9:$M$26,3)</f>
        <v>0.85699999999999998</v>
      </c>
      <c r="J44" s="23"/>
      <c r="K44" s="23"/>
      <c r="L44" s="20"/>
      <c r="M44" s="20"/>
      <c r="N44" s="25">
        <v>35</v>
      </c>
      <c r="O44" s="20">
        <f>Age+N44</f>
        <v>85</v>
      </c>
      <c r="P44" s="24">
        <f>P43-P43*VLOOKUP(O43,lifetable,2,FALSE)</f>
        <v>0.70766631100278221</v>
      </c>
      <c r="Q44" s="24">
        <f>Q43-Q43*VLOOKUP(O43,lifetable,3,FALSE)</f>
        <v>0.77716273775527533</v>
      </c>
      <c r="R44" s="20">
        <f>(P44+P45)/2</f>
        <v>0.67468410724587558</v>
      </c>
      <c r="S44" s="20">
        <f>(Q44+Q45)/2</f>
        <v>0.7494156965291987</v>
      </c>
      <c r="T44" s="20">
        <f>R44*VLOOKUP(O44,lifetable,4,FALSE)</f>
        <v>0.51222930944388079</v>
      </c>
      <c r="U44" s="20">
        <f>S44*VLOOKUP(O44,lifetable,5,FALSE)</f>
        <v>0.52331961882959122</v>
      </c>
      <c r="V44" s="20">
        <f>T44/(1+Disc)^N44</f>
        <v>0.15365694069629271</v>
      </c>
      <c r="W44" s="20">
        <f>U44/(1+Disc)^N44</f>
        <v>0.15698377690063597</v>
      </c>
    </row>
    <row r="45" spans="1:23" s="21" customFormat="1" x14ac:dyDescent="0.2">
      <c r="A45" s="25">
        <v>36</v>
      </c>
      <c r="B45" s="27">
        <v>1.0499999999999999E-3</v>
      </c>
      <c r="C45" s="23">
        <v>5.8299999999999997E-4</v>
      </c>
      <c r="D45" s="23">
        <f>IF(util=1,F45,IF(util=2,H45,"err"))</f>
        <v>0.91182388000000003</v>
      </c>
      <c r="E45" s="23">
        <f>IF(util=1,G45,IF(util=2,I45,"err"))</f>
        <v>0.89446179999999997</v>
      </c>
      <c r="F45" s="20">
        <v>0.91182388000000003</v>
      </c>
      <c r="G45" s="20">
        <v>0.89446179999999997</v>
      </c>
      <c r="H45" s="22">
        <f>VLOOKUP($A45,$K$9:$M$26,2)</f>
        <v>0.86199999999999999</v>
      </c>
      <c r="I45" s="22">
        <f>VLOOKUP($A45,$K$9:$M$26,3)</f>
        <v>0.85699999999999998</v>
      </c>
      <c r="J45" s="23"/>
      <c r="K45" s="23"/>
      <c r="L45" s="20"/>
      <c r="M45" s="20"/>
      <c r="N45" s="25">
        <v>36</v>
      </c>
      <c r="O45" s="20">
        <f>Age+N45</f>
        <v>86</v>
      </c>
      <c r="P45" s="24">
        <f>P44-P44*VLOOKUP(O44,lifetable,2,FALSE)</f>
        <v>0.64170190348896883</v>
      </c>
      <c r="Q45" s="24">
        <f>Q44-Q44*VLOOKUP(O44,lifetable,3,FALSE)</f>
        <v>0.72166865530312219</v>
      </c>
      <c r="R45" s="20">
        <f>(P45+P46)/2</f>
        <v>0.60792079018359901</v>
      </c>
      <c r="S45" s="20">
        <f>(Q45+Q46)/2</f>
        <v>0.69222276999511656</v>
      </c>
      <c r="T45" s="20">
        <f>R45*VLOOKUP(O45,lifetable,4,FALSE)</f>
        <v>0.45900812446971828</v>
      </c>
      <c r="U45" s="20">
        <f>S45*VLOOKUP(O45,lifetable,5,FALSE)</f>
        <v>0.47898684067850611</v>
      </c>
      <c r="V45" s="20">
        <f>T45/(1+Disc)^N45</f>
        <v>0.13303557164639226</v>
      </c>
      <c r="W45" s="20">
        <f>U45/(1+Disc)^N45</f>
        <v>0.13882605723892447</v>
      </c>
    </row>
    <row r="46" spans="1:23" s="21" customFormat="1" x14ac:dyDescent="0.2">
      <c r="A46" s="25">
        <v>37</v>
      </c>
      <c r="B46" s="27">
        <v>1.2110000000000001E-3</v>
      </c>
      <c r="C46" s="23">
        <v>7.4600000000000003E-4</v>
      </c>
      <c r="D46" s="23">
        <f>IF(util=1,F46,IF(util=2,H46,"err"))</f>
        <v>0.90978320999999995</v>
      </c>
      <c r="E46" s="23">
        <f>IF(util=1,G46,IF(util=2,I46,"err"))</f>
        <v>0.89250861000000004</v>
      </c>
      <c r="F46" s="20">
        <v>0.90978320999999995</v>
      </c>
      <c r="G46" s="20">
        <v>0.89250861000000004</v>
      </c>
      <c r="H46" s="22">
        <f>VLOOKUP($A46,$K$9:$M$26,2)</f>
        <v>0.86199999999999999</v>
      </c>
      <c r="I46" s="22">
        <f>VLOOKUP($A46,$K$9:$M$26,3)</f>
        <v>0.85699999999999998</v>
      </c>
      <c r="J46" s="23"/>
      <c r="K46" s="23"/>
      <c r="L46" s="20"/>
      <c r="M46" s="20"/>
      <c r="N46" s="25">
        <v>37</v>
      </c>
      <c r="O46" s="20">
        <f>Age+N46</f>
        <v>87</v>
      </c>
      <c r="P46" s="24">
        <f>P45-P45*VLOOKUP(O45,lifetable,2,FALSE)</f>
        <v>0.5741396768782292</v>
      </c>
      <c r="Q46" s="24">
        <f>Q45-Q45*VLOOKUP(O45,lifetable,3,FALSE)</f>
        <v>0.66277688468711093</v>
      </c>
      <c r="R46" s="20">
        <f>(P46+P47)/2</f>
        <v>0.54045949515319847</v>
      </c>
      <c r="S46" s="20">
        <f>(Q46+Q47)/2</f>
        <v>0.63228384577642638</v>
      </c>
      <c r="T46" s="20">
        <f>R46*VLOOKUP(O46,lifetable,4,FALSE)</f>
        <v>0.40580367144629709</v>
      </c>
      <c r="U46" s="20">
        <f>S46*VLOOKUP(O46,lifetable,5,FALSE)</f>
        <v>0.43343208743813172</v>
      </c>
      <c r="V46" s="20">
        <f>T46/(1+Disc)^N46</f>
        <v>0.11363785554837877</v>
      </c>
      <c r="W46" s="20">
        <f>U46/(1+Disc)^N46</f>
        <v>0.12137468536640597</v>
      </c>
    </row>
    <row r="47" spans="1:23" s="21" customFormat="1" x14ac:dyDescent="0.2">
      <c r="A47" s="25">
        <v>38</v>
      </c>
      <c r="B47" s="27">
        <v>1.178E-3</v>
      </c>
      <c r="C47" s="23">
        <v>7.0299999999999996E-4</v>
      </c>
      <c r="D47" s="23">
        <f>IF(util=1,F47,IF(util=2,H47,"err"))</f>
        <v>0.90770110000000004</v>
      </c>
      <c r="E47" s="23">
        <f>IF(util=1,G47,IF(util=2,I47,"err"))</f>
        <v>0.89046592000000002</v>
      </c>
      <c r="F47" s="20">
        <v>0.90770110000000004</v>
      </c>
      <c r="G47" s="20">
        <v>0.89046592000000002</v>
      </c>
      <c r="H47" s="22">
        <f>VLOOKUP($A47,$K$9:$M$26,2)</f>
        <v>0.86199999999999999</v>
      </c>
      <c r="I47" s="22">
        <f>VLOOKUP($A47,$K$9:$M$26,3)</f>
        <v>0.85699999999999998</v>
      </c>
      <c r="J47" s="23"/>
      <c r="K47" s="23"/>
      <c r="L47" s="20"/>
      <c r="M47" s="20"/>
      <c r="N47" s="25">
        <v>38</v>
      </c>
      <c r="O47" s="20">
        <f>Age+N47</f>
        <v>88</v>
      </c>
      <c r="P47" s="24">
        <f>P46-P46*VLOOKUP(O46,lifetable,2,FALSE)</f>
        <v>0.50677931342816784</v>
      </c>
      <c r="Q47" s="24">
        <f>Q46-Q46*VLOOKUP(O46,lifetable,3,FALSE)</f>
        <v>0.60179080686574171</v>
      </c>
      <c r="R47" s="20">
        <f>(P47+P48)/2</f>
        <v>0.4733899049732963</v>
      </c>
      <c r="S47" s="20">
        <f>(Q47+Q48)/2</f>
        <v>0.57016850533736751</v>
      </c>
      <c r="T47" s="20">
        <f>R47*VLOOKUP(O47,lifetable,4,FALSE)</f>
        <v>0.35344500763293318</v>
      </c>
      <c r="U47" s="20">
        <f>S47*VLOOKUP(O47,lifetable,5,FALSE)</f>
        <v>0.38711452118933765</v>
      </c>
      <c r="V47" s="20">
        <f>T47/(1+Disc)^N47</f>
        <v>9.5628767740815399E-2</v>
      </c>
      <c r="W47" s="20">
        <f>U47/(1+Disc)^N47</f>
        <v>0.10473845672297101</v>
      </c>
    </row>
    <row r="48" spans="1:23" s="21" customFormat="1" x14ac:dyDescent="0.2">
      <c r="A48" s="25">
        <v>39</v>
      </c>
      <c r="B48" s="27">
        <v>1.2899999999999999E-3</v>
      </c>
      <c r="C48" s="23">
        <v>7.6999999999999996E-4</v>
      </c>
      <c r="D48" s="23">
        <f>IF(util=1,F48,IF(util=2,H48,"err"))</f>
        <v>0.90557714</v>
      </c>
      <c r="E48" s="23">
        <f>IF(util=1,G48,IF(util=2,I48,"err"))</f>
        <v>0.88833521000000004</v>
      </c>
      <c r="F48" s="20">
        <v>0.90557714</v>
      </c>
      <c r="G48" s="20">
        <v>0.88833521000000004</v>
      </c>
      <c r="H48" s="22">
        <f>VLOOKUP($A48,$K$9:$M$26,2)</f>
        <v>0.86199999999999999</v>
      </c>
      <c r="I48" s="22">
        <f>VLOOKUP($A48,$K$9:$M$26,3)</f>
        <v>0.85699999999999998</v>
      </c>
      <c r="J48" s="23"/>
      <c r="K48" s="23"/>
      <c r="L48" s="20"/>
      <c r="M48" s="20"/>
      <c r="N48" s="25">
        <v>39</v>
      </c>
      <c r="O48" s="20">
        <f>Age+N48</f>
        <v>89</v>
      </c>
      <c r="P48" s="24">
        <f>P47-P47*VLOOKUP(O47,lifetable,2,FALSE)</f>
        <v>0.44000049651842477</v>
      </c>
      <c r="Q48" s="24">
        <f>Q47-Q47*VLOOKUP(O47,lifetable,3,FALSE)</f>
        <v>0.53854620380899343</v>
      </c>
      <c r="R48" s="20">
        <f>(P48+P49)/2</f>
        <v>0.40740239973311249</v>
      </c>
      <c r="S48" s="20">
        <f>(Q48+Q49)/2</f>
        <v>0.50699251245472254</v>
      </c>
      <c r="T48" s="20">
        <f>R48*VLOOKUP(O48,lifetable,4,FALSE)</f>
        <v>0.302445910569133</v>
      </c>
      <c r="U48" s="20">
        <f>S48*VLOOKUP(O48,lifetable,5,FALSE)</f>
        <v>0.34084693920425857</v>
      </c>
      <c r="V48" s="20">
        <f>T48/(1+Disc)^N48</f>
        <v>7.9063142982278525E-2</v>
      </c>
      <c r="W48" s="20">
        <f>U48/(1+Disc)^N48</f>
        <v>8.9101652056288685E-2</v>
      </c>
    </row>
    <row r="49" spans="1:23" s="21" customFormat="1" x14ac:dyDescent="0.2">
      <c r="A49" s="25">
        <v>40</v>
      </c>
      <c r="B49" s="27">
        <v>1.4300000000000001E-3</v>
      </c>
      <c r="C49" s="23">
        <v>8.2799999999999996E-4</v>
      </c>
      <c r="D49" s="23">
        <f>IF(util=1,F49,IF(util=2,H49,"err"))</f>
        <v>0.90341092000000001</v>
      </c>
      <c r="E49" s="23">
        <f>IF(util=1,G49,IF(util=2,I49,"err"))</f>
        <v>0.88611779000000002</v>
      </c>
      <c r="F49" s="20">
        <v>0.90341092000000001</v>
      </c>
      <c r="G49" s="20">
        <v>0.88611779000000002</v>
      </c>
      <c r="H49" s="22">
        <f>VLOOKUP($A49,$K$9:$M$26,2)</f>
        <v>0.87</v>
      </c>
      <c r="I49" s="22">
        <f>VLOOKUP($A49,$K$9:$M$26,3)</f>
        <v>0.85</v>
      </c>
      <c r="J49" s="23"/>
      <c r="K49" s="23"/>
      <c r="L49" s="20"/>
      <c r="M49" s="20"/>
      <c r="N49" s="25">
        <v>40</v>
      </c>
      <c r="O49" s="20">
        <f>Age+N49</f>
        <v>90</v>
      </c>
      <c r="P49" s="24">
        <f>P48-P48*VLOOKUP(O48,lifetable,2,FALSE)</f>
        <v>0.37480430294780021</v>
      </c>
      <c r="Q49" s="24">
        <f>Q48-Q48*VLOOKUP(O48,lifetable,3,FALSE)</f>
        <v>0.47543882110045177</v>
      </c>
      <c r="R49" s="20">
        <f>(P49+P50)/2</f>
        <v>0.34523449227103642</v>
      </c>
      <c r="S49" s="20">
        <f>(Q49+Q50)/2</f>
        <v>0.44414971684500992</v>
      </c>
      <c r="T49" s="20">
        <f>R49*VLOOKUP(O49,lifetable,4,FALSE)</f>
        <v>0.25481885266052845</v>
      </c>
      <c r="U49" s="20">
        <f>S49*VLOOKUP(O49,lifetable,5,FALSE)</f>
        <v>0.29559819890329525</v>
      </c>
      <c r="V49" s="20">
        <f>T49/(1+Disc)^N49</f>
        <v>6.4360226558982561E-2</v>
      </c>
      <c r="W49" s="20">
        <f>U49/(1+Disc)^N49</f>
        <v>7.4659966690879848E-2</v>
      </c>
    </row>
    <row r="50" spans="1:23" s="21" customFormat="1" x14ac:dyDescent="0.2">
      <c r="A50" s="25">
        <v>41</v>
      </c>
      <c r="B50" s="27">
        <v>1.534E-3</v>
      </c>
      <c r="C50" s="23">
        <v>9.1600000000000004E-4</v>
      </c>
      <c r="D50" s="23">
        <f>IF(util=1,F50,IF(util=2,H50,"err"))</f>
        <v>0.90120202999999999</v>
      </c>
      <c r="E50" s="23">
        <f>IF(util=1,G50,IF(util=2,I50,"err"))</f>
        <v>0.88381483000000005</v>
      </c>
      <c r="F50" s="20">
        <v>0.90120202999999999</v>
      </c>
      <c r="G50" s="20">
        <v>0.88381483000000005</v>
      </c>
      <c r="H50" s="22">
        <f>VLOOKUP($A50,$K$9:$M$26,2)</f>
        <v>0.87</v>
      </c>
      <c r="I50" s="22">
        <f>VLOOKUP($A50,$K$9:$M$26,3)</f>
        <v>0.85</v>
      </c>
      <c r="J50" s="23"/>
      <c r="K50" s="23"/>
      <c r="L50" s="20"/>
      <c r="M50" s="20"/>
      <c r="N50" s="25">
        <v>41</v>
      </c>
      <c r="O50" s="20">
        <f>Age+N50</f>
        <v>91</v>
      </c>
      <c r="P50" s="24">
        <f>P49-P49*VLOOKUP(O49,lifetable,2,FALSE)</f>
        <v>0.31566468159427269</v>
      </c>
      <c r="Q50" s="24">
        <f>Q49-Q49*VLOOKUP(O49,lifetable,3,FALSE)</f>
        <v>0.41286061258956813</v>
      </c>
      <c r="R50" s="20">
        <f>(P50+P51)/2</f>
        <v>0.28774524533364487</v>
      </c>
      <c r="S50" s="20">
        <f>(Q50+Q51)/2</f>
        <v>0.38232337737938071</v>
      </c>
      <c r="T50" s="20">
        <f>R50*VLOOKUP(O50,lifetable,4,FALSE)</f>
        <v>0.21115022625763627</v>
      </c>
      <c r="U50" s="20">
        <f>S50*VLOOKUP(O50,lifetable,5,FALSE)</f>
        <v>0.25183122437480082</v>
      </c>
      <c r="V50" s="20">
        <f>T50/(1+Disc)^N50</f>
        <v>5.1527279039359199E-2</v>
      </c>
      <c r="W50" s="20">
        <f>U50/(1+Disc)^N50</f>
        <v>6.1454718752471868E-2</v>
      </c>
    </row>
    <row r="51" spans="1:23" s="21" customFormat="1" x14ac:dyDescent="0.2">
      <c r="A51" s="25">
        <v>42</v>
      </c>
      <c r="B51" s="27">
        <v>1.676E-3</v>
      </c>
      <c r="C51" s="23">
        <v>1.0269999999999999E-3</v>
      </c>
      <c r="D51" s="23">
        <f>IF(util=1,F51,IF(util=2,H51,"err"))</f>
        <v>0.89895009000000003</v>
      </c>
      <c r="E51" s="23">
        <f>IF(util=1,G51,IF(util=2,I51,"err"))</f>
        <v>0.88142734</v>
      </c>
      <c r="F51" s="20">
        <v>0.89895009000000003</v>
      </c>
      <c r="G51" s="20">
        <v>0.88142734</v>
      </c>
      <c r="H51" s="22">
        <f>VLOOKUP($A51,$K$9:$M$26,2)</f>
        <v>0.87</v>
      </c>
      <c r="I51" s="22">
        <f>VLOOKUP($A51,$K$9:$M$26,3)</f>
        <v>0.85</v>
      </c>
      <c r="J51" s="23"/>
      <c r="K51" s="23"/>
      <c r="L51" s="20"/>
      <c r="M51" s="20"/>
      <c r="N51" s="25">
        <v>42</v>
      </c>
      <c r="O51" s="20">
        <f>Age+N51</f>
        <v>92</v>
      </c>
      <c r="P51" s="24">
        <f>P50-P50*VLOOKUP(O50,lifetable,2,FALSE)</f>
        <v>0.259825809073017</v>
      </c>
      <c r="Q51" s="24">
        <f>Q50-Q50*VLOOKUP(O50,lifetable,3,FALSE)</f>
        <v>0.35178614216919329</v>
      </c>
      <c r="R51" s="20">
        <f>(P51+P52)/2</f>
        <v>0.2345837317215734</v>
      </c>
      <c r="S51" s="20">
        <f>(Q51+Q52)/2</f>
        <v>0.32273230058051072</v>
      </c>
      <c r="T51" s="20">
        <f>R51*VLOOKUP(O51,lifetable,4,FALSE)</f>
        <v>0.17112795494773117</v>
      </c>
      <c r="U51" s="20">
        <f>S51*VLOOKUP(O51,lifetable,5,FALSE)</f>
        <v>0.21033832091054044</v>
      </c>
      <c r="V51" s="20">
        <f>T51/(1+Disc)^N51</f>
        <v>4.0348395489500914E-2</v>
      </c>
      <c r="W51" s="20">
        <f>U51/(1+Disc)^N51</f>
        <v>4.9593380352662038E-2</v>
      </c>
    </row>
    <row r="52" spans="1:23" s="21" customFormat="1" x14ac:dyDescent="0.2">
      <c r="A52" s="25">
        <v>43</v>
      </c>
      <c r="B52" s="27">
        <v>1.851E-3</v>
      </c>
      <c r="C52" s="23">
        <v>1.098E-3</v>
      </c>
      <c r="D52" s="23">
        <f>IF(util=1,F52,IF(util=2,H52,"err"))</f>
        <v>0.89665470999999997</v>
      </c>
      <c r="E52" s="23">
        <f>IF(util=1,G52,IF(util=2,I52,"err"))</f>
        <v>0.87895621000000002</v>
      </c>
      <c r="F52" s="20">
        <v>0.89665470999999997</v>
      </c>
      <c r="G52" s="20">
        <v>0.87895621000000002</v>
      </c>
      <c r="H52" s="22">
        <f>VLOOKUP($A52,$K$9:$M$26,2)</f>
        <v>0.87</v>
      </c>
      <c r="I52" s="22">
        <f>VLOOKUP($A52,$K$9:$M$26,3)</f>
        <v>0.85</v>
      </c>
      <c r="J52" s="23"/>
      <c r="K52" s="23"/>
      <c r="L52" s="20"/>
      <c r="M52" s="20"/>
      <c r="N52" s="25">
        <v>43</v>
      </c>
      <c r="O52" s="20">
        <f>Age+N52</f>
        <v>93</v>
      </c>
      <c r="P52" s="24">
        <f>P51-P51*VLOOKUP(O51,lifetable,2,FALSE)</f>
        <v>0.2093416543701298</v>
      </c>
      <c r="Q52" s="24">
        <f>Q51-Q51*VLOOKUP(O51,lifetable,3,FALSE)</f>
        <v>0.2936784589918281</v>
      </c>
      <c r="R52" s="20">
        <f>(P52+P53)/2</f>
        <v>0.18693864321522879</v>
      </c>
      <c r="S52" s="20">
        <f>(Q52+Q53)/2</f>
        <v>0.26685107860215407</v>
      </c>
      <c r="T52" s="20">
        <f>R52*VLOOKUP(O52,lifetable,4,FALSE)</f>
        <v>0.13556153506010957</v>
      </c>
      <c r="U52" s="20">
        <f>S52*VLOOKUP(O52,lifetable,5,FALSE)</f>
        <v>0.17204126001238673</v>
      </c>
      <c r="V52" s="20">
        <f>T52/(1+Disc)^N52</f>
        <v>3.0881716868124784E-2</v>
      </c>
      <c r="W52" s="20">
        <f>U52/(1+Disc)^N52</f>
        <v>3.9192013272659906E-2</v>
      </c>
    </row>
    <row r="53" spans="1:23" s="21" customFormat="1" x14ac:dyDescent="0.2">
      <c r="A53" s="25">
        <v>44</v>
      </c>
      <c r="B53" s="27">
        <v>1.9599999999999999E-3</v>
      </c>
      <c r="C53" s="23">
        <v>1.2600000000000001E-3</v>
      </c>
      <c r="D53" s="23">
        <f>IF(util=1,F53,IF(util=2,H53,"err"))</f>
        <v>0.89431554000000002</v>
      </c>
      <c r="E53" s="23">
        <f>IF(util=1,G53,IF(util=2,I53,"err"))</f>
        <v>0.87640218000000003</v>
      </c>
      <c r="F53" s="20">
        <v>0.89431554000000002</v>
      </c>
      <c r="G53" s="20">
        <v>0.87640218000000003</v>
      </c>
      <c r="H53" s="22">
        <f>VLOOKUP($A53,$K$9:$M$26,2)</f>
        <v>0.87</v>
      </c>
      <c r="I53" s="22">
        <f>VLOOKUP($A53,$K$9:$M$26,3)</f>
        <v>0.85</v>
      </c>
      <c r="J53" s="23"/>
      <c r="K53" s="23"/>
      <c r="L53" s="20"/>
      <c r="M53" s="20"/>
      <c r="N53" s="25">
        <v>44</v>
      </c>
      <c r="O53" s="20">
        <f>Age+N53</f>
        <v>94</v>
      </c>
      <c r="P53" s="24">
        <f>P52-P52*VLOOKUP(O52,lifetable,2,FALSE)</f>
        <v>0.16453563206032781</v>
      </c>
      <c r="Q53" s="24">
        <f>Q52-Q52*VLOOKUP(O52,lifetable,3,FALSE)</f>
        <v>0.2400236982124801</v>
      </c>
      <c r="R53" s="20">
        <f>(P53+P54)/2</f>
        <v>0.14503667884049043</v>
      </c>
      <c r="S53" s="20">
        <f>(Q53+Q54)/2</f>
        <v>0.21562852960910736</v>
      </c>
      <c r="T53" s="20">
        <f>R53*VLOOKUP(O53,lifetable,4,FALSE)</f>
        <v>0.10454548387848116</v>
      </c>
      <c r="U53" s="20">
        <f>S53*VLOOKUP(O53,lifetable,5,FALSE)</f>
        <v>0.13748264810060318</v>
      </c>
      <c r="V53" s="20">
        <f>T53/(1+Disc)^N53</f>
        <v>2.3010702955325292E-2</v>
      </c>
      <c r="W53" s="20">
        <f>U53/(1+Disc)^N53</f>
        <v>3.0260249028372061E-2</v>
      </c>
    </row>
    <row r="54" spans="1:23" s="21" customFormat="1" x14ac:dyDescent="0.2">
      <c r="A54" s="25">
        <v>45</v>
      </c>
      <c r="B54" s="27">
        <v>2.2230000000000001E-3</v>
      </c>
      <c r="C54" s="23">
        <v>1.3600000000000001E-3</v>
      </c>
      <c r="D54" s="23">
        <f>IF(util=1,F54,IF(util=2,H54,"err"))</f>
        <v>0.89193222000000005</v>
      </c>
      <c r="E54" s="23">
        <f>IF(util=1,G54,IF(util=2,I54,"err"))</f>
        <v>0.87376591000000003</v>
      </c>
      <c r="F54" s="20">
        <v>0.89193222000000005</v>
      </c>
      <c r="G54" s="20">
        <v>0.87376591000000003</v>
      </c>
      <c r="H54" s="22">
        <f>VLOOKUP($A54,$K$9:$M$26,2)</f>
        <v>0.82399999999999995</v>
      </c>
      <c r="I54" s="22">
        <f>VLOOKUP($A54,$K$9:$M$26,3)</f>
        <v>0.81499999999999995</v>
      </c>
      <c r="J54" s="23"/>
      <c r="K54" s="23"/>
      <c r="L54" s="20"/>
      <c r="M54" s="20"/>
      <c r="N54" s="25">
        <v>45</v>
      </c>
      <c r="O54" s="20">
        <f>Age+N54</f>
        <v>95</v>
      </c>
      <c r="P54" s="24">
        <f>P53-P53*VLOOKUP(O53,lifetable,2,FALSE)</f>
        <v>0.12553772562065302</v>
      </c>
      <c r="Q54" s="24">
        <f>Q53-Q53*VLOOKUP(O53,lifetable,3,FALSE)</f>
        <v>0.19123336100573463</v>
      </c>
      <c r="R54" s="20">
        <f>(P54+P55)/2</f>
        <v>0.10910828962436411</v>
      </c>
      <c r="S54" s="20">
        <f>(Q54+Q55)/2</f>
        <v>0.16957197573789307</v>
      </c>
      <c r="T54" s="20">
        <f>R54*VLOOKUP(O54,lifetable,4,FALSE)</f>
        <v>7.8172160526347526E-2</v>
      </c>
      <c r="U54" s="20">
        <f>S54*VLOOKUP(O54,lifetable,5,FALSE)</f>
        <v>0.10689674570913207</v>
      </c>
      <c r="V54" s="20">
        <f>T54/(1+Disc)^N54</f>
        <v>1.6624032317598732E-2</v>
      </c>
      <c r="W54" s="20">
        <f>U54/(1+Disc)^N54</f>
        <v>2.2732580797940181E-2</v>
      </c>
    </row>
    <row r="55" spans="1:23" s="21" customFormat="1" x14ac:dyDescent="0.2">
      <c r="A55" s="25">
        <v>46</v>
      </c>
      <c r="B55" s="27">
        <v>2.3040000000000001E-3</v>
      </c>
      <c r="C55" s="23">
        <v>1.4940000000000001E-3</v>
      </c>
      <c r="D55" s="23">
        <f>IF(util=1,F55,IF(util=2,H55,"err"))</f>
        <v>0.88950441000000002</v>
      </c>
      <c r="E55" s="23">
        <f>IF(util=1,G55,IF(util=2,I55,"err"))</f>
        <v>0.87104791999999998</v>
      </c>
      <c r="F55" s="20">
        <v>0.88950441000000002</v>
      </c>
      <c r="G55" s="20">
        <v>0.87104791999999998</v>
      </c>
      <c r="H55" s="22">
        <f>VLOOKUP($A55,$K$9:$M$26,2)</f>
        <v>0.82399999999999995</v>
      </c>
      <c r="I55" s="22">
        <f>VLOOKUP($A55,$K$9:$M$26,3)</f>
        <v>0.81499999999999995</v>
      </c>
      <c r="J55" s="23"/>
      <c r="K55" s="23"/>
      <c r="L55" s="20"/>
      <c r="M55" s="20"/>
      <c r="N55" s="25">
        <v>46</v>
      </c>
      <c r="O55" s="20">
        <f>Age+N55</f>
        <v>96</v>
      </c>
      <c r="P55" s="24">
        <f>P54-P54*VLOOKUP(O54,lifetable,2,FALSE)</f>
        <v>9.2678853628075195E-2</v>
      </c>
      <c r="Q55" s="24">
        <f>Q54-Q54*VLOOKUP(O54,lifetable,3,FALSE)</f>
        <v>0.14791059047005148</v>
      </c>
      <c r="R55" s="20">
        <f>(P55+P56)/2</f>
        <v>7.9219011036816195E-2</v>
      </c>
      <c r="S55" s="20">
        <f>(Q55+Q56)/2</f>
        <v>0.12939070543729633</v>
      </c>
      <c r="T55" s="20">
        <f>R55*VLOOKUP(O55,lifetable,4,FALSE)</f>
        <v>5.6411660503979333E-2</v>
      </c>
      <c r="U55" s="20">
        <f>S55*VLOOKUP(O55,lifetable,5,FALSE)</f>
        <v>8.0625760400728691E-2</v>
      </c>
      <c r="V55" s="20">
        <f>T55/(1+Disc)^N55</f>
        <v>1.1590783479307842E-2</v>
      </c>
      <c r="W55" s="20">
        <f>U55/(1+Disc)^N55</f>
        <v>1.6566002902777113E-2</v>
      </c>
    </row>
    <row r="56" spans="1:23" s="21" customFormat="1" x14ac:dyDescent="0.2">
      <c r="A56" s="25">
        <v>47</v>
      </c>
      <c r="B56" s="27">
        <v>2.5699999999999998E-3</v>
      </c>
      <c r="C56" s="23">
        <v>1.6180000000000001E-3</v>
      </c>
      <c r="D56" s="23">
        <f>IF(util=1,F56,IF(util=2,H56,"err"))</f>
        <v>0.88703178999999999</v>
      </c>
      <c r="E56" s="23">
        <f>IF(util=1,G56,IF(util=2,I56,"err"))</f>
        <v>0.86824862999999997</v>
      </c>
      <c r="F56" s="20">
        <v>0.88703178999999999</v>
      </c>
      <c r="G56" s="20">
        <v>0.86824862999999997</v>
      </c>
      <c r="H56" s="22">
        <f>VLOOKUP($A56,$K$9:$M$26,2)</f>
        <v>0.82399999999999995</v>
      </c>
      <c r="I56" s="22">
        <f>VLOOKUP($A56,$K$9:$M$26,3)</f>
        <v>0.81499999999999995</v>
      </c>
      <c r="J56" s="23"/>
      <c r="K56" s="23"/>
      <c r="L56" s="20"/>
      <c r="M56" s="20"/>
      <c r="N56" s="25">
        <v>47</v>
      </c>
      <c r="O56" s="20">
        <f>Age+N56</f>
        <v>97</v>
      </c>
      <c r="P56" s="24">
        <f>P55-P55*VLOOKUP(O55,lifetable,2,FALSE)</f>
        <v>6.5759168445557209E-2</v>
      </c>
      <c r="Q56" s="24">
        <f>Q55-Q55*VLOOKUP(O55,lifetable,3,FALSE)</f>
        <v>0.11087082040454119</v>
      </c>
      <c r="R56" s="20">
        <f>(P56+P57)/2</f>
        <v>5.572635787498699E-2</v>
      </c>
      <c r="S56" s="20">
        <f>(Q56+Q57)/2</f>
        <v>9.606180492310662E-2</v>
      </c>
      <c r="T56" s="20">
        <f>R56*VLOOKUP(O56,lifetable,4,FALSE)</f>
        <v>3.9438899847678968E-2</v>
      </c>
      <c r="U56" s="20">
        <f>S56*VLOOKUP(O56,lifetable,5,FALSE)</f>
        <v>5.9152745151322697E-2</v>
      </c>
      <c r="V56" s="20">
        <f>T56/(1+Disc)^N56</f>
        <v>7.8293976557841649E-3</v>
      </c>
      <c r="W56" s="20">
        <f>U56/(1+Disc)^N56</f>
        <v>1.1742983856285734E-2</v>
      </c>
    </row>
    <row r="57" spans="1:23" s="21" customFormat="1" x14ac:dyDescent="0.2">
      <c r="A57" s="25">
        <v>48</v>
      </c>
      <c r="B57" s="27">
        <v>2.715E-3</v>
      </c>
      <c r="C57" s="23">
        <v>1.7700000000000001E-3</v>
      </c>
      <c r="D57" s="23">
        <f>IF(util=1,F57,IF(util=2,H57,"err"))</f>
        <v>0.88451404</v>
      </c>
      <c r="E57" s="23">
        <f>IF(util=1,G57,IF(util=2,I57,"err"))</f>
        <v>0.86536838000000005</v>
      </c>
      <c r="F57" s="20">
        <v>0.88451404</v>
      </c>
      <c r="G57" s="20">
        <v>0.86536838000000005</v>
      </c>
      <c r="H57" s="22">
        <f>VLOOKUP($A57,$K$9:$M$26,2)</f>
        <v>0.82399999999999995</v>
      </c>
      <c r="I57" s="22">
        <f>VLOOKUP($A57,$K$9:$M$26,3)</f>
        <v>0.81499999999999995</v>
      </c>
      <c r="J57" s="23"/>
      <c r="K57" s="23"/>
      <c r="L57" s="20"/>
      <c r="M57" s="20"/>
      <c r="N57" s="25">
        <v>48</v>
      </c>
      <c r="O57" s="20">
        <f>Age+N57</f>
        <v>98</v>
      </c>
      <c r="P57" s="24">
        <f>P56-P56*VLOOKUP(O56,lifetable,2,FALSE)</f>
        <v>4.5693547304416771E-2</v>
      </c>
      <c r="Q57" s="24">
        <f>Q56-Q56*VLOOKUP(O56,lifetable,3,FALSE)</f>
        <v>8.1252789441672052E-2</v>
      </c>
      <c r="R57" s="20">
        <f>(P57+P58)/2</f>
        <v>3.8236337537562302E-2</v>
      </c>
      <c r="S57" s="20">
        <f>(Q57+Q58)/2</f>
        <v>6.9333452120920694E-2</v>
      </c>
      <c r="T57" s="20">
        <f>R57*VLOOKUP(O57,lifetable,4,FALSE)</f>
        <v>2.6893427063113345E-2</v>
      </c>
      <c r="U57" s="20">
        <f>S57*VLOOKUP(O57,lifetable,5,FALSE)</f>
        <v>4.2180874827631283E-2</v>
      </c>
      <c r="V57" s="20">
        <f>T57/(1+Disc)^N57</f>
        <v>5.1583328036732103E-3</v>
      </c>
      <c r="W57" s="20">
        <f>U57/(1+Disc)^N57</f>
        <v>8.0905639062058346E-3</v>
      </c>
    </row>
    <row r="58" spans="1:23" s="21" customFormat="1" x14ac:dyDescent="0.2">
      <c r="A58" s="25">
        <v>49</v>
      </c>
      <c r="B58" s="27">
        <v>3.042E-3</v>
      </c>
      <c r="C58" s="23">
        <v>1.897E-3</v>
      </c>
      <c r="D58" s="23">
        <f>IF(util=1,F58,IF(util=2,H58,"err"))</f>
        <v>0.88195089000000004</v>
      </c>
      <c r="E58" s="23">
        <f>IF(util=1,G58,IF(util=2,I58,"err"))</f>
        <v>0.86240737999999995</v>
      </c>
      <c r="F58" s="20">
        <v>0.88195089000000004</v>
      </c>
      <c r="G58" s="20">
        <v>0.86240737999999995</v>
      </c>
      <c r="H58" s="22">
        <f>VLOOKUP($A58,$K$9:$M$26,2)</f>
        <v>0.82399999999999995</v>
      </c>
      <c r="I58" s="22">
        <f>VLOOKUP($A58,$K$9:$M$26,3)</f>
        <v>0.81499999999999995</v>
      </c>
      <c r="J58" s="23"/>
      <c r="K58" s="23"/>
      <c r="L58" s="20"/>
      <c r="M58" s="20"/>
      <c r="N58" s="25">
        <v>49</v>
      </c>
      <c r="O58" s="20">
        <f>Age+N58</f>
        <v>99</v>
      </c>
      <c r="P58" s="24">
        <f>P57-P57*VLOOKUP(O57,lifetable,2,FALSE)</f>
        <v>3.0779127770707834E-2</v>
      </c>
      <c r="Q58" s="24">
        <f>Q57-Q57*VLOOKUP(O57,lifetable,3,FALSE)</f>
        <v>5.7414114800169329E-2</v>
      </c>
      <c r="R58" s="20">
        <f>(P58+P59)/2</f>
        <v>2.5105534200913833E-2</v>
      </c>
      <c r="S58" s="20">
        <f>(Q58+Q59)/2</f>
        <v>4.8380635391625487E-2</v>
      </c>
      <c r="T58" s="20">
        <f>R58*VLOOKUP(O58,lifetable,4,FALSE)</f>
        <v>1.7548004193977694E-2</v>
      </c>
      <c r="U58" s="20">
        <f>S58*VLOOKUP(O58,lifetable,5,FALSE)</f>
        <v>2.9073072846918305E-2</v>
      </c>
      <c r="V58" s="20">
        <f>T58/(1+Disc)^N58</f>
        <v>3.2520003950185648E-3</v>
      </c>
      <c r="W58" s="20">
        <f>U58/(1+Disc)^N58</f>
        <v>5.387828914186662E-3</v>
      </c>
    </row>
    <row r="59" spans="1:23" s="21" customFormat="1" x14ac:dyDescent="0.2">
      <c r="A59" s="25">
        <v>50</v>
      </c>
      <c r="B59" s="27">
        <v>3.2330000000000002E-3</v>
      </c>
      <c r="C59" s="23">
        <v>2.0890000000000001E-3</v>
      </c>
      <c r="D59" s="23">
        <f>IF(util=1,F59,IF(util=2,H59,"err"))</f>
        <v>0.87934204999999999</v>
      </c>
      <c r="E59" s="23">
        <f>IF(util=1,G59,IF(util=2,I59,"err"))</f>
        <v>0.85936579999999996</v>
      </c>
      <c r="F59" s="20">
        <v>0.87934204999999999</v>
      </c>
      <c r="G59" s="20">
        <v>0.85936579999999996</v>
      </c>
      <c r="H59" s="22">
        <f>VLOOKUP($A59,$K$9:$M$26,2)</f>
        <v>0.83699999999999997</v>
      </c>
      <c r="I59" s="22">
        <f>VLOOKUP($A59,$K$9:$M$26,3)</f>
        <v>0.80500000000000005</v>
      </c>
      <c r="J59" s="23"/>
      <c r="K59" s="23"/>
      <c r="L59" s="20"/>
      <c r="M59" s="20"/>
      <c r="N59" s="25">
        <v>50</v>
      </c>
      <c r="O59" s="20">
        <f>Age+N59</f>
        <v>100</v>
      </c>
      <c r="P59" s="24">
        <f>P58-P58*VLOOKUP(O58,lifetable,2,FALSE)</f>
        <v>1.9431940631119832E-2</v>
      </c>
      <c r="Q59" s="24">
        <f>Q58-Q58*VLOOKUP(O58,lifetable,3,FALSE)</f>
        <v>3.9347155983081646E-2</v>
      </c>
      <c r="R59" s="20">
        <f>(P59+P60)/2</f>
        <v>1.5661464030760495E-2</v>
      </c>
      <c r="S59" s="20">
        <f>(Q59+Q60)/2</f>
        <v>3.2455383571176943E-2</v>
      </c>
      <c r="T59" s="20">
        <f>R59*VLOOKUP(O59,lifetable,4,FALSE)</f>
        <v>1.0878360513128458E-2</v>
      </c>
      <c r="U59" s="20">
        <f>S59*VLOOKUP(O59,lifetable,5,FALSE)</f>
        <v>1.9259912590430903E-2</v>
      </c>
      <c r="V59" s="20">
        <f>T59/(1+Disc)^N59</f>
        <v>1.9478071592105811E-3</v>
      </c>
      <c r="W59" s="20">
        <f>U59/(1+Disc)^N59</f>
        <v>3.4485523424358979E-3</v>
      </c>
    </row>
    <row r="60" spans="1:23" s="21" customFormat="1" x14ac:dyDescent="0.2">
      <c r="A60" s="25">
        <v>51</v>
      </c>
      <c r="B60" s="27">
        <v>3.49E-3</v>
      </c>
      <c r="C60" s="23">
        <v>2.274E-3</v>
      </c>
      <c r="D60" s="23">
        <f>IF(util=1,F60,IF(util=2,H60,"err"))</f>
        <v>0.87668727000000002</v>
      </c>
      <c r="E60" s="23">
        <f>IF(util=1,G60,IF(util=2,I60,"err"))</f>
        <v>0.85624367999999995</v>
      </c>
      <c r="F60" s="20">
        <v>0.87668727000000002</v>
      </c>
      <c r="G60" s="20">
        <v>0.85624367999999995</v>
      </c>
      <c r="H60" s="22">
        <f>VLOOKUP($A60,$K$9:$M$26,2)</f>
        <v>0.83699999999999997</v>
      </c>
      <c r="I60" s="22">
        <f>VLOOKUP($A60,$K$9:$M$26,3)</f>
        <v>0.80500000000000005</v>
      </c>
      <c r="J60" s="23"/>
      <c r="K60" s="23"/>
      <c r="L60" s="20"/>
      <c r="M60" s="20"/>
      <c r="N60" s="25">
        <v>51</v>
      </c>
      <c r="O60" s="20">
        <f>Age+N60</f>
        <v>101</v>
      </c>
      <c r="P60" s="24">
        <f>P59-P59*VLOOKUP(O59,lifetable,2,FALSE)</f>
        <v>1.1890987430401158E-2</v>
      </c>
      <c r="Q60" s="24">
        <f>Q59-Q59*VLOOKUP(O59,lifetable,3,FALSE)</f>
        <v>2.5563611159272248E-2</v>
      </c>
      <c r="R60" s="20" t="e">
        <f>(P60+P61)/2</f>
        <v>#N/A</v>
      </c>
      <c r="S60" s="20" t="e">
        <f>(Q60+Q61)/2</f>
        <v>#N/A</v>
      </c>
      <c r="T60" s="20" t="e">
        <f>R60*VLOOKUP(O60,lifetable,4,FALSE)</f>
        <v>#N/A</v>
      </c>
      <c r="U60" s="20" t="e">
        <f>S60*VLOOKUP(O60,lifetable,5,FALSE)</f>
        <v>#N/A</v>
      </c>
      <c r="V60" s="20" t="e">
        <f>T60/(1+Disc)^N60</f>
        <v>#N/A</v>
      </c>
      <c r="W60" s="20" t="e">
        <f>U60/(1+Disc)^N60</f>
        <v>#N/A</v>
      </c>
    </row>
    <row r="61" spans="1:23" s="21" customFormat="1" x14ac:dyDescent="0.2">
      <c r="A61" s="25">
        <v>52</v>
      </c>
      <c r="B61" s="27">
        <v>3.748E-3</v>
      </c>
      <c r="C61" s="23">
        <v>2.4740000000000001E-3</v>
      </c>
      <c r="D61" s="23">
        <f>IF(util=1,F61,IF(util=2,H61,"err"))</f>
        <v>0.87398631000000004</v>
      </c>
      <c r="E61" s="23">
        <f>IF(util=1,G61,IF(util=2,I61,"err"))</f>
        <v>0.85304100999999999</v>
      </c>
      <c r="F61" s="20">
        <v>0.87398631000000004</v>
      </c>
      <c r="G61" s="20">
        <v>0.85304100999999999</v>
      </c>
      <c r="H61" s="22">
        <f>VLOOKUP($A61,$K$9:$M$26,2)</f>
        <v>0.83699999999999997</v>
      </c>
      <c r="I61" s="22">
        <f>VLOOKUP($A61,$K$9:$M$26,3)</f>
        <v>0.80500000000000005</v>
      </c>
      <c r="J61" s="23"/>
      <c r="K61" s="23"/>
      <c r="L61" s="20"/>
      <c r="M61" s="20"/>
      <c r="N61" s="25">
        <v>52</v>
      </c>
      <c r="O61" s="20">
        <f>Age+N61</f>
        <v>102</v>
      </c>
      <c r="P61" s="24" t="e">
        <f>P60-P60*VLOOKUP(O60,lifetable,2,FALSE)</f>
        <v>#N/A</v>
      </c>
      <c r="Q61" s="24" t="e">
        <f>Q60-Q60*VLOOKUP(O60,lifetable,3,FALSE)</f>
        <v>#N/A</v>
      </c>
      <c r="R61" s="20" t="e">
        <f>(P61+P62)/2</f>
        <v>#N/A</v>
      </c>
      <c r="S61" s="20" t="e">
        <f>(Q61+Q62)/2</f>
        <v>#N/A</v>
      </c>
      <c r="T61" s="20" t="e">
        <f>R61*VLOOKUP(O61,lifetable,4,FALSE)</f>
        <v>#N/A</v>
      </c>
      <c r="U61" s="20" t="e">
        <f>S61*VLOOKUP(O61,lifetable,5,FALSE)</f>
        <v>#N/A</v>
      </c>
      <c r="V61" s="20" t="e">
        <f>T61/(1+Disc)^N61</f>
        <v>#N/A</v>
      </c>
      <c r="W61" s="20" t="e">
        <f>U61/(1+Disc)^N61</f>
        <v>#N/A</v>
      </c>
    </row>
    <row r="62" spans="1:23" s="21" customFormat="1" x14ac:dyDescent="0.2">
      <c r="A62" s="25">
        <v>53</v>
      </c>
      <c r="B62" s="27">
        <v>4.0130000000000001E-3</v>
      </c>
      <c r="C62" s="23">
        <v>2.5869999999999999E-3</v>
      </c>
      <c r="D62" s="23">
        <f>IF(util=1,F62,IF(util=2,H62,"err"))</f>
        <v>0.87123896999999995</v>
      </c>
      <c r="E62" s="23">
        <f>IF(util=1,G62,IF(util=2,I62,"err"))</f>
        <v>0.84975767999999996</v>
      </c>
      <c r="F62" s="20">
        <v>0.87123896999999995</v>
      </c>
      <c r="G62" s="20">
        <v>0.84975767999999996</v>
      </c>
      <c r="H62" s="22">
        <f>VLOOKUP($A62,$K$9:$M$26,2)</f>
        <v>0.83699999999999997</v>
      </c>
      <c r="I62" s="22">
        <f>VLOOKUP($A62,$K$9:$M$26,3)</f>
        <v>0.80500000000000005</v>
      </c>
      <c r="J62" s="23"/>
      <c r="K62" s="23"/>
      <c r="L62" s="20"/>
      <c r="M62" s="20"/>
      <c r="N62" s="25">
        <v>53</v>
      </c>
      <c r="O62" s="20">
        <f>Age+N62</f>
        <v>103</v>
      </c>
      <c r="P62" s="24" t="e">
        <f>P61-P61*VLOOKUP(O61,lifetable,2,FALSE)</f>
        <v>#N/A</v>
      </c>
      <c r="Q62" s="24" t="e">
        <f>Q61-Q61*VLOOKUP(O61,lifetable,3,FALSE)</f>
        <v>#N/A</v>
      </c>
      <c r="R62" s="20" t="e">
        <f>(P62+P63)/2</f>
        <v>#N/A</v>
      </c>
      <c r="S62" s="20" t="e">
        <f>(Q62+Q63)/2</f>
        <v>#N/A</v>
      </c>
      <c r="T62" s="20" t="e">
        <f>R62*VLOOKUP(O62,lifetable,4,FALSE)</f>
        <v>#N/A</v>
      </c>
      <c r="U62" s="20" t="e">
        <f>S62*VLOOKUP(O62,lifetable,5,FALSE)</f>
        <v>#N/A</v>
      </c>
      <c r="V62" s="20" t="e">
        <f>T62/(1+Disc)^N62</f>
        <v>#N/A</v>
      </c>
      <c r="W62" s="20" t="e">
        <f>U62/(1+Disc)^N62</f>
        <v>#N/A</v>
      </c>
    </row>
    <row r="63" spans="1:23" s="21" customFormat="1" x14ac:dyDescent="0.2">
      <c r="A63" s="25">
        <v>54</v>
      </c>
      <c r="B63" s="27">
        <v>4.3090000000000003E-3</v>
      </c>
      <c r="C63" s="23">
        <v>2.7699999999999999E-3</v>
      </c>
      <c r="D63" s="23">
        <f>IF(util=1,F63,IF(util=2,H63,"err"))</f>
        <v>0.86844504</v>
      </c>
      <c r="E63" s="23">
        <f>IF(util=1,G63,IF(util=2,I63,"err"))</f>
        <v>0.84639352000000001</v>
      </c>
      <c r="F63" s="20">
        <v>0.86844504</v>
      </c>
      <c r="G63" s="20">
        <v>0.84639352000000001</v>
      </c>
      <c r="H63" s="22">
        <f>VLOOKUP($A63,$K$9:$M$26,2)</f>
        <v>0.83699999999999997</v>
      </c>
      <c r="I63" s="22">
        <f>VLOOKUP($A63,$K$9:$M$26,3)</f>
        <v>0.80500000000000005</v>
      </c>
      <c r="J63" s="23"/>
      <c r="K63" s="23"/>
      <c r="L63" s="20"/>
      <c r="M63" s="20"/>
      <c r="N63" s="25">
        <v>54</v>
      </c>
      <c r="O63" s="20">
        <f>Age+N63</f>
        <v>104</v>
      </c>
      <c r="P63" s="24" t="e">
        <f>P62-P62*VLOOKUP(O62,lifetable,2,FALSE)</f>
        <v>#N/A</v>
      </c>
      <c r="Q63" s="24" t="e">
        <f>Q62-Q62*VLOOKUP(O62,lifetable,3,FALSE)</f>
        <v>#N/A</v>
      </c>
      <c r="R63" s="20" t="e">
        <f>(P63+P64)/2</f>
        <v>#N/A</v>
      </c>
      <c r="S63" s="20" t="e">
        <f>(Q63+Q64)/2</f>
        <v>#N/A</v>
      </c>
      <c r="T63" s="20" t="e">
        <f>R63*VLOOKUP(O63,lifetable,4,FALSE)</f>
        <v>#N/A</v>
      </c>
      <c r="U63" s="20" t="e">
        <f>S63*VLOOKUP(O63,lifetable,5,FALSE)</f>
        <v>#N/A</v>
      </c>
      <c r="V63" s="20" t="e">
        <f>T63/(1+Disc)^N63</f>
        <v>#N/A</v>
      </c>
      <c r="W63" s="20" t="e">
        <f>U63/(1+Disc)^N63</f>
        <v>#N/A</v>
      </c>
    </row>
    <row r="64" spans="1:23" s="21" customFormat="1" x14ac:dyDescent="0.2">
      <c r="A64" s="25">
        <v>55</v>
      </c>
      <c r="B64" s="27">
        <v>4.6420000000000003E-3</v>
      </c>
      <c r="C64" s="23">
        <v>3.0839999999999999E-3</v>
      </c>
      <c r="D64" s="23">
        <f>IF(util=1,F64,IF(util=2,H64,"err"))</f>
        <v>0.86560437000000001</v>
      </c>
      <c r="E64" s="23">
        <f>IF(util=1,G64,IF(util=2,I64,"err"))</f>
        <v>0.84294827000000006</v>
      </c>
      <c r="F64" s="20">
        <v>0.86560437000000001</v>
      </c>
      <c r="G64" s="20">
        <v>0.84294827000000006</v>
      </c>
      <c r="H64" s="22">
        <f>VLOOKUP($A64,$K$9:$M$26,2)</f>
        <v>0.81699999999999995</v>
      </c>
      <c r="I64" s="22">
        <f>VLOOKUP($A64,$K$9:$M$26,3)</f>
        <v>0.80200000000000005</v>
      </c>
      <c r="J64" s="23"/>
      <c r="K64" s="23"/>
      <c r="L64" s="20"/>
      <c r="M64" s="20"/>
      <c r="N64" s="25">
        <v>55</v>
      </c>
      <c r="O64" s="20">
        <f>Age+N64</f>
        <v>105</v>
      </c>
      <c r="P64" s="24" t="e">
        <f>P63-P63*VLOOKUP(O63,lifetable,2,FALSE)</f>
        <v>#N/A</v>
      </c>
      <c r="Q64" s="24" t="e">
        <f>Q63-Q63*VLOOKUP(O63,lifetable,3,FALSE)</f>
        <v>#N/A</v>
      </c>
      <c r="R64" s="20" t="e">
        <f>(P64+P65)/2</f>
        <v>#N/A</v>
      </c>
      <c r="S64" s="20" t="e">
        <f>(Q64+Q65)/2</f>
        <v>#N/A</v>
      </c>
      <c r="T64" s="20" t="e">
        <f>R64*VLOOKUP(O64,lifetable,4,FALSE)</f>
        <v>#N/A</v>
      </c>
      <c r="U64" s="20" t="e">
        <f>S64*VLOOKUP(O64,lifetable,5,FALSE)</f>
        <v>#N/A</v>
      </c>
      <c r="V64" s="20" t="e">
        <f>T64/(1+Disc)^N64</f>
        <v>#N/A</v>
      </c>
      <c r="W64" s="20" t="e">
        <f>U64/(1+Disc)^N64</f>
        <v>#N/A</v>
      </c>
    </row>
    <row r="65" spans="1:23" s="21" customFormat="1" x14ac:dyDescent="0.2">
      <c r="A65" s="25">
        <v>56</v>
      </c>
      <c r="B65" s="27">
        <v>5.1780000000000003E-3</v>
      </c>
      <c r="C65" s="23">
        <v>3.395E-3</v>
      </c>
      <c r="D65" s="23">
        <f>IF(util=1,F65,IF(util=2,H65,"err"))</f>
        <v>0.86271679999999995</v>
      </c>
      <c r="E65" s="23">
        <f>IF(util=1,G65,IF(util=2,I65,"err"))</f>
        <v>0.83942161999999998</v>
      </c>
      <c r="F65" s="20">
        <v>0.86271679999999995</v>
      </c>
      <c r="G65" s="20">
        <v>0.83942161999999998</v>
      </c>
      <c r="H65" s="22">
        <f>VLOOKUP($A65,$K$9:$M$26,2)</f>
        <v>0.81699999999999995</v>
      </c>
      <c r="I65" s="22">
        <f>VLOOKUP($A65,$K$9:$M$26,3)</f>
        <v>0.80200000000000005</v>
      </c>
      <c r="J65" s="23"/>
      <c r="K65" s="23"/>
      <c r="L65" s="20"/>
      <c r="M65" s="20"/>
      <c r="N65" s="25">
        <v>56</v>
      </c>
      <c r="O65" s="20">
        <f>Age+N65</f>
        <v>106</v>
      </c>
      <c r="P65" s="24" t="e">
        <f>P64-P64*VLOOKUP(O64,lifetable,2,FALSE)</f>
        <v>#N/A</v>
      </c>
      <c r="Q65" s="24" t="e">
        <f>Q64-Q64*VLOOKUP(O64,lifetable,3,FALSE)</f>
        <v>#N/A</v>
      </c>
      <c r="R65" s="20" t="e">
        <f>(P65+P66)/2</f>
        <v>#N/A</v>
      </c>
      <c r="S65" s="20" t="e">
        <f>(Q65+Q66)/2</f>
        <v>#N/A</v>
      </c>
      <c r="T65" s="20" t="e">
        <f>R65*VLOOKUP(O65,lifetable,4,FALSE)</f>
        <v>#N/A</v>
      </c>
      <c r="U65" s="20" t="e">
        <f>S65*VLOOKUP(O65,lifetable,5,FALSE)</f>
        <v>#N/A</v>
      </c>
      <c r="V65" s="20" t="e">
        <f>T65/(1+Disc)^N65</f>
        <v>#N/A</v>
      </c>
      <c r="W65" s="20" t="e">
        <f>U65/(1+Disc)^N65</f>
        <v>#N/A</v>
      </c>
    </row>
    <row r="66" spans="1:23" s="21" customFormat="1" x14ac:dyDescent="0.2">
      <c r="A66" s="25">
        <v>57</v>
      </c>
      <c r="B66" s="27">
        <v>5.6779999999999999E-3</v>
      </c>
      <c r="C66" s="23">
        <v>3.6819999999999999E-3</v>
      </c>
      <c r="D66" s="23">
        <f>IF(util=1,F66,IF(util=2,H66,"err"))</f>
        <v>0.85978222000000004</v>
      </c>
      <c r="E66" s="23">
        <f>IF(util=1,G66,IF(util=2,I66,"err"))</f>
        <v>0.83581316999999999</v>
      </c>
      <c r="F66" s="20">
        <v>0.85978222000000004</v>
      </c>
      <c r="G66" s="20">
        <v>0.83581316999999999</v>
      </c>
      <c r="H66" s="22">
        <f>VLOOKUP($A66,$K$9:$M$26,2)</f>
        <v>0.81699999999999995</v>
      </c>
      <c r="I66" s="22">
        <f>VLOOKUP($A66,$K$9:$M$26,3)</f>
        <v>0.80200000000000005</v>
      </c>
      <c r="J66" s="23"/>
      <c r="K66" s="23"/>
      <c r="L66" s="20"/>
      <c r="M66" s="20"/>
      <c r="N66" s="25">
        <v>57</v>
      </c>
      <c r="O66" s="20">
        <f>Age+N66</f>
        <v>107</v>
      </c>
      <c r="P66" s="24" t="e">
        <f>P65-P65*VLOOKUP(O65,lifetable,2,FALSE)</f>
        <v>#N/A</v>
      </c>
      <c r="Q66" s="24" t="e">
        <f>Q65-Q65*VLOOKUP(O65,lifetable,3,FALSE)</f>
        <v>#N/A</v>
      </c>
      <c r="R66" s="20" t="e">
        <f>(P66+P67)/2</f>
        <v>#N/A</v>
      </c>
      <c r="S66" s="20" t="e">
        <f>(Q66+Q67)/2</f>
        <v>#N/A</v>
      </c>
      <c r="T66" s="20" t="e">
        <f>R66*VLOOKUP(O66,lifetable,4,FALSE)</f>
        <v>#N/A</v>
      </c>
      <c r="U66" s="20" t="e">
        <f>S66*VLOOKUP(O66,lifetable,5,FALSE)</f>
        <v>#N/A</v>
      </c>
      <c r="V66" s="20" t="e">
        <f>T66/(1+Disc)^N66</f>
        <v>#N/A</v>
      </c>
      <c r="W66" s="20" t="e">
        <f>U66/(1+Disc)^N66</f>
        <v>#N/A</v>
      </c>
    </row>
    <row r="67" spans="1:23" s="21" customFormat="1" x14ac:dyDescent="0.2">
      <c r="A67" s="25">
        <v>58</v>
      </c>
      <c r="B67" s="27">
        <v>6.1890000000000001E-3</v>
      </c>
      <c r="C67" s="23">
        <v>4.0730000000000002E-3</v>
      </c>
      <c r="D67" s="23">
        <f>IF(util=1,F67,IF(util=2,H67,"err"))</f>
        <v>0.85680053</v>
      </c>
      <c r="E67" s="23">
        <f>IF(util=1,G67,IF(util=2,I67,"err"))</f>
        <v>0.83212248</v>
      </c>
      <c r="F67" s="20">
        <v>0.85680053</v>
      </c>
      <c r="G67" s="20">
        <v>0.83212248</v>
      </c>
      <c r="H67" s="22">
        <f>VLOOKUP($A67,$K$9:$M$26,2)</f>
        <v>0.81699999999999995</v>
      </c>
      <c r="I67" s="22">
        <f>VLOOKUP($A67,$K$9:$M$26,3)</f>
        <v>0.80200000000000005</v>
      </c>
      <c r="J67" s="23"/>
      <c r="K67" s="23"/>
      <c r="L67" s="20"/>
      <c r="M67" s="20"/>
      <c r="N67" s="25">
        <v>58</v>
      </c>
      <c r="O67" s="20">
        <f>Age+N67</f>
        <v>108</v>
      </c>
      <c r="P67" s="24" t="e">
        <f>P66-P66*VLOOKUP(O66,lifetable,2,FALSE)</f>
        <v>#N/A</v>
      </c>
      <c r="Q67" s="24" t="e">
        <f>Q66-Q66*VLOOKUP(O66,lifetable,3,FALSE)</f>
        <v>#N/A</v>
      </c>
      <c r="R67" s="20" t="e">
        <f>(P67+P68)/2</f>
        <v>#N/A</v>
      </c>
      <c r="S67" s="20" t="e">
        <f>(Q67+Q68)/2</f>
        <v>#N/A</v>
      </c>
      <c r="T67" s="20" t="e">
        <f>R67*VLOOKUP(O67,lifetable,4,FALSE)</f>
        <v>#N/A</v>
      </c>
      <c r="U67" s="20" t="e">
        <f>S67*VLOOKUP(O67,lifetable,5,FALSE)</f>
        <v>#N/A</v>
      </c>
      <c r="V67" s="20" t="e">
        <f>T67/(1+Disc)^N67</f>
        <v>#N/A</v>
      </c>
      <c r="W67" s="20" t="e">
        <f>U67/(1+Disc)^N67</f>
        <v>#N/A</v>
      </c>
    </row>
    <row r="68" spans="1:23" s="21" customFormat="1" x14ac:dyDescent="0.2">
      <c r="A68" s="25">
        <v>59</v>
      </c>
      <c r="B68" s="27">
        <v>6.705E-3</v>
      </c>
      <c r="C68" s="23">
        <v>4.3930000000000002E-3</v>
      </c>
      <c r="D68" s="23">
        <f>IF(util=1,F68,IF(util=2,H68,"err"))</f>
        <v>0.85377168999999997</v>
      </c>
      <c r="E68" s="23">
        <f>IF(util=1,G68,IF(util=2,I68,"err"))</f>
        <v>0.82834901000000005</v>
      </c>
      <c r="F68" s="20">
        <v>0.85377168999999997</v>
      </c>
      <c r="G68" s="20">
        <v>0.82834901000000005</v>
      </c>
      <c r="H68" s="22">
        <f>VLOOKUP($A68,$K$9:$M$26,2)</f>
        <v>0.81699999999999995</v>
      </c>
      <c r="I68" s="22">
        <f>VLOOKUP($A68,$K$9:$M$26,3)</f>
        <v>0.80200000000000005</v>
      </c>
      <c r="J68" s="23"/>
      <c r="K68" s="23"/>
      <c r="L68" s="20"/>
      <c r="M68" s="20"/>
      <c r="N68" s="25">
        <v>59</v>
      </c>
      <c r="O68" s="20">
        <f>Age+N68</f>
        <v>109</v>
      </c>
      <c r="P68" s="24" t="e">
        <f>P67-P67*VLOOKUP(O67,lifetable,2,FALSE)</f>
        <v>#N/A</v>
      </c>
      <c r="Q68" s="24" t="e">
        <f>Q67-Q67*VLOOKUP(O67,lifetable,3,FALSE)</f>
        <v>#N/A</v>
      </c>
      <c r="R68" s="20" t="e">
        <f>(P68+P69)/2</f>
        <v>#N/A</v>
      </c>
      <c r="S68" s="20" t="e">
        <f>(Q68+Q69)/2</f>
        <v>#N/A</v>
      </c>
      <c r="T68" s="20" t="e">
        <f>R68*VLOOKUP(O68,lifetable,4,FALSE)</f>
        <v>#N/A</v>
      </c>
      <c r="U68" s="20" t="e">
        <f>S68*VLOOKUP(O68,lifetable,5,FALSE)</f>
        <v>#N/A</v>
      </c>
      <c r="V68" s="20" t="e">
        <f>T68/(1+Disc)^N68</f>
        <v>#N/A</v>
      </c>
      <c r="W68" s="20" t="e">
        <f>U68/(1+Disc)^N68</f>
        <v>#N/A</v>
      </c>
    </row>
    <row r="69" spans="1:23" s="21" customFormat="1" x14ac:dyDescent="0.2">
      <c r="A69" s="25">
        <v>60</v>
      </c>
      <c r="B69" s="27">
        <v>7.3860000000000002E-3</v>
      </c>
      <c r="C69" s="23">
        <v>4.8409999999999998E-3</v>
      </c>
      <c r="D69" s="23">
        <f>IF(util=1,F69,IF(util=2,H69,"err"))</f>
        <v>0.85069565000000003</v>
      </c>
      <c r="E69" s="23">
        <f>IF(util=1,G69,IF(util=2,I69,"err"))</f>
        <v>0.82449218000000002</v>
      </c>
      <c r="F69" s="20">
        <v>0.85069565000000003</v>
      </c>
      <c r="G69" s="20">
        <v>0.82449218000000002</v>
      </c>
      <c r="H69" s="22">
        <f>VLOOKUP($A69,$K$9:$M$26,2)</f>
        <v>0.80900000000000005</v>
      </c>
      <c r="I69" s="22">
        <f>VLOOKUP($A69,$K$9:$M$26,3)</f>
        <v>0.78400000000000003</v>
      </c>
      <c r="J69" s="23"/>
      <c r="K69" s="23"/>
      <c r="L69" s="20"/>
      <c r="M69" s="20"/>
      <c r="N69" s="25">
        <v>60</v>
      </c>
      <c r="O69" s="20">
        <f>Age+N69</f>
        <v>110</v>
      </c>
      <c r="P69" s="24" t="e">
        <f>P68-P68*VLOOKUP(O68,lifetable,2,FALSE)</f>
        <v>#N/A</v>
      </c>
      <c r="Q69" s="24" t="e">
        <f>Q68-Q68*VLOOKUP(O68,lifetable,3,FALSE)</f>
        <v>#N/A</v>
      </c>
      <c r="R69" s="20" t="e">
        <f>(P69+P70)/2</f>
        <v>#N/A</v>
      </c>
      <c r="S69" s="20" t="e">
        <f>(Q69+Q70)/2</f>
        <v>#N/A</v>
      </c>
      <c r="T69" s="20" t="e">
        <f>R69*VLOOKUP(O69,lifetable,4,FALSE)</f>
        <v>#N/A</v>
      </c>
      <c r="U69" s="20" t="e">
        <f>S69*VLOOKUP(O69,lifetable,5,FALSE)</f>
        <v>#N/A</v>
      </c>
      <c r="V69" s="20" t="e">
        <f>T69/(1+Disc)^N69</f>
        <v>#N/A</v>
      </c>
      <c r="W69" s="20" t="e">
        <f>U69/(1+Disc)^N69</f>
        <v>#N/A</v>
      </c>
    </row>
    <row r="70" spans="1:23" s="21" customFormat="1" x14ac:dyDescent="0.2">
      <c r="A70" s="25">
        <v>61</v>
      </c>
      <c r="B70" s="27">
        <v>8.0169999999999998E-3</v>
      </c>
      <c r="C70" s="23">
        <v>5.2849999999999998E-3</v>
      </c>
      <c r="D70" s="23">
        <f>IF(util=1,F70,IF(util=2,H70,"err"))</f>
        <v>0.84757241000000005</v>
      </c>
      <c r="E70" s="23">
        <f>IF(util=1,G70,IF(util=2,I70,"err"))</f>
        <v>0.82055133000000002</v>
      </c>
      <c r="F70" s="20">
        <v>0.84757241000000005</v>
      </c>
      <c r="G70" s="20">
        <v>0.82055133000000002</v>
      </c>
      <c r="H70" s="22">
        <f>VLOOKUP($A70,$K$9:$M$26,2)</f>
        <v>0.80900000000000005</v>
      </c>
      <c r="I70" s="22">
        <f>VLOOKUP($A70,$K$9:$M$26,3)</f>
        <v>0.78400000000000003</v>
      </c>
      <c r="J70" s="23"/>
      <c r="K70" s="23"/>
      <c r="L70" s="20"/>
      <c r="M70" s="20"/>
      <c r="N70" s="25">
        <v>61</v>
      </c>
      <c r="O70" s="20">
        <f>Age+N70</f>
        <v>111</v>
      </c>
      <c r="P70" s="24" t="e">
        <f>P69-P69*VLOOKUP(O69,lifetable,2,FALSE)</f>
        <v>#N/A</v>
      </c>
      <c r="Q70" s="24" t="e">
        <f>Q69-Q69*VLOOKUP(O69,lifetable,3,FALSE)</f>
        <v>#N/A</v>
      </c>
      <c r="R70" s="20" t="e">
        <f>(P70+P71)/2</f>
        <v>#N/A</v>
      </c>
      <c r="S70" s="20" t="e">
        <f>(Q70+Q71)/2</f>
        <v>#N/A</v>
      </c>
      <c r="T70" s="20" t="e">
        <f>R70*VLOOKUP(O70,lifetable,4,FALSE)</f>
        <v>#N/A</v>
      </c>
      <c r="U70" s="20" t="e">
        <f>S70*VLOOKUP(O70,lifetable,5,FALSE)</f>
        <v>#N/A</v>
      </c>
      <c r="V70" s="20" t="e">
        <f>T70/(1+Disc)^N70</f>
        <v>#N/A</v>
      </c>
      <c r="W70" s="20" t="e">
        <f>U70/(1+Disc)^N70</f>
        <v>#N/A</v>
      </c>
    </row>
    <row r="71" spans="1:23" s="21" customFormat="1" x14ac:dyDescent="0.2">
      <c r="A71" s="25">
        <v>62</v>
      </c>
      <c r="B71" s="27">
        <v>8.9580000000000007E-3</v>
      </c>
      <c r="C71" s="23">
        <v>6.0790000000000002E-3</v>
      </c>
      <c r="D71" s="23">
        <f>IF(util=1,F71,IF(util=2,H71,"err"))</f>
        <v>0.84440201999999998</v>
      </c>
      <c r="E71" s="23">
        <f>IF(util=1,G71,IF(util=2,I71,"err"))</f>
        <v>0.81652575999999999</v>
      </c>
      <c r="F71" s="20">
        <v>0.84440201999999998</v>
      </c>
      <c r="G71" s="20">
        <v>0.81652575999999999</v>
      </c>
      <c r="H71" s="22">
        <f>VLOOKUP($A71,$K$9:$M$26,2)</f>
        <v>0.80900000000000005</v>
      </c>
      <c r="I71" s="22">
        <f>VLOOKUP($A71,$K$9:$M$26,3)</f>
        <v>0.78400000000000003</v>
      </c>
      <c r="J71" s="23"/>
      <c r="K71" s="23"/>
      <c r="L71" s="20"/>
      <c r="M71" s="20"/>
      <c r="N71" s="25">
        <v>62</v>
      </c>
      <c r="O71" s="20">
        <f>Age+N71</f>
        <v>112</v>
      </c>
      <c r="P71" s="24" t="e">
        <f>P70-P70*VLOOKUP(O70,lifetable,2,FALSE)</f>
        <v>#N/A</v>
      </c>
      <c r="Q71" s="24" t="e">
        <f>Q70-Q70*VLOOKUP(O70,lifetable,3,FALSE)</f>
        <v>#N/A</v>
      </c>
      <c r="R71" s="20" t="e">
        <f>(P71+P72)/2</f>
        <v>#N/A</v>
      </c>
      <c r="S71" s="20" t="e">
        <f>(Q71+Q72)/2</f>
        <v>#N/A</v>
      </c>
      <c r="T71" s="20" t="e">
        <f>R71*VLOOKUP(O71,lifetable,4,FALSE)</f>
        <v>#N/A</v>
      </c>
      <c r="U71" s="20" t="e">
        <f>S71*VLOOKUP(O71,lifetable,5,FALSE)</f>
        <v>#N/A</v>
      </c>
      <c r="V71" s="20" t="e">
        <f>T71/(1+Disc)^N71</f>
        <v>#N/A</v>
      </c>
      <c r="W71" s="20" t="e">
        <f>U71/(1+Disc)^N71</f>
        <v>#N/A</v>
      </c>
    </row>
    <row r="72" spans="1:23" s="21" customFormat="1" x14ac:dyDescent="0.2">
      <c r="A72" s="25">
        <v>63</v>
      </c>
      <c r="B72" s="27">
        <v>9.8799999999999999E-3</v>
      </c>
      <c r="C72" s="23">
        <v>6.4570000000000001E-3</v>
      </c>
      <c r="D72" s="23">
        <f>IF(util=1,F72,IF(util=2,H72,"err"))</f>
        <v>0.84118453999999998</v>
      </c>
      <c r="E72" s="23">
        <f>IF(util=1,G72,IF(util=2,I72,"err"))</f>
        <v>0.81241467999999994</v>
      </c>
      <c r="F72" s="20">
        <v>0.84118453999999998</v>
      </c>
      <c r="G72" s="20">
        <v>0.81241467999999994</v>
      </c>
      <c r="H72" s="22">
        <f>VLOOKUP($A72,$K$9:$M$26,2)</f>
        <v>0.80900000000000005</v>
      </c>
      <c r="I72" s="22">
        <f>VLOOKUP($A72,$K$9:$M$26,3)</f>
        <v>0.78400000000000003</v>
      </c>
      <c r="J72" s="23"/>
      <c r="K72" s="23"/>
      <c r="L72" s="20"/>
      <c r="M72" s="20"/>
      <c r="N72" s="25">
        <v>63</v>
      </c>
      <c r="O72" s="20">
        <f>Age+N72</f>
        <v>113</v>
      </c>
      <c r="P72" s="24" t="e">
        <f>P71-P71*VLOOKUP(O71,lifetable,2,FALSE)</f>
        <v>#N/A</v>
      </c>
      <c r="Q72" s="24" t="e">
        <f>Q71-Q71*VLOOKUP(O71,lifetable,3,FALSE)</f>
        <v>#N/A</v>
      </c>
      <c r="R72" s="20" t="e">
        <f>(P72+P73)/2</f>
        <v>#N/A</v>
      </c>
      <c r="S72" s="20" t="e">
        <f>(Q72+Q73)/2</f>
        <v>#N/A</v>
      </c>
      <c r="T72" s="20" t="e">
        <f>R72*VLOOKUP(O72,lifetable,4,FALSE)</f>
        <v>#N/A</v>
      </c>
      <c r="U72" s="20" t="e">
        <f>S72*VLOOKUP(O72,lifetable,5,FALSE)</f>
        <v>#N/A</v>
      </c>
      <c r="V72" s="20" t="e">
        <f>T72/(1+Disc)^N72</f>
        <v>#N/A</v>
      </c>
      <c r="W72" s="20" t="e">
        <f>U72/(1+Disc)^N72</f>
        <v>#N/A</v>
      </c>
    </row>
    <row r="73" spans="1:23" s="21" customFormat="1" x14ac:dyDescent="0.2">
      <c r="A73" s="25">
        <v>64</v>
      </c>
      <c r="B73" s="27">
        <v>1.0678E-2</v>
      </c>
      <c r="C73" s="23">
        <v>6.9820000000000004E-3</v>
      </c>
      <c r="D73" s="23">
        <f>IF(util=1,F73,IF(util=2,H73,"err"))</f>
        <v>0.83792007000000002</v>
      </c>
      <c r="E73" s="23">
        <f>IF(util=1,G73,IF(util=2,I73,"err"))</f>
        <v>0.80821728000000004</v>
      </c>
      <c r="F73" s="20">
        <v>0.83792007000000002</v>
      </c>
      <c r="G73" s="20">
        <v>0.80821728000000004</v>
      </c>
      <c r="H73" s="22">
        <f>VLOOKUP($A73,$K$9:$M$26,2)</f>
        <v>0.80900000000000005</v>
      </c>
      <c r="I73" s="22">
        <f>VLOOKUP($A73,$K$9:$M$26,3)</f>
        <v>0.78400000000000003</v>
      </c>
      <c r="J73" s="23"/>
      <c r="K73" s="23"/>
      <c r="L73" s="20"/>
      <c r="M73" s="20"/>
      <c r="N73" s="25">
        <v>64</v>
      </c>
      <c r="O73" s="20">
        <f>Age+N73</f>
        <v>114</v>
      </c>
      <c r="P73" s="24" t="e">
        <f>P72-P72*VLOOKUP(O72,lifetable,2,FALSE)</f>
        <v>#N/A</v>
      </c>
      <c r="Q73" s="24" t="e">
        <f>Q72-Q72*VLOOKUP(O72,lifetable,3,FALSE)</f>
        <v>#N/A</v>
      </c>
      <c r="R73" s="20" t="e">
        <f>(P73+P74)/2</f>
        <v>#N/A</v>
      </c>
      <c r="S73" s="20" t="e">
        <f>(Q73+Q74)/2</f>
        <v>#N/A</v>
      </c>
      <c r="T73" s="20" t="e">
        <f>R73*VLOOKUP(O73,lifetable,4,FALSE)</f>
        <v>#N/A</v>
      </c>
      <c r="U73" s="20" t="e">
        <f>S73*VLOOKUP(O73,lifetable,5,FALSE)</f>
        <v>#N/A</v>
      </c>
      <c r="V73" s="20" t="e">
        <f>T73/(1+Disc)^N73</f>
        <v>#N/A</v>
      </c>
      <c r="W73" s="20" t="e">
        <f>U73/(1+Disc)^N73</f>
        <v>#N/A</v>
      </c>
    </row>
    <row r="74" spans="1:23" s="21" customFormat="1" x14ac:dyDescent="0.2">
      <c r="A74" s="25">
        <v>65</v>
      </c>
      <c r="B74" s="27">
        <v>1.1802E-2</v>
      </c>
      <c r="C74" s="23">
        <v>7.6680000000000003E-3</v>
      </c>
      <c r="D74" s="23">
        <f>IF(util=1,F74,IF(util=2,H74,"err"))</f>
        <v>0.83460878000000005</v>
      </c>
      <c r="E74" s="23">
        <f>IF(util=1,G74,IF(util=2,I74,"err"))</f>
        <v>0.80393265999999997</v>
      </c>
      <c r="F74" s="20">
        <v>0.83460878000000005</v>
      </c>
      <c r="G74" s="20">
        <v>0.80393265999999997</v>
      </c>
      <c r="H74" s="22">
        <f>VLOOKUP($A74,$K$9:$M$26,2)</f>
        <v>0.79800000000000004</v>
      </c>
      <c r="I74" s="22">
        <f>VLOOKUP($A74,$K$9:$M$26,3)</f>
        <v>0.78200000000000003</v>
      </c>
      <c r="J74" s="23"/>
      <c r="K74" s="23"/>
      <c r="L74" s="20"/>
      <c r="M74" s="20"/>
      <c r="N74" s="25">
        <v>65</v>
      </c>
      <c r="O74" s="20">
        <f>Age+N74</f>
        <v>115</v>
      </c>
      <c r="P74" s="24" t="e">
        <f>P73-P73*VLOOKUP(O73,lifetable,2,FALSE)</f>
        <v>#N/A</v>
      </c>
      <c r="Q74" s="24" t="e">
        <f>Q73-Q73*VLOOKUP(O73,lifetable,3,FALSE)</f>
        <v>#N/A</v>
      </c>
      <c r="R74" s="20" t="e">
        <f>(P74+P75)/2</f>
        <v>#N/A</v>
      </c>
      <c r="S74" s="20" t="e">
        <f>(Q74+Q75)/2</f>
        <v>#N/A</v>
      </c>
      <c r="T74" s="20" t="e">
        <f>R74*VLOOKUP(O74,lifetable,4,FALSE)</f>
        <v>#N/A</v>
      </c>
      <c r="U74" s="20" t="e">
        <f>S74*VLOOKUP(O74,lifetable,5,FALSE)</f>
        <v>#N/A</v>
      </c>
      <c r="V74" s="20" t="e">
        <f>T74/(1+Disc)^N74</f>
        <v>#N/A</v>
      </c>
      <c r="W74" s="20" t="e">
        <f>U74/(1+Disc)^N74</f>
        <v>#N/A</v>
      </c>
    </row>
    <row r="75" spans="1:23" s="21" customFormat="1" x14ac:dyDescent="0.2">
      <c r="A75" s="25">
        <v>66</v>
      </c>
      <c r="B75" s="27">
        <v>1.2900999999999999E-2</v>
      </c>
      <c r="C75" s="23">
        <v>8.2439999999999996E-3</v>
      </c>
      <c r="D75" s="23">
        <f>IF(util=1,F75,IF(util=2,H75,"err"))</f>
        <v>0.83125083</v>
      </c>
      <c r="E75" s="23">
        <f>IF(util=1,G75,IF(util=2,I75,"err"))</f>
        <v>0.79955988</v>
      </c>
      <c r="F75" s="20">
        <v>0.83125083</v>
      </c>
      <c r="G75" s="20">
        <v>0.79955988</v>
      </c>
      <c r="H75" s="22">
        <f>VLOOKUP($A75,$K$9:$M$26,2)</f>
        <v>0.79800000000000004</v>
      </c>
      <c r="I75" s="22">
        <f>VLOOKUP($A75,$K$9:$M$26,3)</f>
        <v>0.78200000000000003</v>
      </c>
      <c r="J75" s="23"/>
      <c r="K75" s="23"/>
      <c r="L75" s="20"/>
      <c r="M75" s="20"/>
      <c r="N75" s="25">
        <v>66</v>
      </c>
      <c r="O75" s="20">
        <f>Age+N75</f>
        <v>116</v>
      </c>
      <c r="P75" s="24" t="e">
        <f>P74-P74*VLOOKUP(O74,lifetable,2,FALSE)</f>
        <v>#N/A</v>
      </c>
      <c r="Q75" s="24" t="e">
        <f>Q74-Q74*VLOOKUP(O74,lifetable,3,FALSE)</f>
        <v>#N/A</v>
      </c>
      <c r="R75" s="20" t="e">
        <f>(P75+P76)/2</f>
        <v>#N/A</v>
      </c>
      <c r="S75" s="20" t="e">
        <f>(Q75+Q76)/2</f>
        <v>#N/A</v>
      </c>
      <c r="T75" s="20" t="e">
        <f>R75*VLOOKUP(O75,lifetable,4,FALSE)</f>
        <v>#N/A</v>
      </c>
      <c r="U75" s="20" t="e">
        <f>S75*VLOOKUP(O75,lifetable,5,FALSE)</f>
        <v>#N/A</v>
      </c>
      <c r="V75" s="20" t="e">
        <f>T75/(1+Disc)^N75</f>
        <v>#N/A</v>
      </c>
      <c r="W75" s="20" t="e">
        <f>U75/(1+Disc)^N75</f>
        <v>#N/A</v>
      </c>
    </row>
    <row r="76" spans="1:23" s="21" customFormat="1" x14ac:dyDescent="0.2">
      <c r="A76" s="25">
        <v>67</v>
      </c>
      <c r="B76" s="27">
        <v>1.406E-2</v>
      </c>
      <c r="C76" s="23">
        <v>9.0119999999999992E-3</v>
      </c>
      <c r="D76" s="23">
        <f>IF(util=1,F76,IF(util=2,H76,"err"))</f>
        <v>0.82784647</v>
      </c>
      <c r="E76" s="23">
        <f>IF(util=1,G76,IF(util=2,I76,"err"))</f>
        <v>0.79509795999999999</v>
      </c>
      <c r="F76" s="20">
        <v>0.82784647</v>
      </c>
      <c r="G76" s="20">
        <v>0.79509795999999999</v>
      </c>
      <c r="H76" s="22">
        <f>VLOOKUP($A76,$K$9:$M$26,2)</f>
        <v>0.79800000000000004</v>
      </c>
      <c r="I76" s="22">
        <f>VLOOKUP($A76,$K$9:$M$26,3)</f>
        <v>0.78200000000000003</v>
      </c>
      <c r="J76" s="23"/>
      <c r="K76" s="23"/>
      <c r="L76" s="20"/>
      <c r="M76" s="20"/>
      <c r="N76" s="25">
        <v>67</v>
      </c>
      <c r="O76" s="20">
        <f>Age+N76</f>
        <v>117</v>
      </c>
      <c r="P76" s="24" t="e">
        <f>P75-P75*VLOOKUP(O75,lifetable,2,FALSE)</f>
        <v>#N/A</v>
      </c>
      <c r="Q76" s="24" t="e">
        <f>Q75-Q75*VLOOKUP(O75,lifetable,3,FALSE)</f>
        <v>#N/A</v>
      </c>
      <c r="R76" s="20" t="e">
        <f>(P76+P77)/2</f>
        <v>#N/A</v>
      </c>
      <c r="S76" s="20" t="e">
        <f>(Q76+Q77)/2</f>
        <v>#N/A</v>
      </c>
      <c r="T76" s="20" t="e">
        <f>R76*VLOOKUP(O76,lifetable,4,FALSE)</f>
        <v>#N/A</v>
      </c>
      <c r="U76" s="20" t="e">
        <f>S76*VLOOKUP(O76,lifetable,5,FALSE)</f>
        <v>#N/A</v>
      </c>
      <c r="V76" s="20" t="e">
        <f>T76/(1+Disc)^N76</f>
        <v>#N/A</v>
      </c>
      <c r="W76" s="20" t="e">
        <f>U76/(1+Disc)^N76</f>
        <v>#N/A</v>
      </c>
    </row>
    <row r="77" spans="1:23" s="21" customFormat="1" x14ac:dyDescent="0.2">
      <c r="A77" s="25">
        <v>68</v>
      </c>
      <c r="B77" s="27">
        <v>1.5370999999999999E-2</v>
      </c>
      <c r="C77" s="23">
        <v>1.0031999999999999E-2</v>
      </c>
      <c r="D77" s="23">
        <f>IF(util=1,F77,IF(util=2,H77,"err"))</f>
        <v>0.82439596999999998</v>
      </c>
      <c r="E77" s="23">
        <f>IF(util=1,G77,IF(util=2,I77,"err"))</f>
        <v>0.79054586000000004</v>
      </c>
      <c r="F77" s="20">
        <v>0.82439596999999998</v>
      </c>
      <c r="G77" s="20">
        <v>0.79054586000000004</v>
      </c>
      <c r="H77" s="22">
        <f>VLOOKUP($A77,$K$9:$M$26,2)</f>
        <v>0.79800000000000004</v>
      </c>
      <c r="I77" s="22">
        <f>VLOOKUP($A77,$K$9:$M$26,3)</f>
        <v>0.78200000000000003</v>
      </c>
      <c r="J77" s="23"/>
      <c r="K77" s="23"/>
      <c r="L77" s="20"/>
      <c r="M77" s="20"/>
      <c r="N77" s="25">
        <v>68</v>
      </c>
      <c r="O77" s="20">
        <f>Age+N77</f>
        <v>118</v>
      </c>
      <c r="P77" s="24" t="e">
        <f>P76-P76*VLOOKUP(O76,lifetable,2,FALSE)</f>
        <v>#N/A</v>
      </c>
      <c r="Q77" s="24" t="e">
        <f>Q76-Q76*VLOOKUP(O76,lifetable,3,FALSE)</f>
        <v>#N/A</v>
      </c>
      <c r="R77" s="20" t="e">
        <f>(P77+P78)/2</f>
        <v>#N/A</v>
      </c>
      <c r="S77" s="20" t="e">
        <f>(Q77+Q78)/2</f>
        <v>#N/A</v>
      </c>
      <c r="T77" s="20" t="e">
        <f>R77*VLOOKUP(O77,lifetable,4,FALSE)</f>
        <v>#N/A</v>
      </c>
      <c r="U77" s="20" t="e">
        <f>S77*VLOOKUP(O77,lifetable,5,FALSE)</f>
        <v>#N/A</v>
      </c>
      <c r="V77" s="20" t="e">
        <f>T77/(1+Disc)^N77</f>
        <v>#N/A</v>
      </c>
      <c r="W77" s="20" t="e">
        <f>U77/(1+Disc)^N77</f>
        <v>#N/A</v>
      </c>
    </row>
    <row r="78" spans="1:23" s="21" customFormat="1" x14ac:dyDescent="0.2">
      <c r="A78" s="25">
        <v>69</v>
      </c>
      <c r="B78" s="27">
        <v>1.6844000000000001E-2</v>
      </c>
      <c r="C78" s="23">
        <v>1.0821000000000001E-2</v>
      </c>
      <c r="D78" s="23">
        <f>IF(util=1,F78,IF(util=2,H78,"err"))</f>
        <v>0.82089964999999998</v>
      </c>
      <c r="E78" s="23">
        <f>IF(util=1,G78,IF(util=2,I78,"err"))</f>
        <v>0.78590249999999995</v>
      </c>
      <c r="F78" s="20">
        <v>0.82089964999999998</v>
      </c>
      <c r="G78" s="20">
        <v>0.78590249999999995</v>
      </c>
      <c r="H78" s="22">
        <f>VLOOKUP($A78,$K$9:$M$26,2)</f>
        <v>0.79800000000000004</v>
      </c>
      <c r="I78" s="22">
        <f>VLOOKUP($A78,$K$9:$M$26,3)</f>
        <v>0.78200000000000003</v>
      </c>
      <c r="J78" s="23"/>
      <c r="K78" s="23"/>
      <c r="L78" s="20"/>
      <c r="M78" s="20"/>
      <c r="N78" s="25">
        <v>69</v>
      </c>
      <c r="O78" s="20">
        <f>Age+N78</f>
        <v>119</v>
      </c>
      <c r="P78" s="24" t="e">
        <f>P77-P77*VLOOKUP(O77,lifetable,2,FALSE)</f>
        <v>#N/A</v>
      </c>
      <c r="Q78" s="24" t="e">
        <f>Q77-Q77*VLOOKUP(O77,lifetable,3,FALSE)</f>
        <v>#N/A</v>
      </c>
      <c r="R78" s="20" t="e">
        <f>(P78+P79)/2</f>
        <v>#N/A</v>
      </c>
      <c r="S78" s="20" t="e">
        <f>(Q78+Q79)/2</f>
        <v>#N/A</v>
      </c>
      <c r="T78" s="20" t="e">
        <f>R78*VLOOKUP(O78,lifetable,4,FALSE)</f>
        <v>#N/A</v>
      </c>
      <c r="U78" s="20" t="e">
        <f>S78*VLOOKUP(O78,lifetable,5,FALSE)</f>
        <v>#N/A</v>
      </c>
      <c r="V78" s="20" t="e">
        <f>T78/(1+Disc)^N78</f>
        <v>#N/A</v>
      </c>
      <c r="W78" s="20" t="e">
        <f>U78/(1+Disc)^N78</f>
        <v>#N/A</v>
      </c>
    </row>
    <row r="79" spans="1:23" s="21" customFormat="1" x14ac:dyDescent="0.2">
      <c r="A79" s="25">
        <v>70</v>
      </c>
      <c r="B79" s="27">
        <v>1.7795999999999999E-2</v>
      </c>
      <c r="C79" s="23">
        <v>1.1958E-2</v>
      </c>
      <c r="D79" s="23">
        <f>IF(util=1,F79,IF(util=2,H79,"err"))</f>
        <v>0.81735787999999998</v>
      </c>
      <c r="E79" s="23">
        <f>IF(util=1,G79,IF(util=2,I79,"err"))</f>
        <v>0.78116677000000001</v>
      </c>
      <c r="F79" s="20">
        <v>0.81735787999999998</v>
      </c>
      <c r="G79" s="20">
        <v>0.78116677000000001</v>
      </c>
      <c r="H79" s="22">
        <f>VLOOKUP($A79,$K$9:$M$26,2)</f>
        <v>0.80200000000000005</v>
      </c>
      <c r="I79" s="22">
        <f>VLOOKUP($A79,$K$9:$M$26,3)</f>
        <v>0.78700000000000003</v>
      </c>
      <c r="J79" s="23"/>
      <c r="K79" s="23"/>
      <c r="L79" s="20"/>
      <c r="M79" s="20"/>
      <c r="N79" s="25">
        <v>70</v>
      </c>
      <c r="O79" s="20">
        <f>Age+N79</f>
        <v>120</v>
      </c>
      <c r="P79" s="24" t="e">
        <f>P78-P78*VLOOKUP(O78,lifetable,2,FALSE)</f>
        <v>#N/A</v>
      </c>
      <c r="Q79" s="24" t="e">
        <f>Q78-Q78*VLOOKUP(O78,lifetable,3,FALSE)</f>
        <v>#N/A</v>
      </c>
      <c r="R79" s="20" t="e">
        <f>(P79+P80)/2</f>
        <v>#N/A</v>
      </c>
      <c r="S79" s="20" t="e">
        <f>(Q79+Q80)/2</f>
        <v>#N/A</v>
      </c>
      <c r="T79" s="20" t="e">
        <f>R79*VLOOKUP(O79,lifetable,4,FALSE)</f>
        <v>#N/A</v>
      </c>
      <c r="U79" s="20" t="e">
        <f>S79*VLOOKUP(O79,lifetable,5,FALSE)</f>
        <v>#N/A</v>
      </c>
      <c r="V79" s="20" t="e">
        <f>T79/(1+Disc)^N79</f>
        <v>#N/A</v>
      </c>
      <c r="W79" s="20" t="e">
        <f>U79/(1+Disc)^N79</f>
        <v>#N/A</v>
      </c>
    </row>
    <row r="80" spans="1:23" s="21" customFormat="1" x14ac:dyDescent="0.2">
      <c r="A80" s="25">
        <v>71</v>
      </c>
      <c r="B80" s="27">
        <v>1.9812E-2</v>
      </c>
      <c r="C80" s="23">
        <v>1.2886999999999999E-2</v>
      </c>
      <c r="D80" s="23">
        <f>IF(util=1,F80,IF(util=2,H80,"err"))</f>
        <v>0.81377109999999997</v>
      </c>
      <c r="E80" s="23">
        <f>IF(util=1,G80,IF(util=2,I80,"err"))</f>
        <v>0.77633753999999999</v>
      </c>
      <c r="F80" s="20">
        <v>0.81377109999999997</v>
      </c>
      <c r="G80" s="20">
        <v>0.77633753999999999</v>
      </c>
      <c r="H80" s="22">
        <f>VLOOKUP($A80,$K$9:$M$26,2)</f>
        <v>0.80200000000000005</v>
      </c>
      <c r="I80" s="22">
        <f>VLOOKUP($A80,$K$9:$M$26,3)</f>
        <v>0.78700000000000003</v>
      </c>
      <c r="J80" s="23"/>
      <c r="K80" s="23"/>
      <c r="L80" s="20"/>
      <c r="M80" s="20"/>
      <c r="N80" s="25">
        <v>71</v>
      </c>
      <c r="O80" s="20">
        <f>Age+N80</f>
        <v>121</v>
      </c>
      <c r="P80" s="24" t="e">
        <f>P79-P79*VLOOKUP(O79,lifetable,2,FALSE)</f>
        <v>#N/A</v>
      </c>
      <c r="Q80" s="24" t="e">
        <f>Q79-Q79*VLOOKUP(O79,lifetable,3,FALSE)</f>
        <v>#N/A</v>
      </c>
      <c r="R80" s="20" t="e">
        <f>(P80+P81)/2</f>
        <v>#N/A</v>
      </c>
      <c r="S80" s="20" t="e">
        <f>(Q80+Q81)/2</f>
        <v>#N/A</v>
      </c>
      <c r="T80" s="20" t="e">
        <f>R80*VLOOKUP(O80,lifetable,4,FALSE)</f>
        <v>#N/A</v>
      </c>
      <c r="U80" s="20" t="e">
        <f>S80*VLOOKUP(O80,lifetable,5,FALSE)</f>
        <v>#N/A</v>
      </c>
      <c r="V80" s="20" t="e">
        <f>T80/(1+Disc)^N80</f>
        <v>#N/A</v>
      </c>
      <c r="W80" s="20" t="e">
        <f>U80/(1+Disc)^N80</f>
        <v>#N/A</v>
      </c>
    </row>
    <row r="81" spans="1:23" s="21" customFormat="1" x14ac:dyDescent="0.2">
      <c r="A81" s="25">
        <v>72</v>
      </c>
      <c r="B81" s="27">
        <v>2.1631999999999998E-2</v>
      </c>
      <c r="C81" s="23">
        <v>1.4774000000000001E-2</v>
      </c>
      <c r="D81" s="23">
        <f>IF(util=1,F81,IF(util=2,H81,"err"))</f>
        <v>0.81013979000000003</v>
      </c>
      <c r="E81" s="23">
        <f>IF(util=1,G81,IF(util=2,I81,"err"))</f>
        <v>0.77141364000000001</v>
      </c>
      <c r="F81" s="20">
        <v>0.81013979000000003</v>
      </c>
      <c r="G81" s="20">
        <v>0.77141364000000001</v>
      </c>
      <c r="H81" s="22">
        <f>VLOOKUP($A81,$K$9:$M$26,2)</f>
        <v>0.80200000000000005</v>
      </c>
      <c r="I81" s="22">
        <f>VLOOKUP($A81,$K$9:$M$26,3)</f>
        <v>0.78700000000000003</v>
      </c>
      <c r="J81" s="23"/>
      <c r="K81" s="23"/>
      <c r="L81" s="20"/>
      <c r="M81" s="20"/>
      <c r="N81" s="25">
        <v>72</v>
      </c>
      <c r="O81" s="20">
        <f>Age+N81</f>
        <v>122</v>
      </c>
      <c r="P81" s="24" t="e">
        <f>P80-P80*VLOOKUP(O80,lifetable,2,FALSE)</f>
        <v>#N/A</v>
      </c>
      <c r="Q81" s="24" t="e">
        <f>Q80-Q80*VLOOKUP(O80,lifetable,3,FALSE)</f>
        <v>#N/A</v>
      </c>
      <c r="R81" s="20" t="e">
        <f>(P81+P82)/2</f>
        <v>#N/A</v>
      </c>
      <c r="S81" s="20" t="e">
        <f>(Q81+Q82)/2</f>
        <v>#N/A</v>
      </c>
      <c r="T81" s="20" t="e">
        <f>R81*VLOOKUP(O81,lifetable,4,FALSE)</f>
        <v>#N/A</v>
      </c>
      <c r="U81" s="20" t="e">
        <f>S81*VLOOKUP(O81,lifetable,5,FALSE)</f>
        <v>#N/A</v>
      </c>
      <c r="V81" s="20" t="e">
        <f>T81/(1+Disc)^N81</f>
        <v>#N/A</v>
      </c>
      <c r="W81" s="20" t="e">
        <f>U81/(1+Disc)^N81</f>
        <v>#N/A</v>
      </c>
    </row>
    <row r="82" spans="1:23" s="21" customFormat="1" x14ac:dyDescent="0.2">
      <c r="A82" s="25">
        <v>73</v>
      </c>
      <c r="B82" s="27">
        <v>2.4995E-2</v>
      </c>
      <c r="C82" s="23">
        <v>1.6891E-2</v>
      </c>
      <c r="D82" s="23">
        <f>IF(util=1,F82,IF(util=2,H82,"err"))</f>
        <v>0.80646446999999999</v>
      </c>
      <c r="E82" s="23">
        <f>IF(util=1,G82,IF(util=2,I82,"err"))</f>
        <v>0.76639389999999996</v>
      </c>
      <c r="F82" s="20">
        <v>0.80646446999999999</v>
      </c>
      <c r="G82" s="20">
        <v>0.76639389999999996</v>
      </c>
      <c r="H82" s="22">
        <f>VLOOKUP($A82,$K$9:$M$26,2)</f>
        <v>0.80200000000000005</v>
      </c>
      <c r="I82" s="22">
        <f>VLOOKUP($A82,$K$9:$M$26,3)</f>
        <v>0.78700000000000003</v>
      </c>
      <c r="J82" s="23"/>
      <c r="K82" s="23"/>
      <c r="L82" s="20"/>
      <c r="M82" s="20"/>
      <c r="N82" s="25">
        <v>73</v>
      </c>
      <c r="O82" s="20">
        <f>Age+N82</f>
        <v>123</v>
      </c>
      <c r="P82" s="24" t="e">
        <f>P81-P81*VLOOKUP(O81,lifetable,2,FALSE)</f>
        <v>#N/A</v>
      </c>
      <c r="Q82" s="24" t="e">
        <f>Q81-Q81*VLOOKUP(O81,lifetable,3,FALSE)</f>
        <v>#N/A</v>
      </c>
      <c r="R82" s="20" t="e">
        <f>(P82+P83)/2</f>
        <v>#N/A</v>
      </c>
      <c r="S82" s="20" t="e">
        <f>(Q82+Q83)/2</f>
        <v>#N/A</v>
      </c>
      <c r="T82" s="20" t="e">
        <f>R82*VLOOKUP(O82,lifetable,4,FALSE)</f>
        <v>#N/A</v>
      </c>
      <c r="U82" s="20" t="e">
        <f>S82*VLOOKUP(O82,lifetable,5,FALSE)</f>
        <v>#N/A</v>
      </c>
      <c r="V82" s="20" t="e">
        <f>T82/(1+Disc)^N82</f>
        <v>#N/A</v>
      </c>
      <c r="W82" s="20" t="e">
        <f>U82/(1+Disc)^N82</f>
        <v>#N/A</v>
      </c>
    </row>
    <row r="83" spans="1:23" s="21" customFormat="1" x14ac:dyDescent="0.2">
      <c r="A83" s="25">
        <v>74</v>
      </c>
      <c r="B83" s="27">
        <v>2.7226E-2</v>
      </c>
      <c r="C83" s="23">
        <v>1.8495000000000001E-2</v>
      </c>
      <c r="D83" s="23">
        <f>IF(util=1,F83,IF(util=2,H83,"err"))</f>
        <v>0.80274575000000004</v>
      </c>
      <c r="E83" s="23">
        <f>IF(util=1,G83,IF(util=2,I83,"err"))</f>
        <v>0.76127716000000001</v>
      </c>
      <c r="F83" s="20">
        <v>0.80274575000000004</v>
      </c>
      <c r="G83" s="20">
        <v>0.76127716000000001</v>
      </c>
      <c r="H83" s="22">
        <f>VLOOKUP($A83,$K$9:$M$26,2)</f>
        <v>0.80200000000000005</v>
      </c>
      <c r="I83" s="22">
        <f>VLOOKUP($A83,$K$9:$M$26,3)</f>
        <v>0.78700000000000003</v>
      </c>
      <c r="J83" s="23"/>
      <c r="K83" s="23"/>
      <c r="L83" s="20"/>
      <c r="M83" s="20"/>
      <c r="N83" s="25">
        <v>74</v>
      </c>
      <c r="O83" s="20">
        <f>Age+N83</f>
        <v>124</v>
      </c>
      <c r="P83" s="24" t="e">
        <f>P82-P82*VLOOKUP(O82,lifetable,2,FALSE)</f>
        <v>#N/A</v>
      </c>
      <c r="Q83" s="24" t="e">
        <f>Q82-Q82*VLOOKUP(O82,lifetable,3,FALSE)</f>
        <v>#N/A</v>
      </c>
      <c r="R83" s="20" t="e">
        <f>(P83+P84)/2</f>
        <v>#N/A</v>
      </c>
      <c r="S83" s="20" t="e">
        <f>(Q83+Q84)/2</f>
        <v>#N/A</v>
      </c>
      <c r="T83" s="20" t="e">
        <f>R83*VLOOKUP(O83,lifetable,4,FALSE)</f>
        <v>#N/A</v>
      </c>
      <c r="U83" s="20" t="e">
        <f>S83*VLOOKUP(O83,lifetable,5,FALSE)</f>
        <v>#N/A</v>
      </c>
      <c r="V83" s="20" t="e">
        <f>T83/(1+Disc)^N83</f>
        <v>#N/A</v>
      </c>
      <c r="W83" s="20" t="e">
        <f>U83/(1+Disc)^N83</f>
        <v>#N/A</v>
      </c>
    </row>
    <row r="84" spans="1:23" s="21" customFormat="1" x14ac:dyDescent="0.2">
      <c r="A84" s="25">
        <v>75</v>
      </c>
      <c r="B84" s="27">
        <v>3.0421E-2</v>
      </c>
      <c r="C84" s="23">
        <v>2.0695999999999999E-2</v>
      </c>
      <c r="D84" s="23">
        <f>IF(util=1,F84,IF(util=2,H84,"err"))</f>
        <v>0.79898427999999999</v>
      </c>
      <c r="E84" s="23">
        <f>IF(util=1,G84,IF(util=2,I84,"err"))</f>
        <v>0.75606225000000005</v>
      </c>
      <c r="F84" s="20">
        <v>0.79898427999999999</v>
      </c>
      <c r="G84" s="20">
        <v>0.75606225000000005</v>
      </c>
      <c r="H84" s="22">
        <f>VLOOKUP($A84,$K$9:$M$26,2)</f>
        <v>0.79100000000000004</v>
      </c>
      <c r="I84" s="22">
        <f>VLOOKUP($A84,$K$9:$M$26,3)</f>
        <v>0.74099999999999999</v>
      </c>
      <c r="J84" s="23"/>
      <c r="K84" s="23"/>
      <c r="L84" s="20"/>
      <c r="M84" s="20"/>
      <c r="N84" s="25">
        <v>75</v>
      </c>
      <c r="O84" s="20">
        <f>Age+N84</f>
        <v>125</v>
      </c>
      <c r="P84" s="24" t="e">
        <f>P83-P83*VLOOKUP(O83,lifetable,2,FALSE)</f>
        <v>#N/A</v>
      </c>
      <c r="Q84" s="24" t="e">
        <f>Q83-Q83*VLOOKUP(O83,lifetable,3,FALSE)</f>
        <v>#N/A</v>
      </c>
      <c r="R84" s="20" t="e">
        <f>(P84+P85)/2</f>
        <v>#N/A</v>
      </c>
      <c r="S84" s="20" t="e">
        <f>(Q84+Q85)/2</f>
        <v>#N/A</v>
      </c>
      <c r="T84" s="20" t="e">
        <f>R84*VLOOKUP(O84,lifetable,4,FALSE)</f>
        <v>#N/A</v>
      </c>
      <c r="U84" s="20" t="e">
        <f>S84*VLOOKUP(O84,lifetable,5,FALSE)</f>
        <v>#N/A</v>
      </c>
      <c r="V84" s="20" t="e">
        <f>T84/(1+Disc)^N84</f>
        <v>#N/A</v>
      </c>
      <c r="W84" s="20" t="e">
        <f>U84/(1+Disc)^N84</f>
        <v>#N/A</v>
      </c>
    </row>
    <row r="85" spans="1:23" s="21" customFormat="1" x14ac:dyDescent="0.2">
      <c r="A85" s="25">
        <v>76</v>
      </c>
      <c r="B85" s="27">
        <v>3.4347999999999997E-2</v>
      </c>
      <c r="C85" s="23">
        <v>2.3335999999999999E-2</v>
      </c>
      <c r="D85" s="23">
        <f>IF(util=1,F85,IF(util=2,H85,"err"))</f>
        <v>0.79518078999999997</v>
      </c>
      <c r="E85" s="23">
        <f>IF(util=1,G85,IF(util=2,I85,"err"))</f>
        <v>0.75074803999999995</v>
      </c>
      <c r="F85" s="20">
        <v>0.79518078999999997</v>
      </c>
      <c r="G85" s="20">
        <v>0.75074803999999995</v>
      </c>
      <c r="H85" s="22">
        <f>VLOOKUP($A85,$K$9:$M$26,2)</f>
        <v>0.79100000000000004</v>
      </c>
      <c r="I85" s="22">
        <f>VLOOKUP($A85,$K$9:$M$26,3)</f>
        <v>0.74099999999999999</v>
      </c>
      <c r="J85" s="23"/>
      <c r="K85" s="23"/>
      <c r="L85" s="20"/>
      <c r="M85" s="20"/>
      <c r="N85" s="25">
        <v>76</v>
      </c>
      <c r="O85" s="20">
        <f>Age+N85</f>
        <v>126</v>
      </c>
      <c r="P85" s="24" t="e">
        <f>P84-P84*VLOOKUP(O84,lifetable,2,FALSE)</f>
        <v>#N/A</v>
      </c>
      <c r="Q85" s="24" t="e">
        <f>Q84-Q84*VLOOKUP(O84,lifetable,3,FALSE)</f>
        <v>#N/A</v>
      </c>
      <c r="R85" s="20" t="e">
        <f>(P85+P86)/2</f>
        <v>#N/A</v>
      </c>
      <c r="S85" s="20" t="e">
        <f>(Q85+Q86)/2</f>
        <v>#N/A</v>
      </c>
      <c r="T85" s="20" t="e">
        <f>R85*VLOOKUP(O85,lifetable,4,FALSE)</f>
        <v>#N/A</v>
      </c>
      <c r="U85" s="20" t="e">
        <f>S85*VLOOKUP(O85,lifetable,5,FALSE)</f>
        <v>#N/A</v>
      </c>
      <c r="V85" s="20" t="e">
        <f>T85/(1+Disc)^N85</f>
        <v>#N/A</v>
      </c>
      <c r="W85" s="20" t="e">
        <f>U85/(1+Disc)^N85</f>
        <v>#N/A</v>
      </c>
    </row>
    <row r="86" spans="1:23" s="21" customFormat="1" x14ac:dyDescent="0.2">
      <c r="A86" s="25">
        <v>77</v>
      </c>
      <c r="B86" s="27">
        <v>3.7936999999999999E-2</v>
      </c>
      <c r="C86" s="23">
        <v>2.6453000000000001E-2</v>
      </c>
      <c r="D86" s="23">
        <f>IF(util=1,F86,IF(util=2,H86,"err"))</f>
        <v>0.79133606999999995</v>
      </c>
      <c r="E86" s="23">
        <f>IF(util=1,G86,IF(util=2,I86,"err"))</f>
        <v>0.74533344999999995</v>
      </c>
      <c r="F86" s="20">
        <v>0.79133606999999995</v>
      </c>
      <c r="G86" s="20">
        <v>0.74533344999999995</v>
      </c>
      <c r="H86" s="22">
        <f>VLOOKUP($A86,$K$9:$M$26,2)</f>
        <v>0.79100000000000004</v>
      </c>
      <c r="I86" s="22">
        <f>VLOOKUP($A86,$K$9:$M$26,3)</f>
        <v>0.74099999999999999</v>
      </c>
      <c r="J86" s="23"/>
      <c r="K86" s="23"/>
      <c r="L86" s="20"/>
      <c r="M86" s="20"/>
      <c r="N86" s="25">
        <v>77</v>
      </c>
      <c r="O86" s="20">
        <f>Age+N86</f>
        <v>127</v>
      </c>
      <c r="P86" s="24" t="e">
        <f>P85-P85*VLOOKUP(O85,lifetable,2,FALSE)</f>
        <v>#N/A</v>
      </c>
      <c r="Q86" s="24" t="e">
        <f>Q85-Q85*VLOOKUP(O85,lifetable,3,FALSE)</f>
        <v>#N/A</v>
      </c>
      <c r="R86" s="20" t="e">
        <f>(P86+P87)/2</f>
        <v>#N/A</v>
      </c>
      <c r="S86" s="20" t="e">
        <f>(Q86+Q87)/2</f>
        <v>#N/A</v>
      </c>
      <c r="T86" s="20" t="e">
        <f>R86*VLOOKUP(O86,lifetable,4,FALSE)</f>
        <v>#N/A</v>
      </c>
      <c r="U86" s="20" t="e">
        <f>S86*VLOOKUP(O86,lifetable,5,FALSE)</f>
        <v>#N/A</v>
      </c>
      <c r="V86" s="20" t="e">
        <f>T86/(1+Disc)^N86</f>
        <v>#N/A</v>
      </c>
      <c r="W86" s="20" t="e">
        <f>U86/(1+Disc)^N86</f>
        <v>#N/A</v>
      </c>
    </row>
    <row r="87" spans="1:23" s="21" customFormat="1" x14ac:dyDescent="0.2">
      <c r="A87" s="25">
        <v>78</v>
      </c>
      <c r="B87" s="27">
        <v>4.2587E-2</v>
      </c>
      <c r="C87" s="23">
        <v>2.9933999999999999E-2</v>
      </c>
      <c r="D87" s="23">
        <f>IF(util=1,F87,IF(util=2,H87,"err"))</f>
        <v>0.78745098000000002</v>
      </c>
      <c r="E87" s="23">
        <f>IF(util=1,G87,IF(util=2,I87,"err"))</f>
        <v>0.73981744000000005</v>
      </c>
      <c r="F87" s="20">
        <v>0.78745098000000002</v>
      </c>
      <c r="G87" s="20">
        <v>0.73981744000000005</v>
      </c>
      <c r="H87" s="22">
        <f>VLOOKUP($A87,$K$9:$M$26,2)</f>
        <v>0.79100000000000004</v>
      </c>
      <c r="I87" s="22">
        <f>VLOOKUP($A87,$K$9:$M$26,3)</f>
        <v>0.74099999999999999</v>
      </c>
      <c r="J87" s="23"/>
      <c r="K87" s="23"/>
      <c r="L87" s="20"/>
      <c r="M87" s="20"/>
      <c r="N87" s="25">
        <v>78</v>
      </c>
      <c r="O87" s="20">
        <f>Age+N87</f>
        <v>128</v>
      </c>
      <c r="P87" s="24" t="e">
        <f>P86-P86*VLOOKUP(O86,lifetable,2,FALSE)</f>
        <v>#N/A</v>
      </c>
      <c r="Q87" s="24" t="e">
        <f>Q86-Q86*VLOOKUP(O86,lifetable,3,FALSE)</f>
        <v>#N/A</v>
      </c>
      <c r="R87" s="20" t="e">
        <f>(P87+P88)/2</f>
        <v>#N/A</v>
      </c>
      <c r="S87" s="20" t="e">
        <f>(Q87+Q88)/2</f>
        <v>#N/A</v>
      </c>
      <c r="T87" s="20" t="e">
        <f>R87*VLOOKUP(O87,lifetable,4,FALSE)</f>
        <v>#N/A</v>
      </c>
      <c r="U87" s="20" t="e">
        <f>S87*VLOOKUP(O87,lifetable,5,FALSE)</f>
        <v>#N/A</v>
      </c>
      <c r="V87" s="20" t="e">
        <f>T87/(1+Disc)^N87</f>
        <v>#N/A</v>
      </c>
      <c r="W87" s="20" t="e">
        <f>U87/(1+Disc)^N87</f>
        <v>#N/A</v>
      </c>
    </row>
    <row r="88" spans="1:23" s="21" customFormat="1" x14ac:dyDescent="0.2">
      <c r="A88" s="25">
        <v>79</v>
      </c>
      <c r="B88" s="27">
        <v>4.6927999999999997E-2</v>
      </c>
      <c r="C88" s="23">
        <v>3.3614999999999999E-2</v>
      </c>
      <c r="D88" s="23">
        <f>IF(util=1,F88,IF(util=2,H88,"err"))</f>
        <v>0.78352646000000004</v>
      </c>
      <c r="E88" s="23">
        <f>IF(util=1,G88,IF(util=2,I88,"err"))</f>
        <v>0.73419909000000005</v>
      </c>
      <c r="F88" s="20">
        <v>0.78352646000000004</v>
      </c>
      <c r="G88" s="20">
        <v>0.73419909000000005</v>
      </c>
      <c r="H88" s="22">
        <f>VLOOKUP($A88,$K$9:$M$26,2)</f>
        <v>0.79100000000000004</v>
      </c>
      <c r="I88" s="22">
        <f>VLOOKUP($A88,$K$9:$M$26,3)</f>
        <v>0.74099999999999999</v>
      </c>
      <c r="J88" s="23"/>
      <c r="K88" s="23"/>
      <c r="L88" s="20"/>
      <c r="M88" s="20"/>
      <c r="N88" s="25">
        <v>79</v>
      </c>
      <c r="O88" s="20">
        <f>Age+N88</f>
        <v>129</v>
      </c>
      <c r="P88" s="24" t="e">
        <f>P87-P87*VLOOKUP(O87,lifetable,2,FALSE)</f>
        <v>#N/A</v>
      </c>
      <c r="Q88" s="24" t="e">
        <f>Q87-Q87*VLOOKUP(O87,lifetable,3,FALSE)</f>
        <v>#N/A</v>
      </c>
      <c r="R88" s="20" t="e">
        <f>(P88+P89)/2</f>
        <v>#N/A</v>
      </c>
      <c r="S88" s="20" t="e">
        <f>(Q88+Q89)/2</f>
        <v>#N/A</v>
      </c>
      <c r="T88" s="20" t="e">
        <f>R88*VLOOKUP(O88,lifetable,4,FALSE)</f>
        <v>#N/A</v>
      </c>
      <c r="U88" s="20" t="e">
        <f>S88*VLOOKUP(O88,lifetable,5,FALSE)</f>
        <v>#N/A</v>
      </c>
      <c r="V88" s="20" t="e">
        <f>T88/(1+Disc)^N88</f>
        <v>#N/A</v>
      </c>
      <c r="W88" s="20" t="e">
        <f>U88/(1+Disc)^N88</f>
        <v>#N/A</v>
      </c>
    </row>
    <row r="89" spans="1:23" s="21" customFormat="1" x14ac:dyDescent="0.2">
      <c r="A89" s="25">
        <v>80</v>
      </c>
      <c r="B89" s="27">
        <v>5.2892000000000002E-2</v>
      </c>
      <c r="C89" s="23">
        <v>3.7650000000000003E-2</v>
      </c>
      <c r="D89" s="23">
        <f>IF(util=1,F89,IF(util=2,H89,"err"))</f>
        <v>0.77956351000000002</v>
      </c>
      <c r="E89" s="23">
        <f>IF(util=1,G89,IF(util=2,I89,"err"))</f>
        <v>0.72847753999999998</v>
      </c>
      <c r="F89" s="20">
        <v>0.77956351000000002</v>
      </c>
      <c r="G89" s="20">
        <v>0.72847753999999998</v>
      </c>
      <c r="H89" s="22">
        <f>VLOOKUP($A89,$K$9:$M$26,2)</f>
        <v>0.77300000000000002</v>
      </c>
      <c r="I89" s="22">
        <f>VLOOKUP($A89,$K$9:$M$26,3)</f>
        <v>0.71699999999999997</v>
      </c>
      <c r="J89" s="23"/>
      <c r="K89" s="23"/>
      <c r="L89" s="20"/>
      <c r="M89" s="20"/>
      <c r="N89" s="25">
        <v>80</v>
      </c>
      <c r="O89" s="20">
        <f>Age+N89</f>
        <v>130</v>
      </c>
      <c r="P89" s="24" t="e">
        <f>P88-P88*VLOOKUP(O88,lifetable,2,FALSE)</f>
        <v>#N/A</v>
      </c>
      <c r="Q89" s="24" t="e">
        <f>Q88-Q88*VLOOKUP(O88,lifetable,3,FALSE)</f>
        <v>#N/A</v>
      </c>
      <c r="R89" s="20" t="e">
        <f>(P89+P90)/2</f>
        <v>#N/A</v>
      </c>
      <c r="S89" s="20" t="e">
        <f>(Q89+Q90)/2</f>
        <v>#N/A</v>
      </c>
      <c r="T89" s="20" t="e">
        <f>R89*VLOOKUP(O89,lifetable,4,FALSE)</f>
        <v>#N/A</v>
      </c>
      <c r="U89" s="20" t="e">
        <f>S89*VLOOKUP(O89,lifetable,5,FALSE)</f>
        <v>#N/A</v>
      </c>
      <c r="V89" s="20" t="e">
        <f>T89/(1+Disc)^N89</f>
        <v>#N/A</v>
      </c>
      <c r="W89" s="20" t="e">
        <f>U89/(1+Disc)^N89</f>
        <v>#N/A</v>
      </c>
    </row>
    <row r="90" spans="1:23" s="21" customFormat="1" x14ac:dyDescent="0.2">
      <c r="A90" s="25">
        <v>81</v>
      </c>
      <c r="B90" s="27">
        <v>5.8881000000000003E-2</v>
      </c>
      <c r="C90" s="23">
        <v>4.2359000000000001E-2</v>
      </c>
      <c r="D90" s="23">
        <f>IF(util=1,F90,IF(util=2,H90,"err"))</f>
        <v>0.77556323999999999</v>
      </c>
      <c r="E90" s="23">
        <f>IF(util=1,G90,IF(util=2,I90,"err"))</f>
        <v>0.72265208999999997</v>
      </c>
      <c r="F90" s="20">
        <v>0.77556323999999999</v>
      </c>
      <c r="G90" s="20">
        <v>0.72265208999999997</v>
      </c>
      <c r="H90" s="22">
        <f>VLOOKUP($A90,$K$9:$M$26,2)</f>
        <v>0.77300000000000002</v>
      </c>
      <c r="I90" s="22">
        <f>VLOOKUP($A90,$K$9:$M$26,3)</f>
        <v>0.71699999999999997</v>
      </c>
      <c r="J90" s="23"/>
      <c r="K90" s="23"/>
      <c r="L90" s="20"/>
      <c r="M90" s="20"/>
      <c r="N90" s="25">
        <v>81</v>
      </c>
      <c r="O90" s="20">
        <f>Age+N90</f>
        <v>131</v>
      </c>
      <c r="P90" s="24" t="e">
        <f>P89-P89*VLOOKUP(O89,lifetable,2,FALSE)</f>
        <v>#N/A</v>
      </c>
      <c r="Q90" s="24" t="e">
        <f>Q89-Q89*VLOOKUP(O89,lifetable,3,FALSE)</f>
        <v>#N/A</v>
      </c>
      <c r="R90" s="20" t="e">
        <f>(P90+P91)/2</f>
        <v>#N/A</v>
      </c>
      <c r="S90" s="20" t="e">
        <f>(Q90+Q91)/2</f>
        <v>#N/A</v>
      </c>
      <c r="T90" s="20" t="e">
        <f>R90*VLOOKUP(O90,lifetable,4,FALSE)</f>
        <v>#N/A</v>
      </c>
      <c r="U90" s="20" t="e">
        <f>S90*VLOOKUP(O90,lifetable,5,FALSE)</f>
        <v>#N/A</v>
      </c>
      <c r="V90" s="20" t="e">
        <f>T90/(1+Disc)^N90</f>
        <v>#N/A</v>
      </c>
      <c r="W90" s="20" t="e">
        <f>U90/(1+Disc)^N90</f>
        <v>#N/A</v>
      </c>
    </row>
    <row r="91" spans="1:23" s="21" customFormat="1" x14ac:dyDescent="0.2">
      <c r="A91" s="25">
        <v>82</v>
      </c>
      <c r="B91" s="27">
        <v>6.5105999999999997E-2</v>
      </c>
      <c r="C91" s="23">
        <v>4.7884000000000003E-2</v>
      </c>
      <c r="D91" s="23">
        <f>IF(util=1,F91,IF(util=2,H91,"err"))</f>
        <v>0.77152679999999996</v>
      </c>
      <c r="E91" s="23">
        <f>IF(util=1,G91,IF(util=2,I91,"err"))</f>
        <v>0.71672221000000003</v>
      </c>
      <c r="F91" s="20">
        <v>0.77152679999999996</v>
      </c>
      <c r="G91" s="20">
        <v>0.71672221000000003</v>
      </c>
      <c r="H91" s="22">
        <f>VLOOKUP($A91,$K$9:$M$26,2)</f>
        <v>0.77300000000000002</v>
      </c>
      <c r="I91" s="22">
        <f>VLOOKUP($A91,$K$9:$M$26,3)</f>
        <v>0.71699999999999997</v>
      </c>
      <c r="J91" s="23"/>
      <c r="K91" s="23"/>
      <c r="L91" s="20"/>
      <c r="M91" s="20"/>
      <c r="N91" s="25">
        <v>82</v>
      </c>
      <c r="O91" s="20">
        <f>Age+N91</f>
        <v>132</v>
      </c>
      <c r="P91" s="24" t="e">
        <f>P90-P90*VLOOKUP(O90,lifetable,2,FALSE)</f>
        <v>#N/A</v>
      </c>
      <c r="Q91" s="24" t="e">
        <f>Q90-Q90*VLOOKUP(O90,lifetable,3,FALSE)</f>
        <v>#N/A</v>
      </c>
      <c r="R91" s="20" t="e">
        <f>(P91+P92)/2</f>
        <v>#N/A</v>
      </c>
      <c r="S91" s="20" t="e">
        <f>(Q91+Q92)/2</f>
        <v>#N/A</v>
      </c>
      <c r="T91" s="20" t="e">
        <f>R91*VLOOKUP(O91,lifetable,4,FALSE)</f>
        <v>#N/A</v>
      </c>
      <c r="U91" s="20" t="e">
        <f>S91*VLOOKUP(O91,lifetable,5,FALSE)</f>
        <v>#N/A</v>
      </c>
      <c r="V91" s="20" t="e">
        <f>T91/(1+Disc)^N91</f>
        <v>#N/A</v>
      </c>
      <c r="W91" s="20" t="e">
        <f>U91/(1+Disc)^N91</f>
        <v>#N/A</v>
      </c>
    </row>
    <row r="92" spans="1:23" s="21" customFormat="1" x14ac:dyDescent="0.2">
      <c r="A92" s="25">
        <v>83</v>
      </c>
      <c r="B92" s="27">
        <v>7.3435E-2</v>
      </c>
      <c r="C92" s="23">
        <v>5.525E-2</v>
      </c>
      <c r="D92" s="23">
        <f>IF(util=1,F92,IF(util=2,H92,"err"))</f>
        <v>0.76745545999999998</v>
      </c>
      <c r="E92" s="23">
        <f>IF(util=1,G92,IF(util=2,I92,"err"))</f>
        <v>0.71068752999999996</v>
      </c>
      <c r="F92" s="20">
        <v>0.76745545999999998</v>
      </c>
      <c r="G92" s="20">
        <v>0.71068752999999996</v>
      </c>
      <c r="H92" s="22">
        <f>VLOOKUP($A92,$K$9:$M$26,2)</f>
        <v>0.77300000000000002</v>
      </c>
      <c r="I92" s="22">
        <f>VLOOKUP($A92,$K$9:$M$26,3)</f>
        <v>0.71699999999999997</v>
      </c>
      <c r="J92" s="23"/>
      <c r="K92" s="23"/>
      <c r="L92" s="20"/>
      <c r="M92" s="20"/>
      <c r="N92" s="25">
        <v>83</v>
      </c>
      <c r="O92" s="20">
        <f>Age+N92</f>
        <v>133</v>
      </c>
      <c r="P92" s="24" t="e">
        <f>P91-P91*VLOOKUP(O91,lifetable,2,FALSE)</f>
        <v>#N/A</v>
      </c>
      <c r="Q92" s="24" t="e">
        <f>Q91-Q91*VLOOKUP(O91,lifetable,3,FALSE)</f>
        <v>#N/A</v>
      </c>
      <c r="R92" s="20" t="e">
        <f>(P92+P93)/2</f>
        <v>#N/A</v>
      </c>
      <c r="S92" s="20" t="e">
        <f>(Q92+Q93)/2</f>
        <v>#N/A</v>
      </c>
      <c r="T92" s="20" t="e">
        <f>R92*VLOOKUP(O92,lifetable,4,FALSE)</f>
        <v>#N/A</v>
      </c>
      <c r="U92" s="20" t="e">
        <f>S92*VLOOKUP(O92,lifetable,5,FALSE)</f>
        <v>#N/A</v>
      </c>
      <c r="V92" s="20" t="e">
        <f>T92/(1+Disc)^N92</f>
        <v>#N/A</v>
      </c>
      <c r="W92" s="20" t="e">
        <f>U92/(1+Disc)^N92</f>
        <v>#N/A</v>
      </c>
    </row>
    <row r="93" spans="1:23" s="21" customFormat="1" x14ac:dyDescent="0.2">
      <c r="A93" s="25">
        <v>84</v>
      </c>
      <c r="B93" s="27">
        <v>8.3471000000000004E-2</v>
      </c>
      <c r="C93" s="23">
        <v>6.2504000000000004E-2</v>
      </c>
      <c r="D93" s="23">
        <f>IF(util=1,F93,IF(util=2,H93,"err"))</f>
        <v>0.76335056000000001</v>
      </c>
      <c r="E93" s="23">
        <f>IF(util=1,G93,IF(util=2,I93,"err"))</f>
        <v>0.70454791999999999</v>
      </c>
      <c r="F93" s="20">
        <v>0.76335056000000001</v>
      </c>
      <c r="G93" s="20">
        <v>0.70454791999999999</v>
      </c>
      <c r="H93" s="22">
        <f>VLOOKUP($A93,$K$9:$M$26,2)</f>
        <v>0.77300000000000002</v>
      </c>
      <c r="I93" s="22">
        <f>VLOOKUP($A93,$K$9:$M$26,3)</f>
        <v>0.71699999999999997</v>
      </c>
      <c r="J93" s="23"/>
      <c r="K93" s="23"/>
      <c r="L93" s="20"/>
      <c r="M93" s="20"/>
      <c r="N93" s="25">
        <v>84</v>
      </c>
      <c r="O93" s="20">
        <f>Age+N93</f>
        <v>134</v>
      </c>
      <c r="P93" s="24" t="e">
        <f>P92-P92*VLOOKUP(O92,lifetable,2,FALSE)</f>
        <v>#N/A</v>
      </c>
      <c r="Q93" s="24" t="e">
        <f>Q92-Q92*VLOOKUP(O92,lifetable,3,FALSE)</f>
        <v>#N/A</v>
      </c>
      <c r="R93" s="20" t="e">
        <f>(P93+P94)/2</f>
        <v>#N/A</v>
      </c>
      <c r="S93" s="20" t="e">
        <f>(Q93+Q94)/2</f>
        <v>#N/A</v>
      </c>
      <c r="T93" s="20" t="e">
        <f>R93*VLOOKUP(O93,lifetable,4,FALSE)</f>
        <v>#N/A</v>
      </c>
      <c r="U93" s="20" t="e">
        <f>S93*VLOOKUP(O93,lifetable,5,FALSE)</f>
        <v>#N/A</v>
      </c>
      <c r="V93" s="20" t="e">
        <f>T93/(1+Disc)^N93</f>
        <v>#N/A</v>
      </c>
      <c r="W93" s="20" t="e">
        <f>U93/(1+Disc)^N93</f>
        <v>#N/A</v>
      </c>
    </row>
    <row r="94" spans="1:23" s="21" customFormat="1" x14ac:dyDescent="0.2">
      <c r="A94" s="25">
        <v>85</v>
      </c>
      <c r="B94" s="27">
        <v>9.3214000000000005E-2</v>
      </c>
      <c r="C94" s="23">
        <v>7.1405999999999997E-2</v>
      </c>
      <c r="D94" s="23">
        <f>IF(util=1,F94,IF(util=2,H94,"err"))</f>
        <v>0.75921353999999996</v>
      </c>
      <c r="E94" s="23">
        <f>IF(util=1,G94,IF(util=2,I94,"err"))</f>
        <v>0.69830351999999996</v>
      </c>
      <c r="F94" s="20">
        <v>0.75921353999999996</v>
      </c>
      <c r="G94" s="20">
        <v>0.69830351999999996</v>
      </c>
      <c r="H94" s="22">
        <f>VLOOKUP($A94,$K$9:$M$26,2)</f>
        <v>0.71799999999999997</v>
      </c>
      <c r="I94" s="22">
        <f>VLOOKUP($A94,$K$9:$M$26,3)</f>
        <v>0.66500000000000004</v>
      </c>
      <c r="J94" s="23"/>
      <c r="K94" s="23"/>
      <c r="L94" s="20"/>
      <c r="M94" s="20"/>
      <c r="N94" s="25">
        <v>85</v>
      </c>
      <c r="O94" s="20">
        <f>Age+N94</f>
        <v>135</v>
      </c>
      <c r="P94" s="24" t="e">
        <f>P93-P93*VLOOKUP(O93,lifetable,2,FALSE)</f>
        <v>#N/A</v>
      </c>
      <c r="Q94" s="24" t="e">
        <f>Q93-Q93*VLOOKUP(O93,lifetable,3,FALSE)</f>
        <v>#N/A</v>
      </c>
      <c r="R94" s="20" t="e">
        <f>(P94+P95)/2</f>
        <v>#N/A</v>
      </c>
      <c r="S94" s="20" t="e">
        <f>(Q94+Q95)/2</f>
        <v>#N/A</v>
      </c>
      <c r="T94" s="20" t="e">
        <f>R94*VLOOKUP(O94,lifetable,4,FALSE)</f>
        <v>#N/A</v>
      </c>
      <c r="U94" s="20" t="e">
        <f>S94*VLOOKUP(O94,lifetable,5,FALSE)</f>
        <v>#N/A</v>
      </c>
      <c r="V94" s="20" t="e">
        <f>T94/(1+Disc)^N94</f>
        <v>#N/A</v>
      </c>
      <c r="W94" s="20" t="e">
        <f>U94/(1+Disc)^N94</f>
        <v>#N/A</v>
      </c>
    </row>
    <row r="95" spans="1:23" s="21" customFormat="1" x14ac:dyDescent="0.2">
      <c r="A95" s="25">
        <v>86</v>
      </c>
      <c r="B95" s="27">
        <v>0.105286</v>
      </c>
      <c r="C95" s="23">
        <v>8.1604999999999997E-2</v>
      </c>
      <c r="D95" s="23">
        <f>IF(util=1,F95,IF(util=2,H95,"err"))</f>
        <v>0.75504594000000003</v>
      </c>
      <c r="E95" s="23">
        <f>IF(util=1,G95,IF(util=2,I95,"err"))</f>
        <v>0.69195476</v>
      </c>
      <c r="F95" s="20">
        <v>0.75504594000000003</v>
      </c>
      <c r="G95" s="20">
        <v>0.69195476</v>
      </c>
      <c r="H95" s="22">
        <f>VLOOKUP($A95,$K$9:$M$26,2)</f>
        <v>0.71799999999999997</v>
      </c>
      <c r="I95" s="22">
        <f>VLOOKUP($A95,$K$9:$M$26,3)</f>
        <v>0.66500000000000004</v>
      </c>
      <c r="J95" s="23"/>
      <c r="K95" s="23"/>
      <c r="L95" s="20"/>
      <c r="M95" s="20"/>
      <c r="N95" s="25">
        <v>86</v>
      </c>
      <c r="O95" s="20">
        <f>Age+N95</f>
        <v>136</v>
      </c>
      <c r="P95" s="24" t="e">
        <f>P94-P94*VLOOKUP(O94,lifetable,2,FALSE)</f>
        <v>#N/A</v>
      </c>
      <c r="Q95" s="24" t="e">
        <f>Q94-Q94*VLOOKUP(O94,lifetable,3,FALSE)</f>
        <v>#N/A</v>
      </c>
      <c r="R95" s="20" t="e">
        <f>(P95+P96)/2</f>
        <v>#N/A</v>
      </c>
      <c r="S95" s="20" t="e">
        <f>(Q95+Q96)/2</f>
        <v>#N/A</v>
      </c>
      <c r="T95" s="20" t="e">
        <f>R95*VLOOKUP(O95,lifetable,4,FALSE)</f>
        <v>#N/A</v>
      </c>
      <c r="U95" s="20" t="e">
        <f>S95*VLOOKUP(O95,lifetable,5,FALSE)</f>
        <v>#N/A</v>
      </c>
      <c r="V95" s="20" t="e">
        <f>T95/(1+Disc)^N95</f>
        <v>#N/A</v>
      </c>
      <c r="W95" s="20" t="e">
        <f>U95/(1+Disc)^N95</f>
        <v>#N/A</v>
      </c>
    </row>
    <row r="96" spans="1:23" s="21" customFormat="1" x14ac:dyDescent="0.2">
      <c r="A96" s="25">
        <v>87</v>
      </c>
      <c r="B96" s="27">
        <v>0.117324</v>
      </c>
      <c r="C96" s="23">
        <v>9.2016000000000001E-2</v>
      </c>
      <c r="D96" s="23">
        <f>IF(util=1,F96,IF(util=2,H96,"err"))</f>
        <v>0.75084936999999996</v>
      </c>
      <c r="E96" s="23">
        <f>IF(util=1,G96,IF(util=2,I96,"err"))</f>
        <v>0.68550239000000002</v>
      </c>
      <c r="F96" s="20">
        <v>0.75084936999999996</v>
      </c>
      <c r="G96" s="20">
        <v>0.68550239000000002</v>
      </c>
      <c r="H96" s="22">
        <f>VLOOKUP($A96,$K$9:$M$26,2)</f>
        <v>0.71799999999999997</v>
      </c>
      <c r="I96" s="22">
        <f>VLOOKUP($A96,$K$9:$M$26,3)</f>
        <v>0.66500000000000004</v>
      </c>
      <c r="J96" s="23"/>
      <c r="K96" s="23"/>
      <c r="L96" s="20"/>
      <c r="M96" s="20"/>
      <c r="N96" s="25">
        <v>87</v>
      </c>
      <c r="O96" s="20">
        <f>Age+N96</f>
        <v>137</v>
      </c>
      <c r="P96" s="24" t="e">
        <f>P95-P95*VLOOKUP(O95,lifetable,2,FALSE)</f>
        <v>#N/A</v>
      </c>
      <c r="Q96" s="24" t="e">
        <f>Q95-Q95*VLOOKUP(O95,lifetable,3,FALSE)</f>
        <v>#N/A</v>
      </c>
      <c r="R96" s="20" t="e">
        <f>(P96+P97)/2</f>
        <v>#N/A</v>
      </c>
      <c r="S96" s="20" t="e">
        <f>(Q96+Q97)/2</f>
        <v>#N/A</v>
      </c>
      <c r="T96" s="20" t="e">
        <f>R96*VLOOKUP(O96,lifetable,4,FALSE)</f>
        <v>#N/A</v>
      </c>
      <c r="U96" s="20" t="e">
        <f>S96*VLOOKUP(O96,lifetable,5,FALSE)</f>
        <v>#N/A</v>
      </c>
      <c r="V96" s="20" t="e">
        <f>T96/(1+Disc)^N96</f>
        <v>#N/A</v>
      </c>
      <c r="W96" s="20" t="e">
        <f>U96/(1+Disc)^N96</f>
        <v>#N/A</v>
      </c>
    </row>
    <row r="97" spans="1:23" s="21" customFormat="1" x14ac:dyDescent="0.2">
      <c r="A97" s="25">
        <v>88</v>
      </c>
      <c r="B97" s="27">
        <v>0.131771</v>
      </c>
      <c r="C97" s="23">
        <v>0.10509400000000001</v>
      </c>
      <c r="D97" s="23">
        <f>IF(util=1,F97,IF(util=2,H97,"err"))</f>
        <v>0.74662556999999996</v>
      </c>
      <c r="E97" s="23">
        <f>IF(util=1,G97,IF(util=2,I97,"err"))</f>
        <v>0.67894756999999994</v>
      </c>
      <c r="F97" s="20">
        <v>0.74662556999999996</v>
      </c>
      <c r="G97" s="20">
        <v>0.67894756999999994</v>
      </c>
      <c r="H97" s="22">
        <f>VLOOKUP($A97,$K$9:$M$26,2)</f>
        <v>0.71799999999999997</v>
      </c>
      <c r="I97" s="22">
        <f>VLOOKUP($A97,$K$9:$M$26,3)</f>
        <v>0.66500000000000004</v>
      </c>
      <c r="J97" s="23"/>
      <c r="K97" s="23"/>
      <c r="L97" s="20"/>
      <c r="M97" s="20"/>
      <c r="N97" s="25">
        <v>88</v>
      </c>
      <c r="O97" s="20">
        <f>Age+N97</f>
        <v>138</v>
      </c>
      <c r="P97" s="24" t="e">
        <f>P96-P96*VLOOKUP(O96,lifetable,2,FALSE)</f>
        <v>#N/A</v>
      </c>
      <c r="Q97" s="24" t="e">
        <f>Q96-Q96*VLOOKUP(O96,lifetable,3,FALSE)</f>
        <v>#N/A</v>
      </c>
      <c r="R97" s="20" t="e">
        <f>(P97+P98)/2</f>
        <v>#N/A</v>
      </c>
      <c r="S97" s="20" t="e">
        <f>(Q97+Q98)/2</f>
        <v>#N/A</v>
      </c>
      <c r="T97" s="20" t="e">
        <f>R97*VLOOKUP(O97,lifetable,4,FALSE)</f>
        <v>#N/A</v>
      </c>
      <c r="U97" s="20" t="e">
        <f>S97*VLOOKUP(O97,lifetable,5,FALSE)</f>
        <v>#N/A</v>
      </c>
      <c r="V97" s="20" t="e">
        <f>T97/(1+Disc)^N97</f>
        <v>#N/A</v>
      </c>
      <c r="W97" s="20" t="e">
        <f>U97/(1+Disc)^N97</f>
        <v>#N/A</v>
      </c>
    </row>
    <row r="98" spans="1:23" s="21" customFormat="1" x14ac:dyDescent="0.2">
      <c r="A98" s="25">
        <v>89</v>
      </c>
      <c r="B98" s="27">
        <v>0.148173</v>
      </c>
      <c r="C98" s="23">
        <v>0.11718099999999999</v>
      </c>
      <c r="D98" s="23">
        <f>IF(util=1,F98,IF(util=2,H98,"err"))</f>
        <v>0.74237635999999996</v>
      </c>
      <c r="E98" s="23">
        <f>IF(util=1,G98,IF(util=2,I98,"err"))</f>
        <v>0.67229185999999996</v>
      </c>
      <c r="F98" s="20">
        <v>0.74237635999999996</v>
      </c>
      <c r="G98" s="20">
        <v>0.67229185999999996</v>
      </c>
      <c r="H98" s="22">
        <f>VLOOKUP($A98,$K$9:$M$26,2)</f>
        <v>0.71799999999999997</v>
      </c>
      <c r="I98" s="22">
        <f>VLOOKUP($A98,$K$9:$M$26,3)</f>
        <v>0.66500000000000004</v>
      </c>
      <c r="J98" s="23"/>
      <c r="K98" s="23"/>
      <c r="L98" s="20"/>
      <c r="M98" s="20"/>
      <c r="N98" s="25">
        <v>89</v>
      </c>
      <c r="O98" s="20">
        <f>Age+N98</f>
        <v>139</v>
      </c>
      <c r="P98" s="24" t="e">
        <f>P97-P97*VLOOKUP(O97,lifetable,2,FALSE)</f>
        <v>#N/A</v>
      </c>
      <c r="Q98" s="24" t="e">
        <f>Q97-Q97*VLOOKUP(O97,lifetable,3,FALSE)</f>
        <v>#N/A</v>
      </c>
      <c r="R98" s="20" t="e">
        <f>(P98+P99)/2</f>
        <v>#N/A</v>
      </c>
      <c r="S98" s="20" t="e">
        <f>(Q98+Q99)/2</f>
        <v>#N/A</v>
      </c>
      <c r="T98" s="20" t="e">
        <f>R98*VLOOKUP(O98,lifetable,4,FALSE)</f>
        <v>#N/A</v>
      </c>
      <c r="U98" s="20" t="e">
        <f>S98*VLOOKUP(O98,lifetable,5,FALSE)</f>
        <v>#N/A</v>
      </c>
      <c r="V98" s="20" t="e">
        <f>T98/(1+Disc)^N98</f>
        <v>#N/A</v>
      </c>
      <c r="W98" s="20" t="e">
        <f>U98/(1+Disc)^N98</f>
        <v>#N/A</v>
      </c>
    </row>
    <row r="99" spans="1:23" s="21" customFormat="1" x14ac:dyDescent="0.2">
      <c r="A99" s="25">
        <v>90</v>
      </c>
      <c r="B99" s="27">
        <v>0.15778800000000001</v>
      </c>
      <c r="C99" s="23">
        <v>0.13162199999999999</v>
      </c>
      <c r="D99" s="23">
        <f>IF(util=1,F99,IF(util=2,H99,"err"))</f>
        <v>0.73810368999999998</v>
      </c>
      <c r="E99" s="23">
        <f>IF(util=1,G99,IF(util=2,I99,"err"))</f>
        <v>0.66553728999999995</v>
      </c>
      <c r="F99" s="20">
        <v>0.73810368999999998</v>
      </c>
      <c r="G99" s="20">
        <v>0.66553728999999995</v>
      </c>
      <c r="H99" s="22">
        <f>VLOOKUP($A99,$K$9:$M$26,2)</f>
        <v>0.66300000000000003</v>
      </c>
      <c r="I99" s="22">
        <f>VLOOKUP($A99,$K$9:$M$26,3)</f>
        <v>0.66500000000000004</v>
      </c>
      <c r="J99" s="23"/>
      <c r="K99" s="23"/>
      <c r="L99" s="20"/>
      <c r="M99" s="20"/>
      <c r="N99" s="25">
        <v>90</v>
      </c>
      <c r="O99" s="20">
        <f>Age+N99</f>
        <v>140</v>
      </c>
      <c r="P99" s="24" t="e">
        <f>P98-P98*VLOOKUP(O98,lifetable,2,FALSE)</f>
        <v>#N/A</v>
      </c>
      <c r="Q99" s="24" t="e">
        <f>Q98-Q98*VLOOKUP(O98,lifetable,3,FALSE)</f>
        <v>#N/A</v>
      </c>
      <c r="R99" s="20" t="e">
        <f>(P99+P100)/2</f>
        <v>#N/A</v>
      </c>
      <c r="S99" s="20" t="e">
        <f>(Q99+Q100)/2</f>
        <v>#N/A</v>
      </c>
      <c r="T99" s="20" t="e">
        <f>R99*VLOOKUP(O99,lifetable,4,FALSE)</f>
        <v>#N/A</v>
      </c>
      <c r="U99" s="20" t="e">
        <f>S99*VLOOKUP(O99,lifetable,5,FALSE)</f>
        <v>#N/A</v>
      </c>
      <c r="V99" s="20" t="e">
        <f>T99/(1+Disc)^N99</f>
        <v>#N/A</v>
      </c>
      <c r="W99" s="20" t="e">
        <f>U99/(1+Disc)^N99</f>
        <v>#N/A</v>
      </c>
    </row>
    <row r="100" spans="1:23" s="21" customFormat="1" x14ac:dyDescent="0.2">
      <c r="A100" s="25">
        <v>91</v>
      </c>
      <c r="B100" s="27">
        <v>0.17689299999999999</v>
      </c>
      <c r="C100" s="23">
        <v>0.14793000000000001</v>
      </c>
      <c r="D100" s="23">
        <f>IF(util=1,F100,IF(util=2,H100,"err"))</f>
        <v>0.73380961</v>
      </c>
      <c r="E100" s="23">
        <f>IF(util=1,G100,IF(util=2,I100,"err"))</f>
        <v>0.65868643999999998</v>
      </c>
      <c r="F100" s="20">
        <v>0.73380961</v>
      </c>
      <c r="G100" s="20">
        <v>0.65868643999999998</v>
      </c>
      <c r="H100" s="22">
        <f>VLOOKUP($A100,$K$9:$M$26,2)</f>
        <v>0.66300000000000003</v>
      </c>
      <c r="I100" s="22">
        <f>VLOOKUP($A100,$K$9:$M$26,3)</f>
        <v>0.66500000000000004</v>
      </c>
      <c r="J100" s="23"/>
      <c r="K100" s="23"/>
      <c r="L100" s="20"/>
      <c r="M100" s="20"/>
      <c r="N100" s="25">
        <v>91</v>
      </c>
      <c r="O100" s="20">
        <f>Age+N100</f>
        <v>141</v>
      </c>
      <c r="P100" s="24" t="e">
        <f>P99-P99*VLOOKUP(O99,lifetable,2,FALSE)</f>
        <v>#N/A</v>
      </c>
      <c r="Q100" s="24" t="e">
        <f>Q99-Q99*VLOOKUP(O99,lifetable,3,FALSE)</f>
        <v>#N/A</v>
      </c>
      <c r="R100" s="20" t="e">
        <f>(P100+P101)/2</f>
        <v>#N/A</v>
      </c>
      <c r="S100" s="20" t="e">
        <f>(Q100+Q101)/2</f>
        <v>#N/A</v>
      </c>
      <c r="T100" s="20" t="e">
        <f>R100*VLOOKUP(O100,lifetable,4,FALSE)</f>
        <v>#N/A</v>
      </c>
      <c r="U100" s="20" t="e">
        <f>S100*VLOOKUP(O100,lifetable,5,FALSE)</f>
        <v>#N/A</v>
      </c>
      <c r="V100" s="20" t="e">
        <f>T100/(1+Disc)^N100</f>
        <v>#N/A</v>
      </c>
      <c r="W100" s="20" t="e">
        <f>U100/(1+Disc)^N100</f>
        <v>#N/A</v>
      </c>
    </row>
    <row r="101" spans="1:23" s="21" customFormat="1" x14ac:dyDescent="0.2">
      <c r="A101" s="25">
        <v>92</v>
      </c>
      <c r="B101" s="27">
        <v>0.1943</v>
      </c>
      <c r="C101" s="23">
        <v>0.16517899999999999</v>
      </c>
      <c r="D101" s="23">
        <f>IF(util=1,F101,IF(util=2,H101,"err"))</f>
        <v>0.72949626000000001</v>
      </c>
      <c r="E101" s="23">
        <f>IF(util=1,G101,IF(util=2,I101,"err"))</f>
        <v>0.65174239</v>
      </c>
      <c r="F101" s="20">
        <v>0.72949626000000001</v>
      </c>
      <c r="G101" s="20">
        <v>0.65174239</v>
      </c>
      <c r="H101" s="22">
        <f>VLOOKUP($A101,$K$9:$M$26,2)</f>
        <v>0.66300000000000003</v>
      </c>
      <c r="I101" s="22">
        <f>VLOOKUP($A101,$K$9:$M$26,3)</f>
        <v>0.66500000000000004</v>
      </c>
      <c r="J101" s="23"/>
      <c r="K101" s="23"/>
      <c r="L101" s="20"/>
      <c r="M101" s="20"/>
      <c r="N101" s="25">
        <v>92</v>
      </c>
      <c r="O101" s="20">
        <f>Age+N101</f>
        <v>142</v>
      </c>
      <c r="P101" s="24" t="e">
        <f>P100-P100*VLOOKUP(O100,lifetable,2,FALSE)</f>
        <v>#N/A</v>
      </c>
      <c r="Q101" s="24" t="e">
        <f>Q100-Q100*VLOOKUP(O100,lifetable,3,FALSE)</f>
        <v>#N/A</v>
      </c>
      <c r="R101" s="20" t="e">
        <f>(P101+P102)/2</f>
        <v>#N/A</v>
      </c>
      <c r="S101" s="20" t="e">
        <f>(Q101+Q102)/2</f>
        <v>#N/A</v>
      </c>
      <c r="T101" s="20" t="e">
        <f>R101*VLOOKUP(O101,lifetable,4,FALSE)</f>
        <v>#N/A</v>
      </c>
      <c r="U101" s="20" t="e">
        <f>S101*VLOOKUP(O101,lifetable,5,FALSE)</f>
        <v>#N/A</v>
      </c>
      <c r="V101" s="20" t="e">
        <f>T101/(1+Disc)^N101</f>
        <v>#N/A</v>
      </c>
      <c r="W101" s="20" t="e">
        <f>U101/(1+Disc)^N101</f>
        <v>#N/A</v>
      </c>
    </row>
    <row r="102" spans="1:23" s="21" customFormat="1" x14ac:dyDescent="0.2">
      <c r="A102" s="25">
        <v>93</v>
      </c>
      <c r="B102" s="27">
        <v>0.214033</v>
      </c>
      <c r="C102" s="23">
        <v>0.182699</v>
      </c>
      <c r="D102" s="23">
        <f>IF(util=1,F102,IF(util=2,H102,"err"))</f>
        <v>0.72516592999999996</v>
      </c>
      <c r="E102" s="23">
        <f>IF(util=1,G102,IF(util=2,I102,"err"))</f>
        <v>0.64470888000000004</v>
      </c>
      <c r="F102" s="20">
        <v>0.72516592999999996</v>
      </c>
      <c r="G102" s="20">
        <v>0.64470888000000004</v>
      </c>
      <c r="H102" s="22">
        <f>VLOOKUP($A102,$K$9:$M$26,2)</f>
        <v>0.66300000000000003</v>
      </c>
      <c r="I102" s="22">
        <f>VLOOKUP($A102,$K$9:$M$26,3)</f>
        <v>0.66500000000000004</v>
      </c>
      <c r="J102" s="23"/>
      <c r="K102" s="23"/>
      <c r="L102" s="20"/>
      <c r="M102" s="20"/>
      <c r="N102" s="25">
        <v>93</v>
      </c>
      <c r="O102" s="20">
        <f>Age+N102</f>
        <v>143</v>
      </c>
      <c r="P102" s="24" t="e">
        <f>P101-P101*VLOOKUP(O101,lifetable,2,FALSE)</f>
        <v>#N/A</v>
      </c>
      <c r="Q102" s="24" t="e">
        <f>Q101-Q101*VLOOKUP(O101,lifetable,3,FALSE)</f>
        <v>#N/A</v>
      </c>
      <c r="R102" s="20" t="e">
        <f>(P102+P103)/2</f>
        <v>#N/A</v>
      </c>
      <c r="S102" s="20" t="e">
        <f>(Q102+Q103)/2</f>
        <v>#N/A</v>
      </c>
      <c r="T102" s="20" t="e">
        <f>R102*VLOOKUP(O102,lifetable,4,FALSE)</f>
        <v>#N/A</v>
      </c>
      <c r="U102" s="20" t="e">
        <f>S102*VLOOKUP(O102,lifetable,5,FALSE)</f>
        <v>#N/A</v>
      </c>
      <c r="V102" s="20" t="e">
        <f>T102/(1+Disc)^N102</f>
        <v>#N/A</v>
      </c>
      <c r="W102" s="20" t="e">
        <f>U102/(1+Disc)^N102</f>
        <v>#N/A</v>
      </c>
    </row>
    <row r="103" spans="1:23" s="21" customFormat="1" x14ac:dyDescent="0.2">
      <c r="A103" s="25">
        <v>94</v>
      </c>
      <c r="B103" s="27">
        <v>0.23701800000000001</v>
      </c>
      <c r="C103" s="23">
        <v>0.20327300000000001</v>
      </c>
      <c r="D103" s="23">
        <f>IF(util=1,F103,IF(util=2,H103,"err"))</f>
        <v>0.72082100000000005</v>
      </c>
      <c r="E103" s="23">
        <f>IF(util=1,G103,IF(util=2,I103,"err"))</f>
        <v>0.63759025000000003</v>
      </c>
      <c r="F103" s="20">
        <v>0.72082100000000005</v>
      </c>
      <c r="G103" s="20">
        <v>0.63759025000000003</v>
      </c>
      <c r="H103" s="22">
        <f>VLOOKUP($A103,$K$9:$M$26,2)</f>
        <v>0.66300000000000003</v>
      </c>
      <c r="I103" s="22">
        <f>VLOOKUP($A103,$K$9:$M$26,3)</f>
        <v>0.66500000000000004</v>
      </c>
      <c r="J103" s="23"/>
      <c r="K103" s="23"/>
      <c r="L103" s="20"/>
      <c r="M103" s="20"/>
      <c r="N103" s="25">
        <v>94</v>
      </c>
      <c r="O103" s="20">
        <f>Age+N103</f>
        <v>144</v>
      </c>
      <c r="P103" s="24" t="e">
        <f>P102-P102*VLOOKUP(O102,lifetable,2,FALSE)</f>
        <v>#N/A</v>
      </c>
      <c r="Q103" s="24" t="e">
        <f>Q102-Q102*VLOOKUP(O102,lifetable,3,FALSE)</f>
        <v>#N/A</v>
      </c>
      <c r="R103" s="20" t="e">
        <f>(P103+P104)/2</f>
        <v>#N/A</v>
      </c>
      <c r="S103" s="20" t="e">
        <f>(Q103+Q104)/2</f>
        <v>#N/A</v>
      </c>
      <c r="T103" s="20" t="e">
        <f>R103*VLOOKUP(O103,lifetable,4,FALSE)</f>
        <v>#N/A</v>
      </c>
      <c r="U103" s="20" t="e">
        <f>S103*VLOOKUP(O103,lifetable,5,FALSE)</f>
        <v>#N/A</v>
      </c>
      <c r="V103" s="20" t="e">
        <f>T103/(1+Disc)^N103</f>
        <v>#N/A</v>
      </c>
      <c r="W103" s="20" t="e">
        <f>U103/(1+Disc)^N103</f>
        <v>#N/A</v>
      </c>
    </row>
    <row r="104" spans="1:23" s="21" customFormat="1" x14ac:dyDescent="0.2">
      <c r="A104" s="25">
        <v>95</v>
      </c>
      <c r="B104" s="27">
        <v>0.26174500000000001</v>
      </c>
      <c r="C104" s="23">
        <v>0.226544</v>
      </c>
      <c r="D104" s="23">
        <f>IF(util=1,F104,IF(util=2,H104,"err"))</f>
        <v>0.71646399000000005</v>
      </c>
      <c r="E104" s="23">
        <f>IF(util=1,G104,IF(util=2,I104,"err"))</f>
        <v>0.63039157999999995</v>
      </c>
      <c r="F104" s="20">
        <v>0.71646399000000005</v>
      </c>
      <c r="G104" s="20">
        <v>0.63039157999999995</v>
      </c>
      <c r="H104" s="22">
        <f>VLOOKUP($A104,$K$9:$M$26,2)</f>
        <v>0.66300000000000003</v>
      </c>
      <c r="I104" s="22">
        <f>VLOOKUP($A104,$K$9:$M$26,3)</f>
        <v>0.66500000000000004</v>
      </c>
      <c r="J104" s="23"/>
      <c r="K104" s="23"/>
      <c r="L104" s="20"/>
      <c r="M104" s="20"/>
      <c r="N104" s="25">
        <v>95</v>
      </c>
      <c r="O104" s="20">
        <f>Age+N104</f>
        <v>145</v>
      </c>
      <c r="P104" s="24" t="e">
        <f>P103-P103*VLOOKUP(O103,lifetable,2,FALSE)</f>
        <v>#N/A</v>
      </c>
      <c r="Q104" s="24" t="e">
        <f>Q103-Q103*VLOOKUP(O103,lifetable,3,FALSE)</f>
        <v>#N/A</v>
      </c>
      <c r="R104" s="20" t="e">
        <f>(P104+P105)/2</f>
        <v>#N/A</v>
      </c>
      <c r="S104" s="20" t="e">
        <f>(Q104+Q105)/2</f>
        <v>#N/A</v>
      </c>
      <c r="T104" s="20" t="e">
        <f>R104*VLOOKUP(O104,lifetable,4,FALSE)</f>
        <v>#N/A</v>
      </c>
      <c r="U104" s="20" t="e">
        <f>S104*VLOOKUP(O104,lifetable,5,FALSE)</f>
        <v>#N/A</v>
      </c>
      <c r="V104" s="20" t="e">
        <f>T104/(1+Disc)^N104</f>
        <v>#N/A</v>
      </c>
      <c r="W104" s="20" t="e">
        <f>U104/(1+Disc)^N104</f>
        <v>#N/A</v>
      </c>
    </row>
    <row r="105" spans="1:23" s="21" customFormat="1" x14ac:dyDescent="0.2">
      <c r="A105" s="25">
        <v>96</v>
      </c>
      <c r="B105" s="27">
        <v>0.290462</v>
      </c>
      <c r="C105" s="23">
        <v>0.25041999999999998</v>
      </c>
      <c r="D105" s="23">
        <f>IF(util=1,F105,IF(util=2,H105,"err"))</f>
        <v>0.71209750999999999</v>
      </c>
      <c r="E105" s="23">
        <f>IF(util=1,G105,IF(util=2,I105,"err"))</f>
        <v>0.62311863999999995</v>
      </c>
      <c r="F105" s="20">
        <v>0.71209750999999999</v>
      </c>
      <c r="G105" s="20">
        <v>0.62311863999999995</v>
      </c>
      <c r="H105" s="22">
        <f>VLOOKUP($A105,$K$9:$M$26,2)</f>
        <v>0.66300000000000003</v>
      </c>
      <c r="I105" s="22">
        <f>VLOOKUP($A105,$K$9:$M$26,3)</f>
        <v>0.66500000000000004</v>
      </c>
      <c r="J105" s="23"/>
      <c r="K105" s="23"/>
      <c r="L105" s="20"/>
      <c r="M105" s="20"/>
      <c r="N105" s="25">
        <v>96</v>
      </c>
      <c r="O105" s="20">
        <f>Age+N105</f>
        <v>146</v>
      </c>
      <c r="P105" s="24" t="e">
        <f>P104-P104*VLOOKUP(O104,lifetable,2,FALSE)</f>
        <v>#N/A</v>
      </c>
      <c r="Q105" s="24" t="e">
        <f>Q104-Q104*VLOOKUP(O104,lifetable,3,FALSE)</f>
        <v>#N/A</v>
      </c>
      <c r="R105" s="20" t="e">
        <f>(P105+P106)/2</f>
        <v>#N/A</v>
      </c>
      <c r="S105" s="20" t="e">
        <f>(Q105+Q106)/2</f>
        <v>#N/A</v>
      </c>
      <c r="T105" s="20" t="e">
        <f>R105*VLOOKUP(O105,lifetable,4,FALSE)</f>
        <v>#N/A</v>
      </c>
      <c r="U105" s="20" t="e">
        <f>S105*VLOOKUP(O105,lifetable,5,FALSE)</f>
        <v>#N/A</v>
      </c>
      <c r="V105" s="20" t="e">
        <f>T105/(1+Disc)^N105</f>
        <v>#N/A</v>
      </c>
      <c r="W105" s="20" t="e">
        <f>U105/(1+Disc)^N105</f>
        <v>#N/A</v>
      </c>
    </row>
    <row r="106" spans="1:23" s="21" customFormat="1" x14ac:dyDescent="0.2">
      <c r="A106" s="25">
        <v>97</v>
      </c>
      <c r="B106" s="27">
        <v>0.30513800000000002</v>
      </c>
      <c r="C106" s="23">
        <v>0.26713999999999999</v>
      </c>
      <c r="D106" s="23">
        <f>IF(util=1,F106,IF(util=2,H106,"err"))</f>
        <v>0.70772433999999995</v>
      </c>
      <c r="E106" s="23">
        <f>IF(util=1,G106,IF(util=2,I106,"err"))</f>
        <v>0.61577799</v>
      </c>
      <c r="F106" s="20">
        <v>0.70772433999999995</v>
      </c>
      <c r="G106" s="20">
        <v>0.61577799</v>
      </c>
      <c r="H106" s="22">
        <f>VLOOKUP($A106,$K$9:$M$26,2)</f>
        <v>0.66300000000000003</v>
      </c>
      <c r="I106" s="22">
        <f>VLOOKUP($A106,$K$9:$M$26,3)</f>
        <v>0.66500000000000004</v>
      </c>
      <c r="J106" s="23"/>
      <c r="K106" s="23"/>
      <c r="L106" s="20"/>
      <c r="M106" s="20"/>
      <c r="N106" s="25">
        <v>97</v>
      </c>
      <c r="O106" s="20">
        <f>Age+N106</f>
        <v>147</v>
      </c>
      <c r="P106" s="24" t="e">
        <f>P105-P105*VLOOKUP(O105,lifetable,2,FALSE)</f>
        <v>#N/A</v>
      </c>
      <c r="Q106" s="24" t="e">
        <f>Q105-Q105*VLOOKUP(O105,lifetable,3,FALSE)</f>
        <v>#N/A</v>
      </c>
      <c r="R106" s="20" t="e">
        <f>(P106+P107)/2</f>
        <v>#N/A</v>
      </c>
      <c r="S106" s="20" t="e">
        <f>(Q106+Q107)/2</f>
        <v>#N/A</v>
      </c>
      <c r="T106" s="20" t="e">
        <f>R106*VLOOKUP(O106,lifetable,4,FALSE)</f>
        <v>#N/A</v>
      </c>
      <c r="U106" s="20" t="e">
        <f>S106*VLOOKUP(O106,lifetable,5,FALSE)</f>
        <v>#N/A</v>
      </c>
      <c r="V106" s="20" t="e">
        <f>T106/(1+Disc)^N106</f>
        <v>#N/A</v>
      </c>
      <c r="W106" s="20" t="e">
        <f>U106/(1+Disc)^N106</f>
        <v>#N/A</v>
      </c>
    </row>
    <row r="107" spans="1:23" s="21" customFormat="1" x14ac:dyDescent="0.2">
      <c r="A107" s="25">
        <v>98</v>
      </c>
      <c r="B107" s="27">
        <v>0.326401</v>
      </c>
      <c r="C107" s="23">
        <v>0.29338900000000001</v>
      </c>
      <c r="D107" s="23">
        <f>IF(util=1,F107,IF(util=2,H107,"err"))</f>
        <v>0.70334735999999998</v>
      </c>
      <c r="E107" s="23">
        <f>IF(util=1,G107,IF(util=2,I107,"err"))</f>
        <v>0.60837695999999997</v>
      </c>
      <c r="F107" s="20">
        <v>0.70334735999999998</v>
      </c>
      <c r="G107" s="20">
        <v>0.60837695999999997</v>
      </c>
      <c r="H107" s="22">
        <f>VLOOKUP($A107,$K$9:$M$26,2)</f>
        <v>0.66300000000000003</v>
      </c>
      <c r="I107" s="22">
        <f>VLOOKUP($A107,$K$9:$M$26,3)</f>
        <v>0.66500000000000004</v>
      </c>
      <c r="J107" s="23"/>
      <c r="K107" s="23"/>
      <c r="L107" s="20"/>
      <c r="M107" s="20"/>
      <c r="N107" s="25">
        <v>98</v>
      </c>
      <c r="O107" s="20">
        <f>Age+N107</f>
        <v>148</v>
      </c>
      <c r="P107" s="24" t="e">
        <f>P106-P106*VLOOKUP(O106,lifetable,2,FALSE)</f>
        <v>#N/A</v>
      </c>
      <c r="Q107" s="24" t="e">
        <f>Q106-Q106*VLOOKUP(O106,lifetable,3,FALSE)</f>
        <v>#N/A</v>
      </c>
      <c r="R107" s="20" t="e">
        <f>(P107+P108)/2</f>
        <v>#N/A</v>
      </c>
      <c r="S107" s="20" t="e">
        <f>(Q107+Q108)/2</f>
        <v>#N/A</v>
      </c>
      <c r="T107" s="20" t="e">
        <f>R107*VLOOKUP(O107,lifetable,4,FALSE)</f>
        <v>#N/A</v>
      </c>
      <c r="U107" s="20" t="e">
        <f>S107*VLOOKUP(O107,lifetable,5,FALSE)</f>
        <v>#N/A</v>
      </c>
      <c r="V107" s="20" t="e">
        <f>T107/(1+Disc)^N107</f>
        <v>#N/A</v>
      </c>
      <c r="W107" s="20" t="e">
        <f>U107/(1+Disc)^N107</f>
        <v>#N/A</v>
      </c>
    </row>
    <row r="108" spans="1:23" s="21" customFormat="1" x14ac:dyDescent="0.2">
      <c r="A108" s="25">
        <v>99</v>
      </c>
      <c r="B108" s="27">
        <v>0.36866500000000002</v>
      </c>
      <c r="C108" s="23">
        <v>0.31467800000000001</v>
      </c>
      <c r="D108" s="23">
        <f>IF(util=1,F108,IF(util=2,H108,"err"))</f>
        <v>0.69896955999999999</v>
      </c>
      <c r="E108" s="23">
        <f>IF(util=1,G108,IF(util=2,I108,"err"))</f>
        <v>0.60092374999999998</v>
      </c>
      <c r="F108" s="20">
        <v>0.69896955999999999</v>
      </c>
      <c r="G108" s="20">
        <v>0.60092374999999998</v>
      </c>
      <c r="H108" s="22">
        <f>VLOOKUP($A108,$K$9:$M$26,2)</f>
        <v>0.66300000000000003</v>
      </c>
      <c r="I108" s="22">
        <f>VLOOKUP($A108,$K$9:$M$26,3)</f>
        <v>0.66500000000000004</v>
      </c>
      <c r="J108" s="23"/>
      <c r="K108" s="23"/>
      <c r="L108" s="20"/>
      <c r="M108" s="20"/>
      <c r="N108" s="25">
        <v>99</v>
      </c>
      <c r="O108" s="20">
        <f>Age+N108</f>
        <v>149</v>
      </c>
      <c r="P108" s="24" t="e">
        <f>P107-P107*VLOOKUP(O107,lifetable,2,FALSE)</f>
        <v>#N/A</v>
      </c>
      <c r="Q108" s="24" t="e">
        <f>Q107-Q107*VLOOKUP(O107,lifetable,3,FALSE)</f>
        <v>#N/A</v>
      </c>
      <c r="R108" s="20" t="e">
        <f>(P108+P109)/2</f>
        <v>#N/A</v>
      </c>
      <c r="S108" s="20" t="e">
        <f>(Q108+Q109)/2</f>
        <v>#N/A</v>
      </c>
      <c r="T108" s="20" t="e">
        <f>R108*VLOOKUP(O108,lifetable,4,FALSE)</f>
        <v>#N/A</v>
      </c>
      <c r="U108" s="20" t="e">
        <f>S108*VLOOKUP(O108,lifetable,5,FALSE)</f>
        <v>#N/A</v>
      </c>
      <c r="V108" s="20" t="e">
        <f>T108/(1+Disc)^N108</f>
        <v>#N/A</v>
      </c>
      <c r="W108" s="20" t="e">
        <f>U108/(1+Disc)^N108</f>
        <v>#N/A</v>
      </c>
    </row>
    <row r="109" spans="1:23" s="21" customFormat="1" x14ac:dyDescent="0.2">
      <c r="A109" s="25">
        <v>100</v>
      </c>
      <c r="B109" s="20">
        <v>0.38807000000000003</v>
      </c>
      <c r="C109" s="26">
        <v>0.35030600000000001</v>
      </c>
      <c r="D109" s="23">
        <f>IF(util=1,F109,IF(util=2,H109,"err"))</f>
        <v>0.69459409999999999</v>
      </c>
      <c r="E109" s="23">
        <f>IF(util=1,G109,IF(util=2,I109,"err"))</f>
        <v>0.59342735999999996</v>
      </c>
      <c r="F109" s="20">
        <v>0.69459409999999999</v>
      </c>
      <c r="G109" s="20">
        <v>0.59342735999999996</v>
      </c>
      <c r="H109" s="22">
        <f>VLOOKUP($A109,$K$9:$M$26,2)</f>
        <v>0.66300000000000003</v>
      </c>
      <c r="I109" s="22">
        <f>VLOOKUP($A109,$K$9:$M$26,3)</f>
        <v>0.66500000000000004</v>
      </c>
      <c r="J109" s="26"/>
      <c r="K109" s="26"/>
      <c r="L109" s="20"/>
      <c r="M109" s="20"/>
      <c r="N109" s="25">
        <v>100</v>
      </c>
      <c r="O109" s="20">
        <f>Age+N109</f>
        <v>150</v>
      </c>
      <c r="P109" s="24" t="e">
        <f>P108-P108*VLOOKUP(O108,lifetable,2,FALSE)</f>
        <v>#N/A</v>
      </c>
      <c r="Q109" s="24" t="e">
        <f>Q108-Q108*VLOOKUP(O108,lifetable,3,FALSE)</f>
        <v>#N/A</v>
      </c>
      <c r="R109" s="20" t="e">
        <f>(P109+P110)/2</f>
        <v>#N/A</v>
      </c>
      <c r="S109" s="20" t="e">
        <f>(Q109+Q110)/2</f>
        <v>#N/A</v>
      </c>
      <c r="T109" s="20" t="e">
        <f>R109*VLOOKUP(O109,lifetable,4,FALSE)</f>
        <v>#N/A</v>
      </c>
      <c r="U109" s="20" t="e">
        <f>S109*VLOOKUP(O109,lifetable,5,FALSE)</f>
        <v>#N/A</v>
      </c>
      <c r="V109" s="20" t="e">
        <f>T109/(1+Disc)^N109</f>
        <v>#N/A</v>
      </c>
      <c r="W109" s="20" t="e">
        <f>U109/(1+Disc)^N109</f>
        <v>#N/A</v>
      </c>
    </row>
    <row r="110" spans="1:23" s="21" customFormat="1" x14ac:dyDescent="0.2">
      <c r="A110" s="20"/>
      <c r="B110" s="20"/>
      <c r="C110" s="20"/>
      <c r="D110" s="23">
        <f>IF(util=1,F110,IF(util=2,H110,"err"))</f>
        <v>0.69022424999999998</v>
      </c>
      <c r="E110" s="23">
        <f>IF(util=1,G110,IF(util=2,I110,"err"))</f>
        <v>0.58589765999999999</v>
      </c>
      <c r="F110" s="20">
        <v>0.69022424999999998</v>
      </c>
      <c r="G110" s="20">
        <v>0.58589765999999999</v>
      </c>
      <c r="H110" s="22"/>
      <c r="I110" s="22">
        <f>VLOOKUP($A110,$K$9:$M$26,3)</f>
        <v>0.88100000000000001</v>
      </c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</row>
  </sheetData>
  <mergeCells count="3">
    <mergeCell ref="A6:I6"/>
    <mergeCell ref="P7:Q7"/>
    <mergeCell ref="R7:S7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39BB-F4B5-CF41-A263-233238B67B81}">
  <dimension ref="A1:X34"/>
  <sheetViews>
    <sheetView workbookViewId="0">
      <selection activeCell="R4" sqref="R4"/>
    </sheetView>
  </sheetViews>
  <sheetFormatPr baseColWidth="10" defaultRowHeight="16" x14ac:dyDescent="0.2"/>
  <cols>
    <col min="1" max="1" width="10.83203125" style="12"/>
    <col min="2" max="2" width="12.5" style="12" customWidth="1"/>
    <col min="3" max="3" width="15.83203125" style="12" customWidth="1"/>
    <col min="4" max="4" width="15.5" customWidth="1"/>
    <col min="5" max="5" width="14.1640625" customWidth="1"/>
    <col min="6" max="6" width="14.83203125" customWidth="1"/>
    <col min="7" max="7" width="15.83203125" customWidth="1"/>
    <col min="8" max="8" width="25.1640625" customWidth="1"/>
    <col min="9" max="10" width="10.83203125" customWidth="1"/>
    <col min="11" max="11" width="18.1640625" customWidth="1"/>
    <col min="12" max="12" width="14.83203125" customWidth="1"/>
    <col min="15" max="15" width="11.33203125" customWidth="1"/>
  </cols>
  <sheetData>
    <row r="1" spans="1:24" x14ac:dyDescent="0.2">
      <c r="A1" s="15" t="s">
        <v>92</v>
      </c>
    </row>
    <row r="2" spans="1:24" ht="17" x14ac:dyDescent="0.2">
      <c r="D2" s="14" t="s">
        <v>36</v>
      </c>
      <c r="E2" s="14"/>
      <c r="F2" s="14"/>
      <c r="G2" s="14"/>
      <c r="H2" s="75"/>
      <c r="I2" s="9" t="s">
        <v>32</v>
      </c>
      <c r="J2" s="9"/>
      <c r="K2" s="9"/>
      <c r="L2" s="74"/>
      <c r="M2" s="9" t="s">
        <v>33</v>
      </c>
      <c r="N2" s="9"/>
      <c r="O2" s="9"/>
      <c r="P2" s="74"/>
      <c r="Q2" s="9" t="s">
        <v>34</v>
      </c>
      <c r="R2" s="9"/>
      <c r="S2" s="9"/>
      <c r="T2" s="74"/>
      <c r="U2" s="9" t="s">
        <v>35</v>
      </c>
      <c r="V2" s="9"/>
      <c r="W2" s="9"/>
      <c r="X2" s="74"/>
    </row>
    <row r="3" spans="1:24" ht="34" x14ac:dyDescent="0.2">
      <c r="A3" s="9" t="s">
        <v>0</v>
      </c>
      <c r="B3" s="9" t="s">
        <v>1</v>
      </c>
      <c r="C3" s="9" t="s">
        <v>2</v>
      </c>
      <c r="D3" s="9" t="s">
        <v>32</v>
      </c>
      <c r="E3" s="9" t="s">
        <v>33</v>
      </c>
      <c r="F3" s="9" t="s">
        <v>34</v>
      </c>
      <c r="G3" s="10" t="s">
        <v>35</v>
      </c>
      <c r="H3" s="72" t="s">
        <v>96</v>
      </c>
      <c r="I3" s="9" t="s">
        <v>93</v>
      </c>
      <c r="J3" s="74" t="s">
        <v>95</v>
      </c>
      <c r="K3" s="9" t="s">
        <v>94</v>
      </c>
      <c r="L3" s="74" t="s">
        <v>95</v>
      </c>
      <c r="M3" s="9" t="s">
        <v>93</v>
      </c>
      <c r="N3" s="74" t="s">
        <v>95</v>
      </c>
      <c r="O3" s="9" t="s">
        <v>94</v>
      </c>
      <c r="P3" s="74" t="s">
        <v>95</v>
      </c>
      <c r="Q3" s="9" t="s">
        <v>93</v>
      </c>
      <c r="R3" s="74" t="s">
        <v>95</v>
      </c>
      <c r="S3" s="9" t="s">
        <v>94</v>
      </c>
      <c r="T3" s="74" t="s">
        <v>95</v>
      </c>
      <c r="U3" s="9" t="s">
        <v>93</v>
      </c>
      <c r="V3" s="74" t="s">
        <v>95</v>
      </c>
      <c r="W3" s="9" t="s">
        <v>94</v>
      </c>
      <c r="X3" s="74" t="s">
        <v>95</v>
      </c>
    </row>
    <row r="4" spans="1:24" x14ac:dyDescent="0.2">
      <c r="A4" s="12">
        <v>1</v>
      </c>
      <c r="B4" s="12">
        <v>1</v>
      </c>
      <c r="C4" s="12">
        <v>50</v>
      </c>
      <c r="D4" s="7">
        <f>(Stage4to1!H2*Stage4to1!E2+Stage3to1!H2*Stage3to1!E2+Stage2to1!H2*Stage2to1!E2+Stage1to1!H2*Stage1to1!E2)/(Stage4to1!E2+Stage3to1!E2+Stage2to1!E2+Stage1to1!E2)</f>
        <v>4.0333391214057892</v>
      </c>
      <c r="E4" s="7">
        <f>(Stage4to2!H2*Stage4to2!E2+Stage3to2!H2*Stage3to2!E2+Stage2to2!H2*Stage2to2!E2)/(Stage4to2!E2+Stage3to2!E2+Stage2to2!E2)</f>
        <v>3.1535825521017387</v>
      </c>
      <c r="F4" s="7">
        <f>(Stage4to3!H2*Stage4to3!E2+Stage3to3!H2*Stage3to3!E2)/(Stage4to3!E2+Stage3to3!E2)</f>
        <v>2.3629926873533864</v>
      </c>
      <c r="G4" s="7">
        <f>Stage4to4!H2</f>
        <v>1.4486123883495143</v>
      </c>
      <c r="H4" s="73">
        <v>15.926122000508569</v>
      </c>
      <c r="I4" s="71">
        <f>H4-D4</f>
        <v>11.892782879102779</v>
      </c>
      <c r="J4" s="71">
        <f>IF(I4&lt;12,1,IF(I4&lt;18,1.2,1.7))</f>
        <v>1</v>
      </c>
      <c r="K4">
        <f>I4/H4</f>
        <v>0.74674694057492508</v>
      </c>
      <c r="L4" s="75">
        <f>IF(K4&lt;0.85,1,IF(K4&lt;0.95,1.2,1.7))</f>
        <v>1</v>
      </c>
      <c r="M4" s="71">
        <f>H4-E4</f>
        <v>12.77253944840683</v>
      </c>
      <c r="N4" s="77">
        <f>IF(M4&lt;12,1,IF(M4&lt;18,1.2,1.7))</f>
        <v>1.2</v>
      </c>
      <c r="O4">
        <f>M4/$H4</f>
        <v>0.8019867892509529</v>
      </c>
      <c r="P4" s="75">
        <f>IF(O4&lt;0.85,1,IF(O4&lt;0.95,1.2,1.7))</f>
        <v>1</v>
      </c>
      <c r="Q4" s="71">
        <f>H4-F4</f>
        <v>13.563129313155182</v>
      </c>
      <c r="R4" s="77">
        <f>IF(Q4&lt;12,1,IF(Q4&lt;18,1.2,1.7))</f>
        <v>1.2</v>
      </c>
      <c r="S4">
        <f>Q4/$H4</f>
        <v>0.8516278672687595</v>
      </c>
      <c r="T4" s="78">
        <f>IF(S4&lt;0.85,1,IF(S4&lt;0.95,1.2,1.7))</f>
        <v>1.2</v>
      </c>
      <c r="U4" s="71">
        <f>H4-G4</f>
        <v>14.477509612159054</v>
      </c>
      <c r="V4" s="77">
        <f>IF(U4&lt;12,1,IF(U4&lt;18,1.2,1.7))</f>
        <v>1.2</v>
      </c>
      <c r="W4">
        <f>U4/H4</f>
        <v>0.90904173732291793</v>
      </c>
      <c r="X4" s="76">
        <f>IF(W4&lt;0.85,1,IF(W4&lt;0.95,1.2,1.7))</f>
        <v>1.2</v>
      </c>
    </row>
    <row r="5" spans="1:24" x14ac:dyDescent="0.2">
      <c r="A5" s="12">
        <v>2</v>
      </c>
      <c r="B5" s="12">
        <v>2</v>
      </c>
      <c r="C5" s="12">
        <v>51</v>
      </c>
      <c r="D5" s="7">
        <f>(Stage4to1!H3*Stage4to1!E3+Stage3to1!H3*Stage3to1!E3+Stage2to1!H3*Stage2to1!E3+Stage1to1!H3*Stage1to1!E3)/(Stage4to1!E3+Stage3to1!E3+Stage2to1!E3+Stage1to1!E3)</f>
        <v>5.5205143912001322</v>
      </c>
      <c r="E5" s="7">
        <f>(Stage4to2!H3*Stage4to2!E3+Stage3to2!H3*Stage3to2!E3+Stage2to2!H3*Stage2to2!E3)/(Stage4to2!E3+Stage3to2!E3+Stage2to2!E3)</f>
        <v>4.1783824636724001</v>
      </c>
      <c r="F5" s="7">
        <f>(Stage4to3!H3*Stage4to3!E3+Stage3to3!H3*Stage3to3!E3)/(Stage4to3!E3+Stage3to3!E3)</f>
        <v>3.2937202052637917</v>
      </c>
      <c r="G5" s="7">
        <f>Stage4to4!H3</f>
        <v>1.4064197945140917</v>
      </c>
      <c r="H5" s="73">
        <v>15.53248988</v>
      </c>
      <c r="I5" s="71">
        <f t="shared" ref="I5:I34" si="0">H5-D5</f>
        <v>10.011975488799868</v>
      </c>
      <c r="J5" s="71">
        <f t="shared" ref="J5:J34" si="1">IF(I5&lt;12,1,IF(I5&lt;18,1.2,1.7))</f>
        <v>1</v>
      </c>
      <c r="K5">
        <f t="shared" ref="K5:K34" si="2">I5/H5</f>
        <v>0.6445827788171633</v>
      </c>
      <c r="L5" s="75">
        <f t="shared" ref="L5:L34" si="3">IF(K5&lt;0.85,1,IF(K5&lt;0.95,1.2,1.7))</f>
        <v>1</v>
      </c>
      <c r="M5" s="71">
        <f t="shared" ref="M5:M34" si="4">H5-E5</f>
        <v>11.354107416327601</v>
      </c>
      <c r="N5" s="71">
        <f>IF(M5&lt;12,1,IF(M5&lt;18,1.2,1.7))</f>
        <v>1</v>
      </c>
      <c r="O5">
        <f>M5/$H5</f>
        <v>0.73099081371026142</v>
      </c>
      <c r="P5" s="75">
        <f t="shared" ref="P5:P34" si="5">IF(O5&lt;0.85,1,IF(O5&lt;0.95,1.2,1.7))</f>
        <v>1</v>
      </c>
      <c r="Q5" s="71">
        <f t="shared" ref="Q5:Q34" si="6">H5-F5</f>
        <v>12.238769674736208</v>
      </c>
      <c r="R5" s="77">
        <f t="shared" ref="R5:R34" si="7">IF(Q5&lt;12,1,IF(Q5&lt;18,1.2,1.7))</f>
        <v>1.2</v>
      </c>
      <c r="S5">
        <f>Q5/$H5</f>
        <v>0.78794641228095286</v>
      </c>
      <c r="T5">
        <f t="shared" ref="T5:T34" si="8">IF(S5&lt;0.85,1,IF(S5&lt;0.95,1.2,1.7))</f>
        <v>1</v>
      </c>
      <c r="U5" s="71">
        <f t="shared" ref="U5:U34" si="9">H5-G5</f>
        <v>14.126070085485908</v>
      </c>
      <c r="V5" s="77">
        <f t="shared" ref="V5:V34" si="10">IF(U5&lt;12,1,IF(U5&lt;18,1.2,1.7))</f>
        <v>1.2</v>
      </c>
      <c r="W5">
        <f t="shared" ref="W5:W6" si="11">U5/H5</f>
        <v>0.90945303648161191</v>
      </c>
      <c r="X5" s="76">
        <f t="shared" ref="X5:X34" si="12">IF(W5&lt;0.85,1,IF(W5&lt;0.95,1.2,1.7))</f>
        <v>1.2</v>
      </c>
    </row>
    <row r="6" spans="1:24" x14ac:dyDescent="0.2">
      <c r="A6" s="12">
        <v>3</v>
      </c>
      <c r="B6" s="12">
        <v>3</v>
      </c>
      <c r="C6" s="12">
        <v>52</v>
      </c>
      <c r="D6" s="7">
        <f>(Stage4to1!H4*Stage4to1!E4+Stage3to1!H4*Stage3to1!E4+Stage2to1!H4*Stage2to1!E4+Stage1to1!H4*Stage1to1!E4)/(Stage4to1!E4+Stage3to1!E4+Stage2to1!E4+Stage1to1!E4)</f>
        <v>5.8412998012669055</v>
      </c>
      <c r="E6" s="7">
        <f>(Stage4to2!H4*Stage4to2!E4+Stage3to2!H4*Stage3to2!E4+Stage2to2!H4*Stage2to2!E4)/(Stage4to2!E4+Stage3to2!E4+Stage2to2!E4)</f>
        <v>4.307257976660984</v>
      </c>
      <c r="F6" s="7">
        <f>(Stage4to3!H4*Stage4to3!E4+Stage3to3!H4*Stage3to3!E4)/(Stage4to3!E4+Stage3to3!E4)</f>
        <v>3.2264568723340403</v>
      </c>
      <c r="G6" s="7">
        <f>Stage4to4!H4</f>
        <v>1.3654561111787298</v>
      </c>
      <c r="H6" s="73">
        <v>14.721659450000001</v>
      </c>
      <c r="I6" s="71">
        <f t="shared" si="0"/>
        <v>8.8803596487330942</v>
      </c>
      <c r="J6" s="71">
        <f t="shared" si="1"/>
        <v>1</v>
      </c>
      <c r="K6">
        <f t="shared" si="2"/>
        <v>0.60321729889853515</v>
      </c>
      <c r="L6" s="75">
        <f t="shared" si="3"/>
        <v>1</v>
      </c>
      <c r="M6" s="71">
        <f t="shared" si="4"/>
        <v>10.414401473339016</v>
      </c>
      <c r="N6" s="71">
        <f t="shared" ref="N5:N34" si="13">IF(M6&lt;12,1,IF(M6&lt;18,1.2,1.7))</f>
        <v>1</v>
      </c>
      <c r="O6">
        <f t="shared" ref="O5:O34" si="14">M6/$H6</f>
        <v>0.70742034950000254</v>
      </c>
      <c r="P6" s="75">
        <f t="shared" si="5"/>
        <v>1</v>
      </c>
      <c r="Q6" s="71">
        <f t="shared" si="6"/>
        <v>11.49520257766596</v>
      </c>
      <c r="R6" s="71">
        <f t="shared" si="7"/>
        <v>1</v>
      </c>
      <c r="S6">
        <f t="shared" ref="S5:S34" si="15">Q6/$H6</f>
        <v>0.7808360610913303</v>
      </c>
      <c r="T6">
        <f t="shared" si="8"/>
        <v>1</v>
      </c>
      <c r="U6" s="71">
        <f t="shared" si="9"/>
        <v>13.35620333882127</v>
      </c>
      <c r="V6" s="77">
        <f t="shared" si="10"/>
        <v>1.2</v>
      </c>
      <c r="W6">
        <f t="shared" si="11"/>
        <v>0.90724849220861914</v>
      </c>
      <c r="X6" s="76">
        <f t="shared" si="12"/>
        <v>1.2</v>
      </c>
    </row>
    <row r="7" spans="1:24" x14ac:dyDescent="0.2">
      <c r="A7" s="12">
        <v>4</v>
      </c>
      <c r="B7" s="12">
        <v>4</v>
      </c>
      <c r="C7" s="12">
        <v>53</v>
      </c>
      <c r="D7" s="7">
        <f>(Stage4to1!H5*Stage4to1!E5+Stage3to1!H5*Stage3to1!E5+Stage2to1!H5*Stage2to1!E5+Stage1to1!H5*Stage1to1!E5)/(Stage4to1!E5+Stage3to1!E5+Stage2to1!E5+Stage1to1!E5)</f>
        <v>6.1618910880667634</v>
      </c>
      <c r="E7" s="7">
        <f>(Stage4to2!H5*Stage4to2!E5+Stage3to2!H5*Stage3to2!E5+Stage2to2!H5*Stage2to2!E5)/(Stage4to2!E5+Stage3to2!E5+Stage2to2!E5)</f>
        <v>4.2471649828946774</v>
      </c>
      <c r="F7" s="7">
        <f>(Stage4to3!H5*Stage4to3!E5+Stage3to3!H5*Stage3to3!E5)/(Stage4to3!E5+Stage3to3!E5)</f>
        <v>3.0467385340869968</v>
      </c>
      <c r="G7" s="7">
        <f>Stage4to4!H5</f>
        <v>1.3133955699556006</v>
      </c>
      <c r="H7" s="73">
        <v>13.94340068</v>
      </c>
      <c r="I7" s="71">
        <f t="shared" si="0"/>
        <v>7.7815095919332364</v>
      </c>
      <c r="J7" s="71">
        <f t="shared" si="1"/>
        <v>1</v>
      </c>
      <c r="K7">
        <f t="shared" si="2"/>
        <v>0.5580783175150954</v>
      </c>
      <c r="L7" s="75">
        <f t="shared" si="3"/>
        <v>1</v>
      </c>
      <c r="M7" s="71">
        <f t="shared" si="4"/>
        <v>9.6962356971053225</v>
      </c>
      <c r="N7" s="71">
        <f t="shared" si="13"/>
        <v>1</v>
      </c>
      <c r="O7">
        <f t="shared" si="14"/>
        <v>0.69539963167043717</v>
      </c>
      <c r="P7" s="75">
        <f t="shared" si="5"/>
        <v>1</v>
      </c>
      <c r="Q7" s="71">
        <f t="shared" si="6"/>
        <v>10.896662145913004</v>
      </c>
      <c r="R7" s="71">
        <f>IF(Q7&lt;12,1,IF(Q7&lt;18,1.2,1.7))</f>
        <v>1</v>
      </c>
      <c r="S7">
        <f>Q7/$H7</f>
        <v>0.78149243473601471</v>
      </c>
      <c r="T7">
        <f t="shared" si="8"/>
        <v>1</v>
      </c>
      <c r="U7" s="71">
        <f t="shared" si="9"/>
        <v>12.630005110044399</v>
      </c>
      <c r="V7" s="77">
        <f t="shared" si="10"/>
        <v>1.2</v>
      </c>
      <c r="W7">
        <f t="shared" ref="W5:W34" si="16">U7/H7</f>
        <v>0.90580521925045898</v>
      </c>
      <c r="X7" s="76">
        <f t="shared" si="12"/>
        <v>1.2</v>
      </c>
    </row>
    <row r="8" spans="1:24" x14ac:dyDescent="0.2">
      <c r="A8" s="12">
        <v>5</v>
      </c>
      <c r="B8" s="12">
        <v>5</v>
      </c>
      <c r="C8" s="12">
        <v>54</v>
      </c>
      <c r="D8" s="7">
        <f>(Stage4to1!H6*Stage4to1!E6+Stage3to1!H6*Stage3to1!E6+Stage2to1!H6*Stage2to1!E6+Stage1to1!H6*Stage1to1!E6)/(Stage4to1!E6+Stage3to1!E6+Stage2to1!E6+Stage1to1!E6)</f>
        <v>6.3847421176403127</v>
      </c>
      <c r="E8" s="7">
        <f>(Stage4to2!H6*Stage4to2!E6+Stage3to2!H6*Stage3to2!E6+Stage2to2!H6*Stage2to2!E6)/(Stage4to2!E6+Stage3to2!E6+Stage2to2!E6)</f>
        <v>4.3172214755652822</v>
      </c>
      <c r="F8" s="7">
        <f>(Stage4to3!H6*Stage4to3!E6+Stage3to3!H6*Stage3to3!E6)/(Stage4to3!E6+Stage3to3!E6)</f>
        <v>2.6004236577836051</v>
      </c>
      <c r="G8" s="7">
        <f>Stage4to4!H6</f>
        <v>1.2624803896211827</v>
      </c>
      <c r="H8" s="73">
        <v>13.19578731</v>
      </c>
      <c r="I8" s="71">
        <f t="shared" si="0"/>
        <v>6.8110451923596873</v>
      </c>
      <c r="J8" s="71">
        <f t="shared" si="1"/>
        <v>1</v>
      </c>
      <c r="K8">
        <f t="shared" si="2"/>
        <v>0.51615299885882193</v>
      </c>
      <c r="L8" s="75">
        <f t="shared" si="3"/>
        <v>1</v>
      </c>
      <c r="M8" s="71">
        <f t="shared" si="4"/>
        <v>8.8785658344347169</v>
      </c>
      <c r="N8" s="71">
        <f t="shared" si="13"/>
        <v>1</v>
      </c>
      <c r="O8">
        <f t="shared" si="14"/>
        <v>0.67283335399824029</v>
      </c>
      <c r="P8" s="75">
        <f t="shared" si="5"/>
        <v>1</v>
      </c>
      <c r="Q8" s="71">
        <f t="shared" si="6"/>
        <v>10.595363652216395</v>
      </c>
      <c r="R8" s="71">
        <f t="shared" si="7"/>
        <v>1</v>
      </c>
      <c r="S8">
        <f t="shared" si="15"/>
        <v>0.80293531589335654</v>
      </c>
      <c r="T8">
        <f t="shared" si="8"/>
        <v>1</v>
      </c>
      <c r="U8" s="71">
        <f t="shared" si="9"/>
        <v>11.933306920378817</v>
      </c>
      <c r="V8" s="71">
        <f t="shared" si="10"/>
        <v>1</v>
      </c>
      <c r="W8">
        <f t="shared" si="16"/>
        <v>0.90432701285928929</v>
      </c>
      <c r="X8" s="76">
        <f t="shared" si="12"/>
        <v>1.2</v>
      </c>
    </row>
    <row r="9" spans="1:24" x14ac:dyDescent="0.2">
      <c r="A9" s="12">
        <v>6</v>
      </c>
      <c r="B9" s="12">
        <v>6</v>
      </c>
      <c r="C9" s="12">
        <v>55</v>
      </c>
      <c r="D9" s="7">
        <f>(Stage4to1!H7*Stage4to1!E7+Stage3to1!H7*Stage3to1!E7+Stage2to1!H7*Stage2to1!E7+Stage1to1!H7*Stage1to1!E7)/(Stage4to1!E7+Stage3to1!E7+Stage2to1!E7+Stage1to1!E7)</f>
        <v>5.9673046880483662</v>
      </c>
      <c r="E9" s="7">
        <f>(Stage4to2!H7*Stage4to2!E7+Stage3to2!H7*Stage3to2!E7+Stage2to2!H7*Stage2to2!E7)/(Stage4to2!E7+Stage3to2!E7+Stage2to2!E7)</f>
        <v>3.7210203460249525</v>
      </c>
      <c r="F9" s="7">
        <f>(Stage4to3!H7*Stage4to3!E7+Stage3to3!H7*Stage3to3!E7)/(Stage4to3!E7+Stage3to3!E7)</f>
        <v>2.3403977210447313</v>
      </c>
      <c r="G9" s="7">
        <f>Stage4to4!H7</f>
        <v>0.93375706678934467</v>
      </c>
      <c r="H9" s="73">
        <v>12.47822603</v>
      </c>
      <c r="I9" s="71">
        <f t="shared" si="0"/>
        <v>6.5109213419516339</v>
      </c>
      <c r="J9" s="71">
        <f t="shared" si="1"/>
        <v>1</v>
      </c>
      <c r="K9">
        <f t="shared" si="2"/>
        <v>0.52178260966728407</v>
      </c>
      <c r="L9" s="75">
        <f t="shared" si="3"/>
        <v>1</v>
      </c>
      <c r="M9" s="71">
        <f t="shared" si="4"/>
        <v>8.7572056839750481</v>
      </c>
      <c r="N9" s="71">
        <f t="shared" si="13"/>
        <v>1</v>
      </c>
      <c r="O9">
        <f t="shared" si="14"/>
        <v>0.70179893062692411</v>
      </c>
      <c r="P9" s="75">
        <f t="shared" si="5"/>
        <v>1</v>
      </c>
      <c r="Q9" s="71">
        <f t="shared" si="6"/>
        <v>10.137828308955269</v>
      </c>
      <c r="R9" s="71">
        <f t="shared" si="7"/>
        <v>1</v>
      </c>
      <c r="S9">
        <f t="shared" si="15"/>
        <v>0.81244147081340123</v>
      </c>
      <c r="T9">
        <f t="shared" si="8"/>
        <v>1</v>
      </c>
      <c r="U9" s="71">
        <f t="shared" si="9"/>
        <v>11.544468963210655</v>
      </c>
      <c r="V9" s="71">
        <f t="shared" si="10"/>
        <v>1</v>
      </c>
      <c r="W9">
        <f t="shared" si="16"/>
        <v>0.9251690853696336</v>
      </c>
      <c r="X9" s="76">
        <f t="shared" si="12"/>
        <v>1.2</v>
      </c>
    </row>
    <row r="10" spans="1:24" x14ac:dyDescent="0.2">
      <c r="A10" s="12">
        <v>7</v>
      </c>
      <c r="B10" s="12">
        <v>7</v>
      </c>
      <c r="C10" s="12">
        <v>56</v>
      </c>
      <c r="D10" s="7">
        <f>(Stage4to1!H8*Stage4to1!E8+Stage3to1!H8*Stage3to1!E8+Stage2to1!H8*Stage2to1!E8+Stage1to1!H8*Stage1to1!E8)/(Stage4to1!E8+Stage3to1!E8+Stage2to1!E8+Stage1to1!E8)</f>
        <v>5.8303511827760479</v>
      </c>
      <c r="E10" s="7">
        <f>(Stage4to2!H8*Stage4to2!E8+Stage3to2!H8*Stage3to2!E8+Stage2to2!H8*Stage2to2!E8)/(Stage4to2!E8+Stage3to2!E8+Stage2to2!E8)</f>
        <v>3.5798499186381858</v>
      </c>
      <c r="F10" s="7">
        <f>(Stage4to3!H8*Stage4to3!E8+Stage3to3!H8*Stage3to3!E8)/(Stage4to3!E8+Stage3to3!E8)</f>
        <v>2.2703893396074095</v>
      </c>
      <c r="G10" s="7">
        <f>Stage4to4!H8</f>
        <v>0.90656025901878123</v>
      </c>
      <c r="H10" s="73">
        <v>11.790484960000001</v>
      </c>
      <c r="I10" s="71">
        <f t="shared" si="0"/>
        <v>5.9601337772239527</v>
      </c>
      <c r="J10" s="71">
        <f t="shared" si="1"/>
        <v>1</v>
      </c>
      <c r="K10">
        <f t="shared" si="2"/>
        <v>0.50550370043675896</v>
      </c>
      <c r="L10" s="75">
        <f t="shared" si="3"/>
        <v>1</v>
      </c>
      <c r="M10" s="71">
        <f t="shared" si="4"/>
        <v>8.2106350413618152</v>
      </c>
      <c r="N10" s="71">
        <f t="shared" si="13"/>
        <v>1</v>
      </c>
      <c r="O10">
        <f t="shared" si="14"/>
        <v>0.69637805986920276</v>
      </c>
      <c r="P10" s="75">
        <f t="shared" si="5"/>
        <v>1</v>
      </c>
      <c r="Q10" s="71">
        <f t="shared" si="6"/>
        <v>9.5200956203925919</v>
      </c>
      <c r="R10" s="71">
        <f t="shared" si="7"/>
        <v>1</v>
      </c>
      <c r="S10">
        <f t="shared" si="15"/>
        <v>0.80743885028394891</v>
      </c>
      <c r="T10">
        <f t="shared" si="8"/>
        <v>1</v>
      </c>
      <c r="U10" s="71">
        <f t="shared" si="9"/>
        <v>10.88392470098122</v>
      </c>
      <c r="V10" s="71">
        <f t="shared" si="10"/>
        <v>1</v>
      </c>
      <c r="W10">
        <f t="shared" si="16"/>
        <v>0.92311085912968416</v>
      </c>
      <c r="X10" s="76">
        <f t="shared" si="12"/>
        <v>1.2</v>
      </c>
    </row>
    <row r="11" spans="1:24" x14ac:dyDescent="0.2">
      <c r="A11" s="12">
        <v>8</v>
      </c>
      <c r="B11" s="12">
        <v>8</v>
      </c>
      <c r="C11" s="12">
        <v>57</v>
      </c>
      <c r="D11" s="7">
        <f>(Stage4to1!H9*Stage4to1!E9+Stage3to1!H9*Stage3to1!E9+Stage2to1!H9*Stage2to1!E9+Stage1to1!H9*Stage1to1!E9)/(Stage4to1!E9+Stage3to1!E9+Stage2to1!E9+Stage1to1!E9)</f>
        <v>5.6570949294641979</v>
      </c>
      <c r="E11" s="7">
        <f>(Stage4to2!H9*Stage4to2!E9+Stage3to2!H9*Stage3to2!E9+Stage2to2!H9*Stage2to2!E9)/(Stage4to2!E9+Stage3to2!E9+Stage2to2!E9)</f>
        <v>3.4033963757312158</v>
      </c>
      <c r="F11" s="7">
        <f>(Stage4to3!H9*Stage4to3!E9+Stage3to3!H9*Stage3to3!E9)/(Stage4to3!E9+Stage3to3!E9)</f>
        <v>2.198274660066347</v>
      </c>
      <c r="G11" s="7">
        <f>Stage4to4!H9</f>
        <v>0.88015559128037024</v>
      </c>
      <c r="H11" s="73">
        <v>11.132279349999999</v>
      </c>
      <c r="I11" s="71">
        <f t="shared" si="0"/>
        <v>5.4751844205358013</v>
      </c>
      <c r="J11" s="71">
        <f t="shared" si="1"/>
        <v>1</v>
      </c>
      <c r="K11">
        <f t="shared" si="2"/>
        <v>0.49182959287989858</v>
      </c>
      <c r="L11" s="75">
        <f t="shared" si="3"/>
        <v>1</v>
      </c>
      <c r="M11" s="71">
        <f t="shared" si="4"/>
        <v>7.7288829742687835</v>
      </c>
      <c r="N11" s="71">
        <f t="shared" si="13"/>
        <v>1</v>
      </c>
      <c r="O11">
        <f t="shared" si="14"/>
        <v>0.69427677219299966</v>
      </c>
      <c r="P11" s="75">
        <f t="shared" si="5"/>
        <v>1</v>
      </c>
      <c r="Q11" s="71">
        <f t="shared" si="6"/>
        <v>8.9340046899336514</v>
      </c>
      <c r="R11" s="71">
        <f t="shared" si="7"/>
        <v>1</v>
      </c>
      <c r="S11">
        <f t="shared" si="15"/>
        <v>0.80253148605488889</v>
      </c>
      <c r="T11">
        <f t="shared" si="8"/>
        <v>1</v>
      </c>
      <c r="U11" s="71">
        <f t="shared" si="9"/>
        <v>10.252123758719629</v>
      </c>
      <c r="V11" s="71">
        <f t="shared" si="10"/>
        <v>1</v>
      </c>
      <c r="W11">
        <f t="shared" si="16"/>
        <v>0.92093662370407814</v>
      </c>
      <c r="X11" s="76">
        <f t="shared" si="12"/>
        <v>1.2</v>
      </c>
    </row>
    <row r="12" spans="1:24" x14ac:dyDescent="0.2">
      <c r="A12" s="12">
        <v>9</v>
      </c>
      <c r="B12" s="12">
        <v>9</v>
      </c>
      <c r="C12" s="12">
        <v>58</v>
      </c>
      <c r="D12" s="7">
        <f>(Stage4to1!H10*Stage4to1!E10+Stage3to1!H10*Stage3to1!E10+Stage2to1!H10*Stage2to1!E10+Stage1to1!H10*Stage1to1!E10)/(Stage4to1!E10+Stage3to1!E10+Stage2to1!E10+Stage1to1!E10)</f>
        <v>5.5152723546483218</v>
      </c>
      <c r="E12" s="7">
        <f>(Stage4to2!H10*Stage4to2!E10+Stage3to2!H10*Stage3to2!E10+Stage2to2!H10*Stage2to2!E10)/(Stage4to2!E10+Stage3to2!E10+Stage2to2!E10)</f>
        <v>3.2097636798470344</v>
      </c>
      <c r="F12" s="7">
        <f>(Stage4to3!H10*Stage4to3!E10+Stage3to3!H10*Stage3to3!E10)/(Stage4to3!E10+Stage3to3!E10)</f>
        <v>2.0909316858521469</v>
      </c>
      <c r="G12" s="7">
        <f>Stage4to4!H10</f>
        <v>0.85451999153433988</v>
      </c>
      <c r="H12" s="73">
        <v>10.50191557</v>
      </c>
      <c r="I12" s="71">
        <f t="shared" si="0"/>
        <v>4.9866432153516778</v>
      </c>
      <c r="J12" s="71">
        <f t="shared" si="1"/>
        <v>1</v>
      </c>
      <c r="K12">
        <f t="shared" si="2"/>
        <v>0.47483177541406174</v>
      </c>
      <c r="L12" s="75">
        <f t="shared" si="3"/>
        <v>1</v>
      </c>
      <c r="M12" s="71">
        <f t="shared" si="4"/>
        <v>7.2921518901529652</v>
      </c>
      <c r="N12" s="71">
        <f t="shared" si="13"/>
        <v>1</v>
      </c>
      <c r="O12">
        <f t="shared" si="14"/>
        <v>0.69436397974707442</v>
      </c>
      <c r="P12" s="75">
        <f t="shared" si="5"/>
        <v>1</v>
      </c>
      <c r="Q12" s="71">
        <f t="shared" si="6"/>
        <v>8.4109838841478535</v>
      </c>
      <c r="R12" s="71">
        <f t="shared" si="7"/>
        <v>1</v>
      </c>
      <c r="S12">
        <f t="shared" si="15"/>
        <v>0.80089997182750672</v>
      </c>
      <c r="T12">
        <f t="shared" si="8"/>
        <v>1</v>
      </c>
      <c r="U12" s="71">
        <f t="shared" si="9"/>
        <v>9.6473955784656589</v>
      </c>
      <c r="V12" s="71">
        <f t="shared" si="10"/>
        <v>1</v>
      </c>
      <c r="W12">
        <f t="shared" si="16"/>
        <v>0.91863198805602841</v>
      </c>
      <c r="X12" s="76">
        <f t="shared" si="12"/>
        <v>1.2</v>
      </c>
    </row>
    <row r="13" spans="1:24" x14ac:dyDescent="0.2">
      <c r="A13" s="12">
        <v>10</v>
      </c>
      <c r="B13" s="12">
        <v>10</v>
      </c>
      <c r="C13" s="12">
        <v>59</v>
      </c>
      <c r="D13" s="7">
        <f>(Stage4to1!H11*Stage4to1!E11+Stage3to1!H11*Stage3to1!E11+Stage2to1!H11*Stage2to1!E11+Stage1to1!H11*Stage1to1!E11)/(Stage4to1!E11+Stage3to1!E11+Stage2to1!E11+Stage1to1!E11)</f>
        <v>5.4156628816580872</v>
      </c>
      <c r="E13" s="7">
        <f>(Stage4to2!H11*Stage4to2!E11+Stage3to2!H11*Stage3to2!E11+Stage2to2!H11*Stage2to2!E11)/(Stage4to2!E11+Stage3to2!E11+Stage2to2!E11)</f>
        <v>3.1628004489351262</v>
      </c>
      <c r="F13" s="7">
        <f>(Stage4to3!H11*Stage4to3!E11+Stage3to3!H11*Stage3to3!E11)/(Stage4to3!E11+Stage3to3!E11)</f>
        <v>1.8382122562630414</v>
      </c>
      <c r="G13" s="7">
        <f>Stage4to4!H11</f>
        <v>0.82963105974207763</v>
      </c>
      <c r="H13" s="73">
        <v>9.8987109629999992</v>
      </c>
      <c r="I13" s="71">
        <f t="shared" si="0"/>
        <v>4.483048081341912</v>
      </c>
      <c r="J13" s="71">
        <f t="shared" si="1"/>
        <v>1</v>
      </c>
      <c r="K13">
        <f t="shared" si="2"/>
        <v>0.45289210868959812</v>
      </c>
      <c r="L13" s="75">
        <f t="shared" si="3"/>
        <v>1</v>
      </c>
      <c r="M13" s="71">
        <f t="shared" si="4"/>
        <v>6.735910514064873</v>
      </c>
      <c r="N13" s="71">
        <f t="shared" si="13"/>
        <v>1</v>
      </c>
      <c r="O13">
        <f t="shared" si="14"/>
        <v>0.68048360430391053</v>
      </c>
      <c r="P13" s="75">
        <f t="shared" si="5"/>
        <v>1</v>
      </c>
      <c r="Q13" s="71">
        <f t="shared" si="6"/>
        <v>8.0604987067369578</v>
      </c>
      <c r="R13" s="71">
        <f t="shared" si="7"/>
        <v>1</v>
      </c>
      <c r="S13">
        <f t="shared" si="15"/>
        <v>0.8142978148231601</v>
      </c>
      <c r="T13">
        <f t="shared" si="8"/>
        <v>1</v>
      </c>
      <c r="U13" s="71">
        <f t="shared" si="9"/>
        <v>9.0690799032579221</v>
      </c>
      <c r="V13" s="71">
        <f t="shared" si="10"/>
        <v>1</v>
      </c>
      <c r="W13">
        <f t="shared" si="16"/>
        <v>0.91618797004548147</v>
      </c>
      <c r="X13" s="76">
        <f t="shared" si="12"/>
        <v>1.2</v>
      </c>
    </row>
    <row r="14" spans="1:24" x14ac:dyDescent="0.2">
      <c r="A14" s="12">
        <v>11</v>
      </c>
      <c r="B14" s="12">
        <v>11</v>
      </c>
      <c r="C14" s="12">
        <v>60</v>
      </c>
      <c r="D14" s="7">
        <f>(Stage4to1!H12*Stage4to1!E12+Stage3to1!H12*Stage3to1!E12+Stage2to1!H12*Stage2to1!E12+Stage1to1!H12*Stage1to1!E12)/(Stage4to1!E12+Stage3to1!E12+Stage2to1!E12+Stage1to1!E12)</f>
        <v>5.081051274122852</v>
      </c>
      <c r="E14" s="7">
        <f>(Stage4to2!H12*Stage4to2!E12+Stage3to2!H12*Stage3to2!E12+Stage2to2!H12*Stage2to2!E12)/(Stage4to2!E12+Stage3to2!E12+Stage2to2!E12)</f>
        <v>2.9014166087774091</v>
      </c>
      <c r="F14" s="7">
        <f>(Stage4to3!H12*Stage4to3!E12+Stage3to3!H12*Stage3to3!E12)/(Stage4to3!E12+Stage3to3!E12)</f>
        <v>1.7318789956072103</v>
      </c>
      <c r="G14" s="7">
        <f>Stage4to4!H12</f>
        <v>0.67297733988582753</v>
      </c>
      <c r="H14" s="73">
        <v>9.3210337140000004</v>
      </c>
      <c r="I14" s="71">
        <f t="shared" si="0"/>
        <v>4.2399824398771484</v>
      </c>
      <c r="J14" s="71">
        <f t="shared" si="1"/>
        <v>1</v>
      </c>
      <c r="K14">
        <f t="shared" si="2"/>
        <v>0.45488328547817419</v>
      </c>
      <c r="L14" s="75">
        <f t="shared" si="3"/>
        <v>1</v>
      </c>
      <c r="M14" s="71">
        <f t="shared" si="4"/>
        <v>6.4196171052225912</v>
      </c>
      <c r="N14" s="71">
        <f t="shared" si="13"/>
        <v>1</v>
      </c>
      <c r="O14">
        <f t="shared" si="14"/>
        <v>0.68872372981340668</v>
      </c>
      <c r="P14" s="75">
        <f t="shared" si="5"/>
        <v>1</v>
      </c>
      <c r="Q14" s="71">
        <f t="shared" si="6"/>
        <v>7.5891547183927903</v>
      </c>
      <c r="R14" s="71">
        <f t="shared" si="7"/>
        <v>1</v>
      </c>
      <c r="S14">
        <f t="shared" si="15"/>
        <v>0.81419668153265412</v>
      </c>
      <c r="T14">
        <f t="shared" si="8"/>
        <v>1</v>
      </c>
      <c r="U14" s="71">
        <f t="shared" si="9"/>
        <v>8.6480563741141729</v>
      </c>
      <c r="V14" s="71">
        <f t="shared" si="10"/>
        <v>1</v>
      </c>
      <c r="W14">
        <f t="shared" si="16"/>
        <v>0.9278001388542314</v>
      </c>
      <c r="X14" s="76">
        <f t="shared" si="12"/>
        <v>1.2</v>
      </c>
    </row>
    <row r="15" spans="1:24" x14ac:dyDescent="0.2">
      <c r="A15" s="12">
        <v>12</v>
      </c>
      <c r="B15" s="12">
        <v>12</v>
      </c>
      <c r="C15" s="12">
        <v>61</v>
      </c>
      <c r="D15" s="7">
        <f>(Stage4to1!H13*Stage4to1!E13+Stage3to1!H13*Stage3to1!E13+Stage2to1!H13*Stage2to1!E13+Stage1to1!H13*Stage1to1!E13)/(Stage4to1!E13+Stage3to1!E13+Stage2to1!E13+Stage1to1!E13)</f>
        <v>4.886473840487195</v>
      </c>
      <c r="E15" s="7">
        <f>(Stage4to2!H13*Stage4to2!E13+Stage3to2!H13*Stage3to2!E13+Stage2to2!H13*Stage2to2!E13)/(Stage4to2!E13+Stage3to2!E13+Stage2to2!E13)</f>
        <v>2.7976581955287929</v>
      </c>
      <c r="F15" s="7">
        <f>(Stage4to3!H13*Stage4to3!E13+Stage3to3!H13*Stage3to3!E13)/(Stage4to3!E13+Stage3to3!E13)</f>
        <v>1.6797765769021737</v>
      </c>
      <c r="G15" s="7">
        <f>Stage4to4!H13</f>
        <v>0.65337605814158017</v>
      </c>
      <c r="H15" s="73">
        <v>8.7689618940000003</v>
      </c>
      <c r="I15" s="71">
        <f t="shared" si="0"/>
        <v>3.8824880535128052</v>
      </c>
      <c r="J15" s="71">
        <f t="shared" si="1"/>
        <v>1</v>
      </c>
      <c r="K15">
        <f t="shared" si="2"/>
        <v>0.4427534411079293</v>
      </c>
      <c r="L15" s="75">
        <f t="shared" si="3"/>
        <v>1</v>
      </c>
      <c r="M15" s="71">
        <f t="shared" si="4"/>
        <v>5.9713036984712069</v>
      </c>
      <c r="N15" s="71">
        <f t="shared" si="13"/>
        <v>1</v>
      </c>
      <c r="O15">
        <f t="shared" si="14"/>
        <v>0.68095902008160858</v>
      </c>
      <c r="P15" s="75">
        <f t="shared" si="5"/>
        <v>1</v>
      </c>
      <c r="Q15" s="71">
        <f t="shared" si="6"/>
        <v>7.0891853170978267</v>
      </c>
      <c r="R15" s="71">
        <f t="shared" si="7"/>
        <v>1</v>
      </c>
      <c r="S15">
        <f t="shared" si="15"/>
        <v>0.80844065726280212</v>
      </c>
      <c r="T15">
        <f t="shared" si="8"/>
        <v>1</v>
      </c>
      <c r="U15" s="71">
        <f t="shared" si="9"/>
        <v>8.1155858358584201</v>
      </c>
      <c r="V15" s="71">
        <f t="shared" si="10"/>
        <v>1</v>
      </c>
      <c r="W15">
        <f t="shared" si="16"/>
        <v>0.92548991932686575</v>
      </c>
      <c r="X15" s="76">
        <f t="shared" si="12"/>
        <v>1.2</v>
      </c>
    </row>
    <row r="16" spans="1:24" x14ac:dyDescent="0.2">
      <c r="A16" s="12">
        <v>13</v>
      </c>
      <c r="B16" s="12">
        <v>13</v>
      </c>
      <c r="C16" s="12">
        <v>62</v>
      </c>
      <c r="D16" s="7">
        <f>(Stage4to1!H14*Stage4to1!E14+Stage3to1!H14*Stage3to1!E14+Stage2to1!H14*Stage2to1!E14+Stage1to1!H14*Stage1to1!E14)/(Stage4to1!E14+Stage3to1!E14+Stage2to1!E14+Stage1to1!E14)</f>
        <v>4.6935710755008371</v>
      </c>
      <c r="E16" s="7">
        <f>(Stage4to2!H14*Stage4to2!E14+Stage3to2!H14*Stage3to2!E14+Stage2to2!H14*Stage2to2!E14)/(Stage4to2!E14+Stage3to2!E14+Stage2to2!E14)</f>
        <v>2.6762581143774664</v>
      </c>
      <c r="F16" s="7">
        <f>(Stage4to3!H14*Stage4to3!E14+Stage3to3!H14*Stage3to3!E14)/(Stage4to3!E14+Stage3to3!E14)</f>
        <v>1.6269325270878872</v>
      </c>
      <c r="G16" s="7">
        <f>Stage4to4!H14</f>
        <v>0.63434568751609732</v>
      </c>
      <c r="H16" s="73">
        <v>8.2409891749999993</v>
      </c>
      <c r="I16" s="71">
        <f t="shared" si="0"/>
        <v>3.5474180994991622</v>
      </c>
      <c r="J16" s="71">
        <f t="shared" si="1"/>
        <v>1</v>
      </c>
      <c r="K16">
        <f t="shared" si="2"/>
        <v>0.43046023046124954</v>
      </c>
      <c r="L16" s="75">
        <f t="shared" si="3"/>
        <v>1</v>
      </c>
      <c r="M16" s="71">
        <f t="shared" si="4"/>
        <v>5.5647310606225329</v>
      </c>
      <c r="N16" s="71">
        <f t="shared" si="13"/>
        <v>1</v>
      </c>
      <c r="O16">
        <f t="shared" si="14"/>
        <v>0.6752503786200561</v>
      </c>
      <c r="P16" s="75">
        <f t="shared" si="5"/>
        <v>1</v>
      </c>
      <c r="Q16" s="71">
        <f t="shared" si="6"/>
        <v>6.6140566479121121</v>
      </c>
      <c r="R16" s="71">
        <f t="shared" si="7"/>
        <v>1</v>
      </c>
      <c r="S16">
        <f t="shared" si="15"/>
        <v>0.80258043148225744</v>
      </c>
      <c r="T16">
        <f t="shared" si="8"/>
        <v>1</v>
      </c>
      <c r="U16" s="71">
        <f t="shared" si="9"/>
        <v>7.6066434874839022</v>
      </c>
      <c r="V16" s="71">
        <f t="shared" si="10"/>
        <v>1</v>
      </c>
      <c r="W16">
        <f t="shared" si="16"/>
        <v>0.92302554049695162</v>
      </c>
      <c r="X16" s="76">
        <f t="shared" si="12"/>
        <v>1.2</v>
      </c>
    </row>
    <row r="17" spans="1:24" x14ac:dyDescent="0.2">
      <c r="A17" s="12">
        <v>14</v>
      </c>
      <c r="B17" s="12">
        <v>14</v>
      </c>
      <c r="C17" s="12">
        <v>63</v>
      </c>
      <c r="D17" s="7">
        <f>(Stage4to1!H15*Stage4to1!E15+Stage3to1!H15*Stage3to1!E15+Stage2to1!H15*Stage2to1!E15+Stage1to1!H15*Stage1to1!E15)/(Stage4to1!E15+Stage3to1!E15+Stage2to1!E15+Stage1to1!E15)</f>
        <v>4.5233918022423882</v>
      </c>
      <c r="E17" s="7">
        <f>(Stage4to2!H15*Stage4to2!E15+Stage3to2!H15*Stage3to2!E15+Stage2to2!H15*Stage2to2!E15)/(Stage4to2!E15+Stage3to2!E15+Stage2to2!E15)</f>
        <v>2.5344944520244397</v>
      </c>
      <c r="F17" s="7">
        <f>(Stage4to3!H15*Stage4to3!E15+Stage3to3!H15*Stage3to3!E15)/(Stage4to3!E15+Stage3to3!E15)</f>
        <v>1.5565717423803502</v>
      </c>
      <c r="G17" s="7">
        <f>Stage4to4!H15</f>
        <v>0.61586959953019149</v>
      </c>
      <c r="H17" s="73">
        <v>7.7384869040000002</v>
      </c>
      <c r="I17" s="71">
        <f t="shared" si="0"/>
        <v>3.2150951017576119</v>
      </c>
      <c r="J17" s="71">
        <f t="shared" si="1"/>
        <v>1</v>
      </c>
      <c r="K17">
        <f t="shared" si="2"/>
        <v>0.41546818410918795</v>
      </c>
      <c r="L17" s="75">
        <f t="shared" si="3"/>
        <v>1</v>
      </c>
      <c r="M17" s="71">
        <f t="shared" si="4"/>
        <v>5.2039924519755605</v>
      </c>
      <c r="N17" s="71">
        <f t="shared" si="13"/>
        <v>1</v>
      </c>
      <c r="O17">
        <f t="shared" si="14"/>
        <v>0.67248190977562194</v>
      </c>
      <c r="P17" s="75">
        <f t="shared" si="5"/>
        <v>1</v>
      </c>
      <c r="Q17" s="71">
        <f t="shared" si="6"/>
        <v>6.1819151616196502</v>
      </c>
      <c r="R17" s="71">
        <f t="shared" si="7"/>
        <v>1</v>
      </c>
      <c r="S17">
        <f>Q17/$H17</f>
        <v>0.79885321747126525</v>
      </c>
      <c r="T17">
        <f t="shared" si="8"/>
        <v>1</v>
      </c>
      <c r="U17" s="71">
        <f t="shared" si="9"/>
        <v>7.1226173044698085</v>
      </c>
      <c r="V17" s="71">
        <f t="shared" si="10"/>
        <v>1</v>
      </c>
      <c r="W17">
        <f t="shared" si="16"/>
        <v>0.92041472613827768</v>
      </c>
      <c r="X17" s="76">
        <f t="shared" si="12"/>
        <v>1.2</v>
      </c>
    </row>
    <row r="18" spans="1:24" x14ac:dyDescent="0.2">
      <c r="A18" s="12">
        <v>15</v>
      </c>
      <c r="B18" s="12">
        <v>15</v>
      </c>
      <c r="C18" s="12">
        <v>64</v>
      </c>
      <c r="D18" s="7">
        <f>(Stage4to1!H16*Stage4to1!E16+Stage3to1!H16*Stage3to1!E16+Stage2to1!H16*Stage2to1!E16+Stage1to1!H16*Stage1to1!E16)/(Stage4to1!E16+Stage3to1!E16+Stage2to1!E16+Stage1to1!E16)</f>
        <v>4.393766471874498</v>
      </c>
      <c r="E18" s="7">
        <f>(Stage4to2!H16*Stage4to2!E16+Stage3to2!H16*Stage3to2!E16+Stage2to2!H16*Stage2to2!E16)/(Stage4to2!E16+Stage3to2!E16+Stage2to2!E16)</f>
        <v>2.4675066135497068</v>
      </c>
      <c r="F18" s="7">
        <f>(Stage4to3!H16*Stage4to3!E16+Stage3to3!H16*Stage3to3!E16)/(Stage4to3!E16+Stage3to3!E16)</f>
        <v>1.4092926512729229</v>
      </c>
      <c r="G18" s="7">
        <f>Stage4to4!H16</f>
        <v>0.59361230494013029</v>
      </c>
      <c r="H18" s="73">
        <v>7.2583067149999998</v>
      </c>
      <c r="I18" s="71">
        <f t="shared" si="0"/>
        <v>2.8645402431255018</v>
      </c>
      <c r="J18" s="71">
        <f t="shared" si="1"/>
        <v>1</v>
      </c>
      <c r="K18">
        <f t="shared" si="2"/>
        <v>0.39465681950387266</v>
      </c>
      <c r="L18" s="75">
        <f t="shared" si="3"/>
        <v>1</v>
      </c>
      <c r="M18" s="71">
        <f t="shared" si="4"/>
        <v>4.7908001014502926</v>
      </c>
      <c r="N18" s="71">
        <f t="shared" si="13"/>
        <v>1</v>
      </c>
      <c r="O18">
        <f t="shared" si="14"/>
        <v>0.66004376634424067</v>
      </c>
      <c r="P18" s="75">
        <f t="shared" si="5"/>
        <v>1</v>
      </c>
      <c r="Q18" s="71">
        <f t="shared" si="6"/>
        <v>5.8490140637270773</v>
      </c>
      <c r="R18" s="71">
        <f t="shared" si="7"/>
        <v>1</v>
      </c>
      <c r="S18">
        <f t="shared" si="15"/>
        <v>0.80583726940603362</v>
      </c>
      <c r="T18">
        <f t="shared" si="8"/>
        <v>1</v>
      </c>
      <c r="U18" s="71">
        <f t="shared" si="9"/>
        <v>6.6646944100598695</v>
      </c>
      <c r="V18" s="71">
        <f t="shared" si="10"/>
        <v>1</v>
      </c>
      <c r="W18">
        <f t="shared" si="16"/>
        <v>0.91821614486015413</v>
      </c>
      <c r="X18" s="76">
        <f t="shared" si="12"/>
        <v>1.2</v>
      </c>
    </row>
    <row r="19" spans="1:24" x14ac:dyDescent="0.2">
      <c r="A19" s="12">
        <v>16</v>
      </c>
      <c r="B19" s="12">
        <v>16</v>
      </c>
      <c r="C19" s="12">
        <v>65</v>
      </c>
      <c r="D19" s="7">
        <f>(Stage4to1!H17*Stage4to1!E17+Stage3to1!H17*Stage3to1!E17+Stage2to1!H17*Stage2to1!E17+Stage1to1!H17*Stage1to1!E17)/(Stage4to1!E17+Stage3to1!E17+Stage2to1!E17+Stage1to1!E17)</f>
        <v>3.7833721152793127</v>
      </c>
      <c r="E19" s="7">
        <f>(Stage4to2!H17*Stage4to2!E17+Stage3to2!H17*Stage3to2!E17+Stage2to2!H17*Stage2to2!E17)/(Stage4to2!E17+Stage3to2!E17+Stage2to2!E17)</f>
        <v>1.9844254598978297</v>
      </c>
      <c r="F19" s="7">
        <f>(Stage4to3!H17*Stage4to3!E17+Stage3to3!H17*Stage3to3!E17)/(Stage4to3!E17+Stage3to3!E17)</f>
        <v>1.0996187011107939</v>
      </c>
      <c r="G19" s="7">
        <f>Stage4to4!H17</f>
        <v>0.44130879033408321</v>
      </c>
      <c r="H19" s="73">
        <v>6.7994134869999998</v>
      </c>
      <c r="I19" s="71">
        <f t="shared" si="0"/>
        <v>3.0160413717206871</v>
      </c>
      <c r="J19" s="71">
        <f t="shared" si="1"/>
        <v>1</v>
      </c>
      <c r="K19">
        <f t="shared" si="2"/>
        <v>0.44357375492564849</v>
      </c>
      <c r="L19" s="75">
        <f t="shared" si="3"/>
        <v>1</v>
      </c>
      <c r="M19" s="71">
        <f t="shared" si="4"/>
        <v>4.8149880271021699</v>
      </c>
      <c r="N19" s="71">
        <f t="shared" si="13"/>
        <v>1</v>
      </c>
      <c r="O19">
        <f t="shared" si="14"/>
        <v>0.70814755365416271</v>
      </c>
      <c r="P19" s="75">
        <f t="shared" si="5"/>
        <v>1</v>
      </c>
      <c r="Q19" s="71">
        <f t="shared" si="6"/>
        <v>5.699794785889206</v>
      </c>
      <c r="R19" s="71">
        <f t="shared" si="7"/>
        <v>1</v>
      </c>
      <c r="S19">
        <f t="shared" si="15"/>
        <v>0.83827741860188565</v>
      </c>
      <c r="T19">
        <f t="shared" si="8"/>
        <v>1</v>
      </c>
      <c r="U19" s="71">
        <f t="shared" si="9"/>
        <v>6.3581046966659169</v>
      </c>
      <c r="V19" s="71">
        <f t="shared" si="10"/>
        <v>1</v>
      </c>
      <c r="W19">
        <f t="shared" si="16"/>
        <v>0.935096050390547</v>
      </c>
      <c r="X19" s="76">
        <f t="shared" si="12"/>
        <v>1.2</v>
      </c>
    </row>
    <row r="20" spans="1:24" x14ac:dyDescent="0.2">
      <c r="A20" s="12">
        <v>17</v>
      </c>
      <c r="B20" s="12">
        <v>17</v>
      </c>
      <c r="C20" s="12">
        <v>66</v>
      </c>
      <c r="D20" s="7">
        <f>(Stage4to1!H18*Stage4to1!E18+Stage3to1!H18*Stage3to1!E18+Stage2to1!H18*Stage2to1!E18+Stage1to1!H18*Stage1to1!E18)/(Stage4to1!E18+Stage3to1!E18+Stage2to1!E18+Stage1to1!E18)</f>
        <v>3.6378637761450623</v>
      </c>
      <c r="E20" s="7">
        <f>(Stage4to2!H18*Stage4to2!E18+Stage3to2!H18*Stage3to2!E18+Stage2to2!H18*Stage2to2!E18)/(Stage4to2!E18+Stage3to2!E18+Stage2to2!E18)</f>
        <v>1.9157469270756726</v>
      </c>
      <c r="F20" s="7">
        <f>(Stage4to3!H18*Stage4to3!E18+Stage3to3!H18*Stage3to3!E18)/(Stage4to3!E18+Stage3to3!E18)</f>
        <v>1.0671448563647183</v>
      </c>
      <c r="G20" s="7">
        <f>Stage4to4!H18</f>
        <v>0.42845513624668274</v>
      </c>
      <c r="H20" s="73">
        <v>6.3621903849999999</v>
      </c>
      <c r="I20" s="71">
        <f t="shared" si="0"/>
        <v>2.7243266088549376</v>
      </c>
      <c r="J20" s="71">
        <f t="shared" si="1"/>
        <v>1</v>
      </c>
      <c r="K20">
        <f t="shared" si="2"/>
        <v>0.42820576625277107</v>
      </c>
      <c r="L20" s="75">
        <f t="shared" si="3"/>
        <v>1</v>
      </c>
      <c r="M20" s="71">
        <f t="shared" si="4"/>
        <v>4.4464434579243273</v>
      </c>
      <c r="N20" s="71">
        <f t="shared" si="13"/>
        <v>1</v>
      </c>
      <c r="O20">
        <f t="shared" si="14"/>
        <v>0.69888563354023669</v>
      </c>
      <c r="P20" s="75">
        <f t="shared" si="5"/>
        <v>1</v>
      </c>
      <c r="Q20" s="71">
        <f t="shared" si="6"/>
        <v>5.2950455286352813</v>
      </c>
      <c r="R20" s="71">
        <f t="shared" si="7"/>
        <v>1</v>
      </c>
      <c r="S20">
        <f t="shared" si="15"/>
        <v>0.83226769527666078</v>
      </c>
      <c r="T20">
        <f t="shared" si="8"/>
        <v>1</v>
      </c>
      <c r="U20" s="71">
        <f t="shared" si="9"/>
        <v>5.933735248753317</v>
      </c>
      <c r="V20" s="71">
        <f t="shared" si="10"/>
        <v>1</v>
      </c>
      <c r="W20">
        <f t="shared" si="16"/>
        <v>0.93265603348544202</v>
      </c>
      <c r="X20" s="76">
        <f t="shared" si="12"/>
        <v>1.2</v>
      </c>
    </row>
    <row r="21" spans="1:24" x14ac:dyDescent="0.2">
      <c r="A21" s="12">
        <v>18</v>
      </c>
      <c r="B21" s="12">
        <v>18</v>
      </c>
      <c r="C21" s="12">
        <v>67</v>
      </c>
      <c r="D21" s="7">
        <f>(Stage4to1!H19*Stage4to1!E19+Stage3to1!H19*Stage3to1!E19+Stage2to1!H19*Stage2to1!E19+Stage1to1!H19*Stage1to1!E19)/(Stage4to1!E19+Stage3to1!E19+Stage2to1!E19+Stage1to1!E19)</f>
        <v>3.4969817331645445</v>
      </c>
      <c r="E21" s="7">
        <f>(Stage4to2!H19*Stage4to2!E19+Stage3to2!H19*Stage3to2!E19+Stage2to2!H19*Stage2to2!E19)/(Stage4to2!E19+Stage3to2!E19+Stage2to2!E19)</f>
        <v>1.8409966652883716</v>
      </c>
      <c r="F21" s="7">
        <f>(Stage4to3!H19*Stage4to3!E19+Stage3to3!H19*Stage3to3!E19)/(Stage4to3!E19+Stage3to3!E19)</f>
        <v>1.0354566215375247</v>
      </c>
      <c r="G21" s="7">
        <f>Stage4to4!H19</f>
        <v>0.41597586043367263</v>
      </c>
      <c r="H21" s="73">
        <v>5.9449423909999997</v>
      </c>
      <c r="I21" s="71">
        <f t="shared" si="0"/>
        <v>2.4479606578354551</v>
      </c>
      <c r="J21" s="71">
        <f t="shared" si="1"/>
        <v>1</v>
      </c>
      <c r="K21">
        <f t="shared" si="2"/>
        <v>0.4117719730205297</v>
      </c>
      <c r="L21" s="75">
        <f t="shared" si="3"/>
        <v>1</v>
      </c>
      <c r="M21" s="71">
        <f t="shared" si="4"/>
        <v>4.1039457257116281</v>
      </c>
      <c r="N21" s="71">
        <f t="shared" si="13"/>
        <v>1</v>
      </c>
      <c r="O21">
        <f t="shared" si="14"/>
        <v>0.69032556680861334</v>
      </c>
      <c r="P21" s="75">
        <f t="shared" si="5"/>
        <v>1</v>
      </c>
      <c r="Q21" s="71">
        <f t="shared" si="6"/>
        <v>4.9094857694624752</v>
      </c>
      <c r="R21" s="71">
        <f t="shared" si="7"/>
        <v>1</v>
      </c>
      <c r="S21">
        <f t="shared" si="15"/>
        <v>0.82582562564355644</v>
      </c>
      <c r="T21">
        <f t="shared" si="8"/>
        <v>1</v>
      </c>
      <c r="U21" s="71">
        <f t="shared" si="9"/>
        <v>5.5289665305663274</v>
      </c>
      <c r="V21" s="71">
        <f t="shared" si="10"/>
        <v>1</v>
      </c>
      <c r="W21">
        <f>U21/H21</f>
        <v>0.93002861372325241</v>
      </c>
      <c r="X21" s="76">
        <f t="shared" si="12"/>
        <v>1.2</v>
      </c>
    </row>
    <row r="22" spans="1:24" x14ac:dyDescent="0.2">
      <c r="A22" s="12">
        <v>19</v>
      </c>
      <c r="B22" s="12">
        <v>19</v>
      </c>
      <c r="C22" s="12">
        <v>68</v>
      </c>
      <c r="D22" s="7">
        <f>(Stage4to1!H20*Stage4to1!E20+Stage3to1!H20*Stage3to1!E20+Stage2to1!H20*Stage2to1!E20+Stage1to1!H20*Stage1to1!E20)/(Stage4to1!E20+Stage3to1!E20+Stage2to1!E20+Stage1to1!E20)</f>
        <v>3.3745379290528539</v>
      </c>
      <c r="E22" s="7">
        <f>(Stage4to2!H20*Stage4to2!E20+Stage3to2!H20*Stage3to2!E20+Stage2to2!H20*Stage2to2!E20)/(Stage4to2!E20+Stage3to2!E20+Stage2to2!E20)</f>
        <v>1.7608204864243495</v>
      </c>
      <c r="F22" s="7">
        <f>(Stage4to3!H20*Stage4to3!E20+Stage3to3!H20*Stage3to3!E20)/(Stage4to3!E20+Stage3to3!E20)</f>
        <v>1.0002650892515339</v>
      </c>
      <c r="G22" s="7">
        <f>Stage4to4!H20</f>
        <v>0.40386005867346852</v>
      </c>
      <c r="H22" s="73">
        <v>5.5472481980000001</v>
      </c>
      <c r="I22" s="71">
        <f t="shared" si="0"/>
        <v>2.1727102689471463</v>
      </c>
      <c r="J22" s="71">
        <f t="shared" si="1"/>
        <v>1</v>
      </c>
      <c r="K22">
        <f t="shared" si="2"/>
        <v>0.39167352737714051</v>
      </c>
      <c r="L22" s="75">
        <f t="shared" si="3"/>
        <v>1</v>
      </c>
      <c r="M22" s="71">
        <f t="shared" si="4"/>
        <v>3.7864277115756506</v>
      </c>
      <c r="N22" s="71">
        <f t="shared" si="13"/>
        <v>1</v>
      </c>
      <c r="O22">
        <f t="shared" si="14"/>
        <v>0.68257766309082868</v>
      </c>
      <c r="P22" s="75">
        <f t="shared" si="5"/>
        <v>1</v>
      </c>
      <c r="Q22" s="71">
        <f t="shared" si="6"/>
        <v>4.5469831087484662</v>
      </c>
      <c r="R22" s="71">
        <f t="shared" si="7"/>
        <v>1</v>
      </c>
      <c r="S22">
        <f t="shared" si="15"/>
        <v>0.81968265101024895</v>
      </c>
      <c r="T22">
        <f t="shared" si="8"/>
        <v>1</v>
      </c>
      <c r="U22" s="71">
        <f t="shared" si="9"/>
        <v>5.1433881393265315</v>
      </c>
      <c r="V22" s="71">
        <f t="shared" si="10"/>
        <v>1</v>
      </c>
      <c r="W22">
        <f t="shared" si="16"/>
        <v>0.92719632432904731</v>
      </c>
      <c r="X22" s="76">
        <f t="shared" si="12"/>
        <v>1.2</v>
      </c>
    </row>
    <row r="23" spans="1:24" x14ac:dyDescent="0.2">
      <c r="A23" s="12">
        <v>20</v>
      </c>
      <c r="B23" s="12">
        <v>20</v>
      </c>
      <c r="C23" s="12">
        <v>69</v>
      </c>
      <c r="D23" s="7">
        <f>(Stage4to1!H21*Stage4to1!E21+Stage3to1!H21*Stage3to1!E21+Stage2to1!H21*Stage2to1!E21+Stage1to1!H21*Stage1to1!E21)/(Stage4to1!E21+Stage3to1!E21+Stage2to1!E21+Stage1to1!E21)</f>
        <v>3.2777740697894715</v>
      </c>
      <c r="E23" s="7">
        <f>(Stage4to2!H21*Stage4to2!E21+Stage3to2!H21*Stage3to2!E21+Stage2to2!H21*Stage2to2!E21)/(Stage4to2!E21+Stage3to2!E21+Stage2to2!E21)</f>
        <v>1.7105886533519581</v>
      </c>
      <c r="F23" s="7">
        <f>(Stage4to3!H21*Stage4to3!E21+Stage3to3!H21*Stage3to3!E21)/(Stage4to3!E21+Stage3to3!E21)</f>
        <v>0.9411558811716404</v>
      </c>
      <c r="G23" s="7">
        <f>Stage4to4!H21</f>
        <v>0.39209714434317328</v>
      </c>
      <c r="H23" s="73">
        <v>5.1689942020000004</v>
      </c>
      <c r="I23" s="71">
        <f t="shared" si="0"/>
        <v>1.8912201322105289</v>
      </c>
      <c r="J23" s="71">
        <f t="shared" si="1"/>
        <v>1</v>
      </c>
      <c r="K23">
        <f t="shared" si="2"/>
        <v>0.36587778169276591</v>
      </c>
      <c r="L23" s="75">
        <f t="shared" si="3"/>
        <v>1</v>
      </c>
      <c r="M23" s="71">
        <f t="shared" si="4"/>
        <v>3.4584055486480425</v>
      </c>
      <c r="N23" s="71">
        <f t="shared" si="13"/>
        <v>1</v>
      </c>
      <c r="O23">
        <f t="shared" si="14"/>
        <v>0.66906740721626412</v>
      </c>
      <c r="P23" s="75">
        <f t="shared" si="5"/>
        <v>1</v>
      </c>
      <c r="Q23" s="71">
        <f t="shared" si="6"/>
        <v>4.2278383208283596</v>
      </c>
      <c r="R23" s="71">
        <f t="shared" si="7"/>
        <v>1</v>
      </c>
      <c r="S23">
        <f t="shared" si="15"/>
        <v>0.81792282127004778</v>
      </c>
      <c r="T23">
        <f t="shared" si="8"/>
        <v>1</v>
      </c>
      <c r="U23" s="71">
        <f t="shared" si="9"/>
        <v>4.7768970576568268</v>
      </c>
      <c r="V23" s="71">
        <f t="shared" si="10"/>
        <v>1</v>
      </c>
      <c r="W23">
        <f t="shared" si="16"/>
        <v>0.92414440236913742</v>
      </c>
      <c r="X23" s="76">
        <f t="shared" si="12"/>
        <v>1.2</v>
      </c>
    </row>
    <row r="24" spans="1:24" x14ac:dyDescent="0.2">
      <c r="A24" s="12">
        <v>21</v>
      </c>
      <c r="B24" s="12">
        <v>21</v>
      </c>
      <c r="C24" s="12">
        <v>70</v>
      </c>
      <c r="D24" s="7">
        <f>(Stage4to1!H22*Stage4to1!E22+Stage3to1!H22*Stage3to1!E22+Stage2to1!H22*Stage2to1!E22+Stage1to1!H22*Stage1to1!E22)/(Stage4to1!E22+Stage3to1!E22+Stage2to1!E22+Stage1to1!E22)</f>
        <v>2.8768803303955481</v>
      </c>
      <c r="E24" s="7">
        <f>(Stage4to2!H22*Stage4to2!E22+Stage3to2!H22*Stage3to2!E22+Stage2to2!H22*Stage2to2!E22)/(Stage4to2!E22+Stage3to2!E22+Stage2to2!E22)</f>
        <v>1.4886812181624076</v>
      </c>
      <c r="F24" s="7">
        <f>(Stage4to3!H22*Stage4to3!E22+Stage3to3!H22*Stage3to3!E22)/(Stage4to3!E22+Stage3to3!E22)</f>
        <v>0.81899095085178586</v>
      </c>
      <c r="G24" s="7">
        <f>Stage4to4!H22</f>
        <v>0.31864023153886095</v>
      </c>
      <c r="H24" s="73">
        <v>4.8086799439999997</v>
      </c>
      <c r="I24" s="71">
        <f t="shared" si="0"/>
        <v>1.9317996136044515</v>
      </c>
      <c r="J24" s="71">
        <f t="shared" si="1"/>
        <v>1</v>
      </c>
      <c r="K24">
        <f t="shared" si="2"/>
        <v>0.40173179252964059</v>
      </c>
      <c r="L24" s="75">
        <f t="shared" si="3"/>
        <v>1</v>
      </c>
      <c r="M24" s="71">
        <f t="shared" si="4"/>
        <v>3.3199987258375918</v>
      </c>
      <c r="N24" s="71">
        <f t="shared" si="13"/>
        <v>1</v>
      </c>
      <c r="O24">
        <f t="shared" si="14"/>
        <v>0.69041790356209909</v>
      </c>
      <c r="P24" s="75">
        <f t="shared" si="5"/>
        <v>1</v>
      </c>
      <c r="Q24" s="71">
        <f t="shared" si="6"/>
        <v>3.9896889931482136</v>
      </c>
      <c r="R24" s="71">
        <f t="shared" si="7"/>
        <v>1</v>
      </c>
      <c r="S24">
        <f t="shared" si="15"/>
        <v>0.82968486977935041</v>
      </c>
      <c r="T24">
        <f t="shared" si="8"/>
        <v>1</v>
      </c>
      <c r="U24" s="71">
        <f t="shared" si="9"/>
        <v>4.4900397124611384</v>
      </c>
      <c r="V24" s="71">
        <f t="shared" si="10"/>
        <v>1</v>
      </c>
      <c r="W24">
        <f t="shared" si="16"/>
        <v>0.93373644425297164</v>
      </c>
      <c r="X24" s="76">
        <f t="shared" si="12"/>
        <v>1.2</v>
      </c>
    </row>
    <row r="25" spans="1:24" x14ac:dyDescent="0.2">
      <c r="A25" s="12">
        <v>22</v>
      </c>
      <c r="B25" s="12">
        <v>22</v>
      </c>
      <c r="C25" s="12">
        <v>71</v>
      </c>
      <c r="D25" s="7">
        <f>(Stage4to1!H23*Stage4to1!E23+Stage3to1!H23*Stage3to1!E23+Stage2to1!H23*Stage2to1!E23+Stage1to1!H23*Stage1to1!E23)/(Stage4to1!E23+Stage3to1!E23+Stage2to1!E23+Stage1to1!E23)</f>
        <v>2.7754933518735587</v>
      </c>
      <c r="E25" s="7">
        <f>(Stage4to2!H23*Stage4to2!E23+Stage3to2!H23*Stage3to2!E23+Stage2to2!H23*Stage2to2!E23)/(Stage4to2!E23+Stage3to2!E23+Stage2to2!E23)</f>
        <v>1.4372750179995721</v>
      </c>
      <c r="F25" s="7">
        <f>(Stage4to3!H23*Stage4to3!E23+Stage3to3!H23*Stage3to3!E23)/(Stage4to3!E23+Stage3to3!E23)</f>
        <v>0.79527667274423075</v>
      </c>
      <c r="G25" s="7">
        <f>Stage4to4!H23</f>
        <v>0.30935944809598148</v>
      </c>
      <c r="H25" s="73">
        <v>4.4648895360000003</v>
      </c>
      <c r="I25" s="71">
        <f t="shared" si="0"/>
        <v>1.6893961841264415</v>
      </c>
      <c r="J25" s="71">
        <f t="shared" si="1"/>
        <v>1</v>
      </c>
      <c r="K25">
        <f t="shared" si="2"/>
        <v>0.37837356792480376</v>
      </c>
      <c r="L25" s="75">
        <f t="shared" si="3"/>
        <v>1</v>
      </c>
      <c r="M25" s="71">
        <f t="shared" si="4"/>
        <v>3.0276145180004281</v>
      </c>
      <c r="N25" s="71">
        <f t="shared" si="13"/>
        <v>1</v>
      </c>
      <c r="O25">
        <f t="shared" si="14"/>
        <v>0.67809393571532872</v>
      </c>
      <c r="P25" s="75">
        <f t="shared" si="5"/>
        <v>1</v>
      </c>
      <c r="Q25" s="71">
        <f t="shared" si="6"/>
        <v>3.6696128632557694</v>
      </c>
      <c r="R25" s="71">
        <f t="shared" si="7"/>
        <v>1</v>
      </c>
      <c r="S25">
        <f t="shared" si="15"/>
        <v>0.82188211682909795</v>
      </c>
      <c r="T25">
        <f t="shared" si="8"/>
        <v>1</v>
      </c>
      <c r="U25" s="71">
        <f t="shared" si="9"/>
        <v>4.1555300879040189</v>
      </c>
      <c r="V25" s="71">
        <f t="shared" si="10"/>
        <v>1</v>
      </c>
      <c r="W25">
        <f t="shared" si="16"/>
        <v>0.93071285513300073</v>
      </c>
      <c r="X25" s="76">
        <f t="shared" si="12"/>
        <v>1.2</v>
      </c>
    </row>
    <row r="26" spans="1:24" x14ac:dyDescent="0.2">
      <c r="A26" s="12">
        <v>23</v>
      </c>
      <c r="B26" s="12">
        <v>23</v>
      </c>
      <c r="C26" s="12">
        <v>72</v>
      </c>
      <c r="D26" s="7">
        <f>(Stage4to1!H24*Stage4to1!E24+Stage3to1!H24*Stage3to1!E24+Stage2to1!H24*Stage2to1!E24+Stage1to1!H24*Stage1to1!E24)/(Stage4to1!E24+Stage3to1!E24+Stage2to1!E24+Stage1to1!E24)</f>
        <v>2.6746809729757346</v>
      </c>
      <c r="E26" s="7">
        <f>(Stage4to2!H24*Stage4to2!E24+Stage3to2!H24*Stage3to2!E24+Stage2to2!H24*Stage2to2!E24)/(Stage4to2!E24+Stage3to2!E24+Stage2to2!E24)</f>
        <v>1.3821837300584923</v>
      </c>
      <c r="F26" s="7">
        <f>(Stage4to3!H24*Stage4to3!E24+Stage3to3!H24*Stage3to3!E24)/(Stage4to3!E24+Stage3to3!E24)</f>
        <v>0.7685649980644409</v>
      </c>
      <c r="G26" s="7">
        <f>Stage4to4!H24</f>
        <v>0.30034897873396266</v>
      </c>
      <c r="H26" s="73">
        <v>4.1381518110000002</v>
      </c>
      <c r="I26" s="71">
        <f t="shared" si="0"/>
        <v>1.4634708380242656</v>
      </c>
      <c r="J26" s="71">
        <f t="shared" si="1"/>
        <v>1</v>
      </c>
      <c r="K26">
        <f t="shared" si="2"/>
        <v>0.35365325025874589</v>
      </c>
      <c r="L26" s="75">
        <f t="shared" si="3"/>
        <v>1</v>
      </c>
      <c r="M26" s="71">
        <f t="shared" si="4"/>
        <v>2.7559680809415079</v>
      </c>
      <c r="N26" s="71">
        <f t="shared" si="13"/>
        <v>1</v>
      </c>
      <c r="O26">
        <f t="shared" si="14"/>
        <v>0.66599008610936328</v>
      </c>
      <c r="P26" s="75">
        <f t="shared" si="5"/>
        <v>1</v>
      </c>
      <c r="Q26" s="71">
        <f t="shared" si="6"/>
        <v>3.3695868129355593</v>
      </c>
      <c r="R26" s="71">
        <f t="shared" si="7"/>
        <v>1</v>
      </c>
      <c r="S26">
        <f t="shared" si="15"/>
        <v>0.81427336812017193</v>
      </c>
      <c r="T26">
        <f t="shared" si="8"/>
        <v>1</v>
      </c>
      <c r="U26" s="71">
        <f t="shared" si="9"/>
        <v>3.8378028322660374</v>
      </c>
      <c r="V26" s="71">
        <f t="shared" si="10"/>
        <v>1</v>
      </c>
      <c r="W26">
        <f t="shared" si="16"/>
        <v>0.92741953595429305</v>
      </c>
      <c r="X26" s="76">
        <f t="shared" si="12"/>
        <v>1.2</v>
      </c>
    </row>
    <row r="27" spans="1:24" x14ac:dyDescent="0.2">
      <c r="A27" s="12">
        <v>24</v>
      </c>
      <c r="B27" s="12">
        <v>24</v>
      </c>
      <c r="C27" s="12">
        <v>73</v>
      </c>
      <c r="D27" s="7">
        <f>(Stage4to1!H25*Stage4to1!E25+Stage3to1!H25*Stage3to1!E25+Stage2to1!H25*Stage2to1!E25+Stage1to1!H25*Stage1to1!E25)/(Stage4to1!E25+Stage3to1!E25+Stage2to1!E25+Stage1to1!E25)</f>
        <v>2.5788313631910107</v>
      </c>
      <c r="E27" s="7">
        <f>(Stage4to2!H25*Stage4to2!E25+Stage3to2!H25*Stage3to2!E25+Stage2to2!H25*Stage2to2!E25)/(Stage4to2!E25+Stage3to2!E25+Stage2to2!E25)</f>
        <v>1.3225172097028011</v>
      </c>
      <c r="F27" s="7">
        <f>(Stage4to3!H25*Stage4to3!E25+Stage3to3!H25*Stage3to3!E25)/(Stage4to3!E25+Stage3to3!E25)</f>
        <v>0.73585443419934105</v>
      </c>
      <c r="G27" s="7">
        <f>Stage4to4!H25</f>
        <v>0.29160095022714821</v>
      </c>
      <c r="H27" s="73">
        <v>3.8288826519999999</v>
      </c>
      <c r="I27" s="71">
        <f t="shared" si="0"/>
        <v>1.2500512888089892</v>
      </c>
      <c r="J27" s="71">
        <f t="shared" si="1"/>
        <v>1</v>
      </c>
      <c r="K27">
        <f t="shared" si="2"/>
        <v>0.32647939423163841</v>
      </c>
      <c r="L27" s="75">
        <f t="shared" si="3"/>
        <v>1</v>
      </c>
      <c r="M27" s="71">
        <f t="shared" si="4"/>
        <v>2.5063654422971986</v>
      </c>
      <c r="N27" s="71">
        <f t="shared" si="13"/>
        <v>1</v>
      </c>
      <c r="O27">
        <f t="shared" si="14"/>
        <v>0.65459447836250861</v>
      </c>
      <c r="P27" s="75">
        <f t="shared" si="5"/>
        <v>1</v>
      </c>
      <c r="Q27" s="71">
        <f t="shared" si="6"/>
        <v>3.0930282178006587</v>
      </c>
      <c r="R27" s="71">
        <f t="shared" si="7"/>
        <v>1</v>
      </c>
      <c r="S27">
        <f t="shared" si="15"/>
        <v>0.80781483762241424</v>
      </c>
      <c r="T27">
        <f t="shared" si="8"/>
        <v>1</v>
      </c>
      <c r="U27" s="71">
        <f t="shared" si="9"/>
        <v>3.5372817017728515</v>
      </c>
      <c r="V27" s="71">
        <f t="shared" si="10"/>
        <v>1</v>
      </c>
      <c r="W27">
        <f t="shared" si="16"/>
        <v>0.92384176358216885</v>
      </c>
      <c r="X27" s="76">
        <f t="shared" si="12"/>
        <v>1.2</v>
      </c>
    </row>
    <row r="28" spans="1:24" x14ac:dyDescent="0.2">
      <c r="A28" s="12">
        <v>25</v>
      </c>
      <c r="B28" s="12">
        <v>25</v>
      </c>
      <c r="C28" s="12">
        <v>74</v>
      </c>
      <c r="D28" s="7">
        <f>(Stage4to1!H26*Stage4to1!E26+Stage3to1!H26*Stage3to1!E26+Stage2to1!H26*Stage2to1!E26+Stage1to1!H26*Stage1to1!E26)/(Stage4to1!E26+Stage3to1!E26+Stage2to1!E26+Stage1to1!E26)</f>
        <v>2.4845646438760984</v>
      </c>
      <c r="E28" s="7">
        <f>(Stage4to2!H26*Stage4to2!E26+Stage3to2!H26*Stage3to2!E26+Stage2to2!H26*Stage2to2!E26)/(Stage4to2!E26+Stage3to2!E26+Stage2to2!E26)</f>
        <v>1.261583201492118</v>
      </c>
      <c r="F28" s="7">
        <f>(Stage4to3!H26*Stage4to3!E26+Stage3to3!H26*Stage3to3!E26)/(Stage4to3!E26+Stage3to3!E26)</f>
        <v>0.68468343573141643</v>
      </c>
      <c r="G28" s="7">
        <f>Stage4to4!H26</f>
        <v>0.27952989837688158</v>
      </c>
      <c r="H28" s="73">
        <v>3.5387245159999998</v>
      </c>
      <c r="I28" s="71">
        <f t="shared" si="0"/>
        <v>1.0541598721239014</v>
      </c>
      <c r="J28" s="71">
        <f t="shared" si="1"/>
        <v>1</v>
      </c>
      <c r="K28">
        <f t="shared" si="2"/>
        <v>0.29789260716894456</v>
      </c>
      <c r="L28" s="75">
        <f t="shared" si="3"/>
        <v>1</v>
      </c>
      <c r="M28" s="71">
        <f t="shared" si="4"/>
        <v>2.2771413145078818</v>
      </c>
      <c r="N28" s="71">
        <f t="shared" si="13"/>
        <v>1</v>
      </c>
      <c r="O28">
        <f t="shared" si="14"/>
        <v>0.64349211254281258</v>
      </c>
      <c r="P28" s="75">
        <f t="shared" si="5"/>
        <v>1</v>
      </c>
      <c r="Q28" s="71">
        <f t="shared" si="6"/>
        <v>2.8540410802685834</v>
      </c>
      <c r="R28" s="71">
        <f t="shared" si="7"/>
        <v>1</v>
      </c>
      <c r="S28">
        <f t="shared" si="15"/>
        <v>0.80651688690778656</v>
      </c>
      <c r="T28">
        <f t="shared" si="8"/>
        <v>1</v>
      </c>
      <c r="U28" s="71">
        <f t="shared" si="9"/>
        <v>3.2591946176231184</v>
      </c>
      <c r="V28" s="71">
        <f t="shared" si="10"/>
        <v>1</v>
      </c>
      <c r="W28">
        <f t="shared" si="16"/>
        <v>0.92100829066715584</v>
      </c>
      <c r="X28" s="76">
        <f t="shared" si="12"/>
        <v>1.2</v>
      </c>
    </row>
    <row r="29" spans="1:24" x14ac:dyDescent="0.2">
      <c r="A29" s="12">
        <v>26</v>
      </c>
      <c r="B29" s="12">
        <v>26</v>
      </c>
      <c r="C29" s="12">
        <v>75</v>
      </c>
      <c r="D29" s="7">
        <f>(Stage4to1!H27*Stage4to1!E27+Stage3to1!H27*Stage3to1!E27+Stage2to1!H27*Stage2to1!E27+Stage1to1!H27*Stage1to1!E27)/(Stage4to1!E27+Stage3to1!E27+Stage2to1!E27+Stage1to1!E27)</f>
        <v>2.3676567950866807</v>
      </c>
      <c r="E29" s="7">
        <f>(Stage4to2!H27*Stage4to2!E27+Stage3to2!H27*Stage3to2!E27+Stage2to2!H27*Stage2to2!E27)/(Stage4to2!E27+Stage3to2!E27+Stage2to2!E27)</f>
        <v>1.2250324133249575</v>
      </c>
      <c r="F29" s="7">
        <f>(Stage4to3!H27*Stage4to3!E27+Stage3to3!H27*Stage3to3!E27)/(Stage4to3!E27+Stage3to3!E27)</f>
        <v>0.65728191051874896</v>
      </c>
      <c r="G29" s="7">
        <f>Stage4to4!H27</f>
        <v>0.25400331260910308</v>
      </c>
      <c r="H29" s="73">
        <v>3.2633147610000002</v>
      </c>
      <c r="I29" s="71">
        <f t="shared" si="0"/>
        <v>0.89565796591331948</v>
      </c>
      <c r="J29" s="71">
        <f t="shared" si="1"/>
        <v>1</v>
      </c>
      <c r="K29">
        <f t="shared" si="2"/>
        <v>0.27446263431813633</v>
      </c>
      <c r="L29" s="75">
        <f t="shared" si="3"/>
        <v>1</v>
      </c>
      <c r="M29" s="71">
        <f t="shared" si="4"/>
        <v>2.0382823476750427</v>
      </c>
      <c r="N29" s="71">
        <f t="shared" si="13"/>
        <v>1</v>
      </c>
      <c r="O29">
        <f t="shared" si="14"/>
        <v>0.62460488704143202</v>
      </c>
      <c r="P29" s="75">
        <f t="shared" si="5"/>
        <v>1</v>
      </c>
      <c r="Q29" s="71">
        <f t="shared" si="6"/>
        <v>2.6060328504812511</v>
      </c>
      <c r="R29" s="71">
        <f t="shared" si="7"/>
        <v>1</v>
      </c>
      <c r="S29">
        <f t="shared" si="15"/>
        <v>0.79858458081520345</v>
      </c>
      <c r="T29">
        <f t="shared" si="8"/>
        <v>1</v>
      </c>
      <c r="U29" s="71">
        <f t="shared" si="9"/>
        <v>3.0093114483908971</v>
      </c>
      <c r="V29" s="71">
        <f t="shared" si="10"/>
        <v>1</v>
      </c>
      <c r="W29">
        <f t="shared" si="16"/>
        <v>0.92216401689328087</v>
      </c>
      <c r="X29" s="76">
        <f t="shared" si="12"/>
        <v>1.2</v>
      </c>
    </row>
    <row r="30" spans="1:24" x14ac:dyDescent="0.2">
      <c r="A30" s="12">
        <v>27</v>
      </c>
      <c r="B30" s="12">
        <v>27</v>
      </c>
      <c r="C30" s="12">
        <v>76</v>
      </c>
      <c r="D30" s="7">
        <f>(Stage4to1!H28*Stage4to1!E28+Stage3to1!H28*Stage3to1!E28+Stage2to1!H28*Stage2to1!E28+Stage1to1!H28*Stage1to1!E28)/(Stage4to1!E28+Stage3to1!E28+Stage2to1!E28+Stage1to1!E28)</f>
        <v>2.2829934352292982</v>
      </c>
      <c r="E30" s="7">
        <f>(Stage4to2!H28*Stage4to2!E28+Stage3to2!H28*Stage3to2!E28+Stage2to2!H28*Stage2to2!E28)/(Stage4to2!E28+Stage3to2!E28+Stage2to2!E28)</f>
        <v>1.1783192779635849</v>
      </c>
      <c r="F30" s="7">
        <f>(Stage4to3!H28*Stage4to3!E28+Stage3to3!H28*Stage3to3!E28)/(Stage4to3!E28+Stage3to3!E28)</f>
        <v>0.63648958728149041</v>
      </c>
      <c r="G30" s="7">
        <f>Stage4to4!H28</f>
        <v>0.24660515787291559</v>
      </c>
      <c r="H30" s="73">
        <v>3.0037859954688817</v>
      </c>
      <c r="I30" s="71">
        <f t="shared" si="0"/>
        <v>0.72079256023958349</v>
      </c>
      <c r="J30" s="71">
        <f t="shared" si="1"/>
        <v>1</v>
      </c>
      <c r="K30">
        <f t="shared" si="2"/>
        <v>0.23996135587784109</v>
      </c>
      <c r="L30" s="75">
        <f t="shared" si="3"/>
        <v>1</v>
      </c>
      <c r="M30" s="71">
        <f t="shared" si="4"/>
        <v>1.8254667175052968</v>
      </c>
      <c r="N30" s="71">
        <f t="shared" si="13"/>
        <v>1</v>
      </c>
      <c r="O30">
        <f t="shared" si="14"/>
        <v>0.60772196163739922</v>
      </c>
      <c r="P30" s="75">
        <f t="shared" si="5"/>
        <v>1</v>
      </c>
      <c r="Q30" s="71">
        <f t="shared" si="6"/>
        <v>2.3672964081873911</v>
      </c>
      <c r="R30" s="71">
        <f t="shared" si="7"/>
        <v>1</v>
      </c>
      <c r="S30">
        <f t="shared" si="15"/>
        <v>0.78810421639836681</v>
      </c>
      <c r="T30">
        <f t="shared" si="8"/>
        <v>1</v>
      </c>
      <c r="U30" s="71">
        <f t="shared" si="9"/>
        <v>2.7571808375959659</v>
      </c>
      <c r="V30" s="71">
        <f t="shared" si="10"/>
        <v>1</v>
      </c>
      <c r="W30">
        <f t="shared" si="16"/>
        <v>0.91790188840186615</v>
      </c>
      <c r="X30" s="76">
        <f t="shared" si="12"/>
        <v>1.2</v>
      </c>
    </row>
    <row r="31" spans="1:24" x14ac:dyDescent="0.2">
      <c r="A31" s="12">
        <v>28</v>
      </c>
      <c r="B31" s="12">
        <v>28</v>
      </c>
      <c r="C31" s="12">
        <v>77</v>
      </c>
      <c r="D31" s="7">
        <f>(Stage4to1!H29*Stage4to1!E29+Stage3to1!H29*Stage3to1!E29+Stage2to1!H29*Stage2to1!E29+Stage1to1!H29*Stage1to1!E29)/(Stage4to1!E29+Stage3to1!E29+Stage2to1!E29+Stage1to1!E29)</f>
        <v>2.2053695902131967</v>
      </c>
      <c r="E31" s="7">
        <f>(Stage4to2!H29*Stage4to2!E29+Stage3to2!H29*Stage3to2!E29+Stage2to2!H29*Stage2to2!E29)/(Stage4to2!E29+Stage3to2!E29+Stage2to2!E29)</f>
        <v>1.1398381713829446</v>
      </c>
      <c r="F31" s="7">
        <f>(Stage4to3!H29*Stage4to3!E29+Stage3to3!H29*Stage3to3!E29)/(Stage4to3!E29+Stage3to3!E29)</f>
        <v>0.61795835541349808</v>
      </c>
      <c r="G31" s="7">
        <f>Stage4to4!H29</f>
        <v>0.23942248337176272</v>
      </c>
      <c r="H31" s="73">
        <v>2.7602947279999999</v>
      </c>
      <c r="I31" s="71">
        <f t="shared" si="0"/>
        <v>0.55492513778680319</v>
      </c>
      <c r="J31" s="71">
        <f t="shared" si="1"/>
        <v>1</v>
      </c>
      <c r="K31">
        <f t="shared" si="2"/>
        <v>0.20103836454771623</v>
      </c>
      <c r="L31" s="75">
        <f t="shared" si="3"/>
        <v>1</v>
      </c>
      <c r="M31" s="71">
        <f t="shared" si="4"/>
        <v>1.6204565566170552</v>
      </c>
      <c r="N31" s="71">
        <f t="shared" si="13"/>
        <v>1</v>
      </c>
      <c r="O31">
        <f t="shared" si="14"/>
        <v>0.58705925138333825</v>
      </c>
      <c r="P31" s="75">
        <f t="shared" si="5"/>
        <v>1</v>
      </c>
      <c r="Q31" s="71">
        <f t="shared" si="6"/>
        <v>2.1423363725865019</v>
      </c>
      <c r="R31" s="71">
        <f t="shared" si="7"/>
        <v>1</v>
      </c>
      <c r="S31">
        <f t="shared" si="15"/>
        <v>0.77612595164385001</v>
      </c>
      <c r="T31">
        <f t="shared" si="8"/>
        <v>1</v>
      </c>
      <c r="U31" s="71">
        <f t="shared" si="9"/>
        <v>2.520872244628237</v>
      </c>
      <c r="V31" s="71">
        <f t="shared" si="10"/>
        <v>1</v>
      </c>
      <c r="W31">
        <f t="shared" si="16"/>
        <v>0.91326198577887407</v>
      </c>
      <c r="X31" s="76">
        <f t="shared" si="12"/>
        <v>1.2</v>
      </c>
    </row>
    <row r="32" spans="1:24" x14ac:dyDescent="0.2">
      <c r="A32" s="12">
        <v>29</v>
      </c>
      <c r="B32" s="12">
        <v>29</v>
      </c>
      <c r="C32" s="12">
        <v>78</v>
      </c>
      <c r="D32" s="7">
        <f>(Stage4to1!H30*Stage4to1!E30+Stage3to1!H30*Stage3to1!E30+Stage2to1!H30*Stage2to1!E30+Stage1to1!H30*Stage1to1!E30)/(Stage4to1!E30+Stage3to1!E30+Stage2to1!E30+Stage1to1!E30)</f>
        <v>2.134548495792846</v>
      </c>
      <c r="E32" s="7">
        <f>(Stage4to2!H30*Stage4to2!E30+Stage3to2!H30*Stage3to2!E30+Stage2to2!H30*Stage2to2!E30)/(Stage4to2!E30+Stage3to2!E30+Stage2to2!E30)</f>
        <v>1.1056598868260437</v>
      </c>
      <c r="F32" s="7">
        <f>(Stage4to3!H30*Stage4to3!E30+Stage3to3!H30*Stage3to3!E30)/(Stage4to3!E30+Stage3to3!E30)</f>
        <v>0.60019672727611173</v>
      </c>
      <c r="G32" s="7">
        <f>Stage4to4!H30</f>
        <v>0.2324490129822939</v>
      </c>
      <c r="H32" s="73">
        <v>2.5314997570000002</v>
      </c>
      <c r="I32" s="71">
        <f t="shared" si="0"/>
        <v>0.39695126120715418</v>
      </c>
      <c r="J32" s="71">
        <f t="shared" si="1"/>
        <v>1</v>
      </c>
      <c r="K32">
        <f t="shared" si="2"/>
        <v>0.15680477950255406</v>
      </c>
      <c r="L32" s="75">
        <f t="shared" si="3"/>
        <v>1</v>
      </c>
      <c r="M32" s="71">
        <f t="shared" si="4"/>
        <v>1.4258398701739565</v>
      </c>
      <c r="N32" s="71">
        <f t="shared" si="13"/>
        <v>1</v>
      </c>
      <c r="O32">
        <f t="shared" si="14"/>
        <v>0.5632391890345958</v>
      </c>
      <c r="P32" s="75">
        <f t="shared" si="5"/>
        <v>1</v>
      </c>
      <c r="Q32" s="71">
        <f t="shared" si="6"/>
        <v>1.9313030297238885</v>
      </c>
      <c r="R32" s="71">
        <f t="shared" si="7"/>
        <v>1</v>
      </c>
      <c r="S32">
        <f t="shared" si="15"/>
        <v>0.76290863721536128</v>
      </c>
      <c r="T32">
        <f t="shared" si="8"/>
        <v>1</v>
      </c>
      <c r="U32" s="71">
        <f t="shared" si="9"/>
        <v>2.2990507440177064</v>
      </c>
      <c r="V32" s="71">
        <f t="shared" si="10"/>
        <v>1</v>
      </c>
      <c r="W32">
        <f t="shared" si="16"/>
        <v>0.90817735125609422</v>
      </c>
      <c r="X32" s="76">
        <f t="shared" si="12"/>
        <v>1.2</v>
      </c>
    </row>
    <row r="33" spans="1:24" x14ac:dyDescent="0.2">
      <c r="A33" s="12">
        <v>30</v>
      </c>
      <c r="B33" s="12">
        <v>30</v>
      </c>
      <c r="C33" s="12">
        <v>79</v>
      </c>
      <c r="D33" s="7">
        <f>(Stage4to1!H31*Stage4to1!E31+Stage3to1!H31*Stage3to1!E31+Stage2to1!H31*Stage2to1!E31+Stage1to1!H31*Stage1to1!E31)/(Stage4to1!E31+Stage3to1!E31+Stage2to1!E31+Stage1to1!E31)</f>
        <v>2.0694422368501657</v>
      </c>
      <c r="E33" s="7">
        <f>(Stage4to2!H31*Stage4to2!E31+Stage3to2!H31*Stage3to2!E31+Stage2to2!H31*Stage2to2!E31)/(Stage4to2!E31+Stage3to2!E31+Stage2to2!E31)</f>
        <v>1.073785659407885</v>
      </c>
      <c r="F33" s="7">
        <f>(Stage4to3!H31*Stage4to3!E31+Stage3to3!H31*Stage3to3!E31)/(Stage4to3!E31+Stage3to3!E31)</f>
        <v>0.58299003230843949</v>
      </c>
      <c r="G33" s="7">
        <f>Stage4to4!H31</f>
        <v>0.22567865338086787</v>
      </c>
      <c r="H33" s="73">
        <v>2.3175229389999998</v>
      </c>
      <c r="I33" s="71">
        <f t="shared" si="0"/>
        <v>0.24808070214983413</v>
      </c>
      <c r="J33" s="71">
        <f t="shared" si="1"/>
        <v>1</v>
      </c>
      <c r="K33">
        <f t="shared" si="2"/>
        <v>0.10704562961386685</v>
      </c>
      <c r="L33" s="75">
        <f t="shared" si="3"/>
        <v>1</v>
      </c>
      <c r="M33" s="71">
        <f t="shared" si="4"/>
        <v>1.2437372795921149</v>
      </c>
      <c r="N33" s="71">
        <f t="shared" si="13"/>
        <v>1</v>
      </c>
      <c r="O33">
        <f t="shared" si="14"/>
        <v>0.53666665328835172</v>
      </c>
      <c r="P33" s="75">
        <f t="shared" si="5"/>
        <v>1</v>
      </c>
      <c r="Q33" s="71">
        <f t="shared" si="6"/>
        <v>1.7345329066915602</v>
      </c>
      <c r="R33" s="71">
        <f t="shared" si="7"/>
        <v>1</v>
      </c>
      <c r="S33">
        <f t="shared" si="15"/>
        <v>0.74844260546564556</v>
      </c>
      <c r="T33">
        <f t="shared" si="8"/>
        <v>1</v>
      </c>
      <c r="U33" s="71">
        <f t="shared" si="9"/>
        <v>2.0918442856191319</v>
      </c>
      <c r="V33" s="71">
        <f t="shared" si="10"/>
        <v>1</v>
      </c>
      <c r="W33">
        <f t="shared" si="16"/>
        <v>0.90262074666745384</v>
      </c>
      <c r="X33" s="76">
        <f t="shared" si="12"/>
        <v>1.2</v>
      </c>
    </row>
    <row r="34" spans="1:24" x14ac:dyDescent="0.2">
      <c r="A34" s="13">
        <v>31</v>
      </c>
      <c r="B34" s="13">
        <v>31</v>
      </c>
      <c r="C34" s="13">
        <v>80</v>
      </c>
      <c r="D34" s="8">
        <f>(Stage4to1!H32*Stage4to1!E32+Stage3to1!H32*Stage3to1!E32+Stage2to1!H32*Stage2to1!E32+Stage1to1!H32*Stage1to1!E32)/(Stage4to1!E32+Stage3to1!E32+Stage2to1!E32+Stage1to1!E32)</f>
        <v>2.0088517132810191</v>
      </c>
      <c r="E34" s="8">
        <f>(Stage4to2!H32*Stage4to2!E32+Stage3to2!H32*Stage3to2!E32+Stage2to2!H32*Stage2to2!E32)/(Stage4to2!E32+Stage3to2!E32+Stage2to2!E32)</f>
        <v>1.04344331044706</v>
      </c>
      <c r="F34" s="8">
        <f>(Stage4to3!H32*Stage4to3!E32+Stage3to3!H32*Stage3to3!E32)/(Stage4to3!E32+Stage3to3!E32)</f>
        <v>0.41675804090685353</v>
      </c>
      <c r="G34" s="8">
        <f>Stage4to4!H32</f>
        <v>0.21910548871928925</v>
      </c>
      <c r="H34" s="73">
        <v>2.1166373620000001</v>
      </c>
      <c r="I34" s="71">
        <f t="shared" si="0"/>
        <v>0.107785648718981</v>
      </c>
      <c r="J34" s="71">
        <f t="shared" si="1"/>
        <v>1</v>
      </c>
      <c r="K34">
        <f t="shared" si="2"/>
        <v>5.0923058741217192E-2</v>
      </c>
      <c r="L34" s="75">
        <f t="shared" si="3"/>
        <v>1</v>
      </c>
      <c r="M34" s="71">
        <f t="shared" si="4"/>
        <v>1.0731940515529401</v>
      </c>
      <c r="N34" s="71">
        <f t="shared" si="13"/>
        <v>1</v>
      </c>
      <c r="O34">
        <f t="shared" si="14"/>
        <v>0.50702783141788843</v>
      </c>
      <c r="P34" s="75">
        <f t="shared" si="5"/>
        <v>1</v>
      </c>
      <c r="Q34" s="71">
        <f t="shared" si="6"/>
        <v>1.6998793210931464</v>
      </c>
      <c r="R34" s="71">
        <f t="shared" si="7"/>
        <v>1</v>
      </c>
      <c r="S34">
        <f>Q34/$H34</f>
        <v>0.80310371139198777</v>
      </c>
      <c r="T34">
        <f t="shared" si="8"/>
        <v>1</v>
      </c>
      <c r="U34" s="71">
        <f t="shared" si="9"/>
        <v>1.8975318732807107</v>
      </c>
      <c r="V34" s="71">
        <f t="shared" si="10"/>
        <v>1</v>
      </c>
      <c r="W34">
        <f t="shared" si="16"/>
        <v>0.89648416273241172</v>
      </c>
      <c r="X34" s="76">
        <f t="shared" si="12"/>
        <v>1.2</v>
      </c>
    </row>
  </sheetData>
  <mergeCells count="1">
    <mergeCell ref="D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F1333-FE82-D641-9961-15905659D612}">
  <dimension ref="A1:H51"/>
  <sheetViews>
    <sheetView workbookViewId="0">
      <selection activeCell="K17" sqref="K17"/>
    </sheetView>
  </sheetViews>
  <sheetFormatPr baseColWidth="10" defaultRowHeight="16" x14ac:dyDescent="0.2"/>
  <cols>
    <col min="2" max="2" width="11.6640625" customWidth="1"/>
    <col min="3" max="3" width="8.1640625" customWidth="1"/>
    <col min="4" max="4" width="18" customWidth="1"/>
    <col min="5" max="5" width="20.6640625" customWidth="1"/>
    <col min="6" max="6" width="20" customWidth="1"/>
    <col min="7" max="7" width="16.83203125" customWidth="1"/>
    <col min="8" max="8" width="17.6640625" customWidth="1"/>
  </cols>
  <sheetData>
    <row r="1" spans="1:8" ht="51" x14ac:dyDescent="0.2">
      <c r="A1" s="3" t="s">
        <v>0</v>
      </c>
      <c r="B1" s="3" t="s">
        <v>1</v>
      </c>
      <c r="C1" s="3" t="s">
        <v>2</v>
      </c>
      <c r="D1" s="9" t="s">
        <v>3</v>
      </c>
      <c r="E1" s="9" t="s">
        <v>4</v>
      </c>
      <c r="F1" s="9" t="s">
        <v>5</v>
      </c>
      <c r="G1" s="17" t="s">
        <v>25</v>
      </c>
      <c r="H1" s="16" t="s">
        <v>25</v>
      </c>
    </row>
    <row r="2" spans="1:8" x14ac:dyDescent="0.2">
      <c r="A2">
        <v>1</v>
      </c>
      <c r="B2">
        <v>1</v>
      </c>
      <c r="C2">
        <v>50</v>
      </c>
      <c r="D2" s="7">
        <v>17.516331000000001</v>
      </c>
      <c r="E2" s="7">
        <v>110.38721865760337</v>
      </c>
      <c r="F2" s="7">
        <v>35.872475712102592</v>
      </c>
      <c r="G2" s="18">
        <f>F2/E2</f>
        <v>0.32496946791793935</v>
      </c>
      <c r="H2" s="11">
        <f>F2/D2</f>
        <v>2.047944613064379</v>
      </c>
    </row>
    <row r="3" spans="1:8" x14ac:dyDescent="0.2">
      <c r="A3">
        <v>2</v>
      </c>
      <c r="B3">
        <v>2</v>
      </c>
      <c r="C3">
        <v>51</v>
      </c>
      <c r="D3" s="7">
        <v>17.450387458622057</v>
      </c>
      <c r="E3" s="7">
        <v>28.363545768456934</v>
      </c>
      <c r="F3" s="7">
        <v>47.080198519983234</v>
      </c>
      <c r="G3" s="18">
        <f t="shared" ref="G3:G32" si="0">F3/E3</f>
        <v>1.6598840957445127</v>
      </c>
      <c r="H3" s="11">
        <f t="shared" ref="H3:H32" si="1">F3/D3</f>
        <v>2.6979457408392036</v>
      </c>
    </row>
    <row r="4" spans="1:8" x14ac:dyDescent="0.2">
      <c r="A4">
        <v>3</v>
      </c>
      <c r="B4">
        <v>3</v>
      </c>
      <c r="C4">
        <v>52</v>
      </c>
      <c r="D4" s="7">
        <v>17.379300072439218</v>
      </c>
      <c r="E4" s="7">
        <v>33.177608952390514</v>
      </c>
      <c r="F4" s="7">
        <v>57.03926636076168</v>
      </c>
      <c r="G4" s="18">
        <f t="shared" si="0"/>
        <v>1.7192096767013068</v>
      </c>
      <c r="H4" s="11">
        <f t="shared" si="1"/>
        <v>3.2820232185999716</v>
      </c>
    </row>
    <row r="5" spans="1:8" x14ac:dyDescent="0.2">
      <c r="A5">
        <v>4</v>
      </c>
      <c r="B5">
        <v>4</v>
      </c>
      <c r="C5">
        <v>53</v>
      </c>
      <c r="D5" s="7">
        <v>17.302531760404886</v>
      </c>
      <c r="E5" s="7">
        <v>37.783852196347894</v>
      </c>
      <c r="F5" s="7">
        <v>65.85735258070001</v>
      </c>
      <c r="G5" s="18">
        <f t="shared" si="0"/>
        <v>1.7430025990591198</v>
      </c>
      <c r="H5" s="11">
        <f t="shared" si="1"/>
        <v>3.8062263657511659</v>
      </c>
    </row>
    <row r="6" spans="1:8" x14ac:dyDescent="0.2">
      <c r="A6">
        <v>5</v>
      </c>
      <c r="B6">
        <v>5</v>
      </c>
      <c r="C6">
        <v>54</v>
      </c>
      <c r="D6" s="7">
        <v>17.219041092418472</v>
      </c>
      <c r="E6" s="7">
        <v>40.928609365757744</v>
      </c>
      <c r="F6" s="7">
        <v>71.100715835664815</v>
      </c>
      <c r="G6" s="18">
        <f t="shared" si="0"/>
        <v>1.7371886545246287</v>
      </c>
      <c r="H6" s="11">
        <f t="shared" si="1"/>
        <v>4.1291913675129326</v>
      </c>
    </row>
    <row r="7" spans="1:8" x14ac:dyDescent="0.2">
      <c r="A7">
        <v>6</v>
      </c>
      <c r="B7">
        <v>6</v>
      </c>
      <c r="C7">
        <v>55</v>
      </c>
      <c r="D7" s="7">
        <v>34.726032776729298</v>
      </c>
      <c r="E7" s="7">
        <v>44.767771339024904</v>
      </c>
      <c r="F7" s="7">
        <v>133.09047662202968</v>
      </c>
      <c r="G7" s="18">
        <f t="shared" si="0"/>
        <v>2.9729082471883568</v>
      </c>
      <c r="H7" s="11">
        <f t="shared" si="1"/>
        <v>3.832585123608379</v>
      </c>
    </row>
    <row r="8" spans="1:8" x14ac:dyDescent="0.2">
      <c r="A8">
        <v>7</v>
      </c>
      <c r="B8">
        <v>7</v>
      </c>
      <c r="C8">
        <v>56</v>
      </c>
      <c r="D8" s="7">
        <v>34.518060632627019</v>
      </c>
      <c r="E8" s="7">
        <v>50.307545748284404</v>
      </c>
      <c r="F8" s="7">
        <v>134.37284599435765</v>
      </c>
      <c r="G8" s="18">
        <f t="shared" si="0"/>
        <v>2.6710276559046822</v>
      </c>
      <c r="H8" s="11">
        <f t="shared" si="1"/>
        <v>3.8928272194801785</v>
      </c>
    </row>
    <row r="9" spans="1:8" x14ac:dyDescent="0.2">
      <c r="A9">
        <v>8</v>
      </c>
      <c r="B9">
        <v>8</v>
      </c>
      <c r="C9">
        <v>57</v>
      </c>
      <c r="D9" s="7">
        <v>34.293415382104534</v>
      </c>
      <c r="E9" s="7">
        <v>57.271399383921811</v>
      </c>
      <c r="F9" s="7">
        <v>133.17104953789297</v>
      </c>
      <c r="G9" s="18">
        <f t="shared" si="0"/>
        <v>2.3252627135086033</v>
      </c>
      <c r="H9" s="11">
        <f t="shared" si="1"/>
        <v>3.8832833666192994</v>
      </c>
    </row>
    <row r="10" spans="1:8" x14ac:dyDescent="0.2">
      <c r="A10">
        <v>9</v>
      </c>
      <c r="B10">
        <v>9</v>
      </c>
      <c r="C10">
        <v>58</v>
      </c>
      <c r="D10" s="7">
        <v>34.052456040144932</v>
      </c>
      <c r="E10" s="7">
        <v>63.610786418075378</v>
      </c>
      <c r="F10" s="7">
        <v>130.78837014989435</v>
      </c>
      <c r="G10" s="18">
        <f t="shared" si="0"/>
        <v>2.056072209048025</v>
      </c>
      <c r="H10" s="11">
        <f t="shared" si="1"/>
        <v>3.8407911016963374</v>
      </c>
    </row>
    <row r="11" spans="1:8" x14ac:dyDescent="0.2">
      <c r="A11">
        <v>10</v>
      </c>
      <c r="B11">
        <v>10</v>
      </c>
      <c r="C11">
        <v>59</v>
      </c>
      <c r="D11" s="7">
        <v>33.794982592634845</v>
      </c>
      <c r="E11" s="7">
        <v>67.022425437726213</v>
      </c>
      <c r="F11" s="7">
        <v>127.5365521287864</v>
      </c>
      <c r="G11" s="18">
        <f t="shared" si="0"/>
        <v>1.9028937149892733</v>
      </c>
      <c r="H11" s="11">
        <f t="shared" si="1"/>
        <v>3.773830975624803</v>
      </c>
    </row>
    <row r="12" spans="1:8" x14ac:dyDescent="0.2">
      <c r="A12">
        <v>11</v>
      </c>
      <c r="B12">
        <v>11</v>
      </c>
      <c r="C12">
        <v>60</v>
      </c>
      <c r="D12" s="7">
        <v>61.432238292229542</v>
      </c>
      <c r="E12" s="7">
        <v>70.832078572623331</v>
      </c>
      <c r="F12" s="7">
        <v>213.60950801826866</v>
      </c>
      <c r="G12" s="18">
        <f t="shared" si="0"/>
        <v>3.0157170638336872</v>
      </c>
      <c r="H12" s="11">
        <f t="shared" si="1"/>
        <v>3.47715652166442</v>
      </c>
    </row>
    <row r="13" spans="1:8" x14ac:dyDescent="0.2">
      <c r="A13">
        <v>12</v>
      </c>
      <c r="B13">
        <v>12</v>
      </c>
      <c r="C13">
        <v>61</v>
      </c>
      <c r="D13" s="7">
        <v>60.877816691951367</v>
      </c>
      <c r="E13" s="7">
        <v>76.448017953214674</v>
      </c>
      <c r="F13" s="7">
        <v>206.47029320721344</v>
      </c>
      <c r="G13" s="18">
        <f t="shared" si="0"/>
        <v>2.700793280652102</v>
      </c>
      <c r="H13" s="11">
        <f t="shared" si="1"/>
        <v>3.3915522012225976</v>
      </c>
    </row>
    <row r="14" spans="1:8" x14ac:dyDescent="0.2">
      <c r="A14">
        <v>13</v>
      </c>
      <c r="B14">
        <v>13</v>
      </c>
      <c r="C14">
        <v>62</v>
      </c>
      <c r="D14" s="7">
        <v>60.288495294479958</v>
      </c>
      <c r="E14" s="7">
        <v>83.585236061656531</v>
      </c>
      <c r="F14" s="7">
        <v>199.10998565634702</v>
      </c>
      <c r="G14" s="18">
        <f t="shared" si="0"/>
        <v>2.3821190803298542</v>
      </c>
      <c r="H14" s="11">
        <f t="shared" si="1"/>
        <v>3.3026199224875601</v>
      </c>
    </row>
    <row r="15" spans="1:8" x14ac:dyDescent="0.2">
      <c r="A15">
        <v>14</v>
      </c>
      <c r="B15">
        <v>14</v>
      </c>
      <c r="C15">
        <v>63</v>
      </c>
      <c r="D15" s="7">
        <v>59.66344842609135</v>
      </c>
      <c r="E15" s="7">
        <v>89.854432765153888</v>
      </c>
      <c r="F15" s="7">
        <v>191.06924165499157</v>
      </c>
      <c r="G15" s="18">
        <f t="shared" si="0"/>
        <v>2.1264308924455135</v>
      </c>
      <c r="H15" s="11">
        <f t="shared" si="1"/>
        <v>3.2024505236515179</v>
      </c>
    </row>
    <row r="16" spans="1:8" x14ac:dyDescent="0.2">
      <c r="A16">
        <v>15</v>
      </c>
      <c r="B16">
        <v>15</v>
      </c>
      <c r="C16">
        <v>64</v>
      </c>
      <c r="D16" s="7">
        <v>59.003087917412927</v>
      </c>
      <c r="E16" s="7">
        <v>92.699017948775179</v>
      </c>
      <c r="F16" s="7">
        <v>183.15388684197725</v>
      </c>
      <c r="G16" s="18">
        <f t="shared" si="0"/>
        <v>1.9757910158572207</v>
      </c>
      <c r="H16" s="11">
        <f t="shared" si="1"/>
        <v>3.1041407035906179</v>
      </c>
    </row>
    <row r="17" spans="1:8" x14ac:dyDescent="0.2">
      <c r="A17">
        <v>16</v>
      </c>
      <c r="B17">
        <v>16</v>
      </c>
      <c r="C17">
        <v>65</v>
      </c>
      <c r="D17" s="7">
        <v>89.24907398927094</v>
      </c>
      <c r="E17" s="7">
        <v>95.796354383983129</v>
      </c>
      <c r="F17" s="7">
        <v>250.17197849584531</v>
      </c>
      <c r="G17" s="18">
        <f t="shared" si="0"/>
        <v>2.6114979020294884</v>
      </c>
      <c r="H17" s="11">
        <f t="shared" si="1"/>
        <v>2.803076461341433</v>
      </c>
    </row>
    <row r="18" spans="1:8" x14ac:dyDescent="0.2">
      <c r="A18">
        <v>17</v>
      </c>
      <c r="B18">
        <v>17</v>
      </c>
      <c r="C18">
        <v>66</v>
      </c>
      <c r="D18" s="7">
        <v>88.102812488717717</v>
      </c>
      <c r="E18" s="7">
        <v>100.58044813334595</v>
      </c>
      <c r="F18" s="7">
        <v>239.26870357179075</v>
      </c>
      <c r="G18" s="18">
        <f t="shared" si="0"/>
        <v>2.3788788776778653</v>
      </c>
      <c r="H18" s="11">
        <f t="shared" si="1"/>
        <v>2.7157896191160873</v>
      </c>
    </row>
    <row r="19" spans="1:8" x14ac:dyDescent="0.2">
      <c r="A19">
        <v>18</v>
      </c>
      <c r="B19">
        <v>18</v>
      </c>
      <c r="C19">
        <v>67</v>
      </c>
      <c r="D19" s="7">
        <v>86.902238272890315</v>
      </c>
      <c r="E19" s="7">
        <v>106.78089479438766</v>
      </c>
      <c r="F19" s="7">
        <v>228.63589113207539</v>
      </c>
      <c r="G19" s="18">
        <f t="shared" si="0"/>
        <v>2.1411685261893156</v>
      </c>
      <c r="H19" s="11">
        <f t="shared" si="1"/>
        <v>2.6309551477156803</v>
      </c>
    </row>
    <row r="20" spans="1:8" x14ac:dyDescent="0.2">
      <c r="A20">
        <v>19</v>
      </c>
      <c r="B20">
        <v>19</v>
      </c>
      <c r="C20">
        <v>68</v>
      </c>
      <c r="D20" s="7">
        <v>85.637309190394816</v>
      </c>
      <c r="E20" s="7">
        <v>111.67460672695466</v>
      </c>
      <c r="F20" s="7">
        <v>218.39915563237301</v>
      </c>
      <c r="G20" s="18">
        <f t="shared" si="0"/>
        <v>1.9556742757676393</v>
      </c>
      <c r="H20" s="11">
        <f t="shared" si="1"/>
        <v>2.5502804524931166</v>
      </c>
    </row>
    <row r="21" spans="1:8" x14ac:dyDescent="0.2">
      <c r="A21">
        <v>20</v>
      </c>
      <c r="B21">
        <v>20</v>
      </c>
      <c r="C21">
        <v>69</v>
      </c>
      <c r="D21" s="7">
        <v>84.304713911742894</v>
      </c>
      <c r="E21" s="7">
        <v>112.4980407234151</v>
      </c>
      <c r="F21" s="7">
        <v>208.51422114212787</v>
      </c>
      <c r="G21" s="18">
        <f t="shared" si="0"/>
        <v>1.8534920235168875</v>
      </c>
      <c r="H21" s="11">
        <f t="shared" si="1"/>
        <v>2.473340000422962</v>
      </c>
    </row>
    <row r="22" spans="1:8" x14ac:dyDescent="0.2">
      <c r="A22">
        <v>21</v>
      </c>
      <c r="B22">
        <v>21</v>
      </c>
      <c r="C22">
        <v>70</v>
      </c>
      <c r="D22" s="7">
        <v>115.20660408915423</v>
      </c>
      <c r="E22" s="7">
        <v>112.83728229655856</v>
      </c>
      <c r="F22" s="7">
        <v>265.22064849298368</v>
      </c>
      <c r="G22" s="18">
        <f t="shared" si="0"/>
        <v>2.3504700139438994</v>
      </c>
      <c r="H22" s="11">
        <f t="shared" si="1"/>
        <v>2.3021305991081813</v>
      </c>
    </row>
    <row r="23" spans="1:8" x14ac:dyDescent="0.2">
      <c r="A23">
        <v>22</v>
      </c>
      <c r="B23">
        <v>22</v>
      </c>
      <c r="C23">
        <v>71</v>
      </c>
      <c r="D23" s="7">
        <v>113.09254731052347</v>
      </c>
      <c r="E23" s="7">
        <v>114.13334483324174</v>
      </c>
      <c r="F23" s="7">
        <v>252.65382233793068</v>
      </c>
      <c r="G23" s="18">
        <f t="shared" si="0"/>
        <v>2.213672285755568</v>
      </c>
      <c r="H23" s="11">
        <f t="shared" si="1"/>
        <v>2.2340448450967094</v>
      </c>
    </row>
    <row r="24" spans="1:8" x14ac:dyDescent="0.2">
      <c r="A24">
        <v>23</v>
      </c>
      <c r="B24">
        <v>23</v>
      </c>
      <c r="C24">
        <v>72</v>
      </c>
      <c r="D24" s="7">
        <v>110.86052313870135</v>
      </c>
      <c r="E24" s="7">
        <v>116.12086345889338</v>
      </c>
      <c r="F24" s="7">
        <v>240.37624788533219</v>
      </c>
      <c r="G24" s="18">
        <f t="shared" si="0"/>
        <v>2.0700521915290877</v>
      </c>
      <c r="H24" s="11">
        <f t="shared" si="1"/>
        <v>2.1682763266829377</v>
      </c>
    </row>
    <row r="25" spans="1:8" x14ac:dyDescent="0.2">
      <c r="A25">
        <v>24</v>
      </c>
      <c r="B25">
        <v>24</v>
      </c>
      <c r="C25">
        <v>73</v>
      </c>
      <c r="D25" s="7">
        <v>108.51259812378912</v>
      </c>
      <c r="E25" s="7">
        <v>116.83106680721507</v>
      </c>
      <c r="F25" s="7">
        <v>227.75538141964913</v>
      </c>
      <c r="G25" s="18">
        <f t="shared" si="0"/>
        <v>1.9494419390646511</v>
      </c>
      <c r="H25" s="11">
        <f t="shared" si="1"/>
        <v>2.0988842342511242</v>
      </c>
    </row>
    <row r="26" spans="1:8" x14ac:dyDescent="0.2">
      <c r="A26">
        <v>25</v>
      </c>
      <c r="B26">
        <v>25</v>
      </c>
      <c r="C26">
        <v>74</v>
      </c>
      <c r="D26" s="7">
        <v>105.98744126855271</v>
      </c>
      <c r="E26" s="7">
        <v>113.73752595288828</v>
      </c>
      <c r="F26" s="7">
        <v>213.06614901329993</v>
      </c>
      <c r="G26" s="18">
        <f t="shared" si="0"/>
        <v>1.873314433633408</v>
      </c>
      <c r="H26" s="11">
        <f t="shared" si="1"/>
        <v>2.010296186634315</v>
      </c>
    </row>
    <row r="27" spans="1:8" x14ac:dyDescent="0.2">
      <c r="A27">
        <v>26</v>
      </c>
      <c r="B27">
        <v>26</v>
      </c>
      <c r="C27">
        <v>75</v>
      </c>
      <c r="D27" s="7">
        <v>126.76799831966886</v>
      </c>
      <c r="E27" s="7">
        <v>109.41059963668606</v>
      </c>
      <c r="F27" s="7">
        <v>244.03941624612261</v>
      </c>
      <c r="G27" s="18">
        <f t="shared" si="0"/>
        <v>2.2304915342434031</v>
      </c>
      <c r="H27" s="11">
        <f t="shared" si="1"/>
        <v>1.9250869263608017</v>
      </c>
    </row>
    <row r="28" spans="1:8" x14ac:dyDescent="0.2">
      <c r="A28">
        <v>27</v>
      </c>
      <c r="B28">
        <v>27</v>
      </c>
      <c r="C28">
        <v>76</v>
      </c>
      <c r="D28" s="7">
        <v>123.23122605265021</v>
      </c>
      <c r="E28" s="7">
        <v>104.83293275225182</v>
      </c>
      <c r="F28" s="7">
        <v>227.22646422880385</v>
      </c>
      <c r="G28" s="18">
        <f t="shared" si="0"/>
        <v>2.167510325841981</v>
      </c>
      <c r="H28" s="11">
        <f t="shared" si="1"/>
        <v>1.8439032987606725</v>
      </c>
    </row>
    <row r="29" spans="1:8" x14ac:dyDescent="0.2">
      <c r="A29">
        <v>28</v>
      </c>
      <c r="B29">
        <v>28</v>
      </c>
      <c r="C29">
        <v>77</v>
      </c>
      <c r="D29" s="7">
        <v>119.48143452973792</v>
      </c>
      <c r="E29" s="7">
        <v>100.00523784992319</v>
      </c>
      <c r="F29" s="7">
        <v>211.49898256517531</v>
      </c>
      <c r="G29" s="18">
        <f t="shared" si="0"/>
        <v>2.1148790514609805</v>
      </c>
      <c r="H29" s="11">
        <f t="shared" si="1"/>
        <v>1.7701409712530276</v>
      </c>
    </row>
    <row r="30" spans="1:8" x14ac:dyDescent="0.2">
      <c r="A30">
        <v>29</v>
      </c>
      <c r="B30">
        <v>29</v>
      </c>
      <c r="C30">
        <v>78</v>
      </c>
      <c r="D30" s="7">
        <v>115.47091508812461</v>
      </c>
      <c r="E30" s="7">
        <v>94.930530359468818</v>
      </c>
      <c r="F30" s="7">
        <v>196.81580459243673</v>
      </c>
      <c r="G30" s="18">
        <f t="shared" si="0"/>
        <v>2.0732614033353012</v>
      </c>
      <c r="H30" s="11">
        <f t="shared" si="1"/>
        <v>1.7044621534542415</v>
      </c>
    </row>
    <row r="31" spans="1:8" x14ac:dyDescent="0.2">
      <c r="A31">
        <v>30</v>
      </c>
      <c r="B31">
        <v>30</v>
      </c>
      <c r="C31">
        <v>79</v>
      </c>
      <c r="D31" s="7">
        <v>111.20184426848238</v>
      </c>
      <c r="E31" s="7">
        <v>89.612578683176409</v>
      </c>
      <c r="F31" s="7">
        <v>182.98185197894881</v>
      </c>
      <c r="G31" s="18">
        <f t="shared" si="0"/>
        <v>2.041921509991111</v>
      </c>
      <c r="H31" s="11">
        <f t="shared" si="1"/>
        <v>1.6454929608645963</v>
      </c>
    </row>
    <row r="32" spans="1:8" x14ac:dyDescent="0.2">
      <c r="A32" s="4">
        <v>31</v>
      </c>
      <c r="B32" s="4">
        <v>31</v>
      </c>
      <c r="C32" s="4">
        <v>80</v>
      </c>
      <c r="D32" s="8">
        <v>106.69068025349279</v>
      </c>
      <c r="E32" s="8">
        <v>84.058785488666103</v>
      </c>
      <c r="F32" s="8">
        <v>169.81591178288181</v>
      </c>
      <c r="G32" s="19">
        <f t="shared" si="0"/>
        <v>2.0202042034711361</v>
      </c>
      <c r="H32" s="11">
        <f t="shared" si="1"/>
        <v>1.5916658454084838</v>
      </c>
    </row>
    <row r="33" spans="1:8" x14ac:dyDescent="0.2">
      <c r="A33">
        <v>32</v>
      </c>
      <c r="B33">
        <v>32</v>
      </c>
      <c r="C33">
        <v>81</v>
      </c>
      <c r="D33" s="7">
        <v>101.92128012027615</v>
      </c>
    </row>
    <row r="34" spans="1:8" x14ac:dyDescent="0.2">
      <c r="A34">
        <v>33</v>
      </c>
      <c r="B34">
        <v>33</v>
      </c>
      <c r="C34">
        <v>82</v>
      </c>
      <c r="D34" s="7">
        <v>96.901968892488483</v>
      </c>
      <c r="E34" s="7"/>
      <c r="F34" s="7"/>
      <c r="G34" s="7"/>
      <c r="H34" s="7"/>
    </row>
    <row r="35" spans="1:8" x14ac:dyDescent="0.2">
      <c r="A35">
        <v>34</v>
      </c>
      <c r="B35">
        <v>34</v>
      </c>
      <c r="C35">
        <v>83</v>
      </c>
      <c r="D35" s="7">
        <v>91.597120108486251</v>
      </c>
      <c r="E35" s="7"/>
      <c r="F35" s="7"/>
      <c r="G35" s="7"/>
      <c r="H35" s="7"/>
    </row>
    <row r="36" spans="1:8" x14ac:dyDescent="0.2">
      <c r="A36">
        <v>35</v>
      </c>
      <c r="B36">
        <v>35</v>
      </c>
      <c r="C36">
        <v>84</v>
      </c>
      <c r="D36" s="7">
        <v>86.02324434026157</v>
      </c>
      <c r="E36" s="7"/>
      <c r="F36" s="7"/>
      <c r="G36" s="7"/>
      <c r="H36" s="7"/>
    </row>
    <row r="37" spans="1:8" x14ac:dyDescent="0.2">
      <c r="A37">
        <v>36</v>
      </c>
      <c r="B37">
        <v>36</v>
      </c>
      <c r="C37">
        <v>85</v>
      </c>
      <c r="D37" s="7">
        <v>80.212063818903744</v>
      </c>
      <c r="E37" s="7"/>
      <c r="F37" s="7"/>
      <c r="G37" s="7"/>
      <c r="H37" s="7"/>
    </row>
    <row r="38" spans="1:8" x14ac:dyDescent="0.2">
      <c r="A38">
        <v>37</v>
      </c>
      <c r="B38">
        <v>37</v>
      </c>
      <c r="C38">
        <v>86</v>
      </c>
      <c r="D38" s="7">
        <v>74.113011153774167</v>
      </c>
      <c r="E38" s="7"/>
      <c r="F38" s="7"/>
      <c r="G38" s="7"/>
      <c r="H38" s="7"/>
    </row>
    <row r="39" spans="1:8" x14ac:dyDescent="0.2">
      <c r="A39">
        <v>38</v>
      </c>
      <c r="B39">
        <v>38</v>
      </c>
      <c r="C39">
        <v>87</v>
      </c>
      <c r="D39" s="7">
        <v>67.849564764849958</v>
      </c>
      <c r="E39" s="7"/>
      <c r="F39" s="7"/>
      <c r="G39" s="7"/>
      <c r="H39" s="7"/>
    </row>
    <row r="40" spans="1:8" x14ac:dyDescent="0.2">
      <c r="A40">
        <v>39</v>
      </c>
      <c r="B40">
        <v>39</v>
      </c>
      <c r="C40">
        <v>88</v>
      </c>
      <c r="D40" s="7">
        <v>61.527718698207444</v>
      </c>
      <c r="E40" s="7"/>
      <c r="F40" s="7"/>
      <c r="G40" s="7"/>
      <c r="H40" s="7"/>
    </row>
    <row r="41" spans="1:8" x14ac:dyDescent="0.2">
      <c r="A41">
        <v>40</v>
      </c>
      <c r="B41">
        <v>40</v>
      </c>
      <c r="C41">
        <v>89</v>
      </c>
      <c r="D41" s="7">
        <v>55.086552206674412</v>
      </c>
      <c r="E41" s="7"/>
      <c r="F41" s="7"/>
      <c r="G41" s="7"/>
      <c r="H41" s="7"/>
    </row>
    <row r="42" spans="1:8" x14ac:dyDescent="0.2">
      <c r="A42">
        <v>41</v>
      </c>
      <c r="B42">
        <v>41</v>
      </c>
      <c r="C42">
        <v>90</v>
      </c>
      <c r="D42" s="7">
        <v>48.621821192141283</v>
      </c>
      <c r="E42" s="7"/>
      <c r="F42" s="7"/>
      <c r="G42" s="7"/>
      <c r="H42" s="7"/>
    </row>
    <row r="43" spans="1:8" x14ac:dyDescent="0.2">
      <c r="A43">
        <v>42</v>
      </c>
      <c r="B43">
        <v>42</v>
      </c>
      <c r="C43">
        <v>91</v>
      </c>
      <c r="D43" s="7">
        <v>42.241519136861257</v>
      </c>
      <c r="E43" s="7"/>
      <c r="F43" s="7"/>
      <c r="G43" s="7"/>
      <c r="H43" s="7"/>
    </row>
    <row r="44" spans="1:8" x14ac:dyDescent="0.2">
      <c r="A44">
        <v>43</v>
      </c>
      <c r="B44">
        <v>43</v>
      </c>
      <c r="C44">
        <v>92</v>
      </c>
      <c r="D44" s="7">
        <v>36.060967923885791</v>
      </c>
      <c r="E44" s="7"/>
      <c r="F44" s="7"/>
      <c r="G44" s="7"/>
      <c r="H44" s="7"/>
    </row>
    <row r="45" spans="1:8" x14ac:dyDescent="0.2">
      <c r="A45">
        <v>44</v>
      </c>
      <c r="B45">
        <v>44</v>
      </c>
      <c r="C45">
        <v>93</v>
      </c>
      <c r="D45" s="7">
        <v>30.196157105132578</v>
      </c>
      <c r="E45" s="7"/>
      <c r="F45" s="7"/>
      <c r="G45" s="7"/>
      <c r="H45" s="7"/>
    </row>
    <row r="46" spans="1:8" x14ac:dyDescent="0.2">
      <c r="A46">
        <v>45</v>
      </c>
      <c r="B46">
        <v>45</v>
      </c>
      <c r="C46">
        <v>94</v>
      </c>
      <c r="D46" s="7">
        <v>24.755773286686619</v>
      </c>
      <c r="E46" s="7"/>
      <c r="F46" s="7"/>
      <c r="G46" s="7"/>
      <c r="H46" s="7"/>
    </row>
    <row r="47" spans="1:8" x14ac:dyDescent="0.2">
      <c r="A47">
        <v>46</v>
      </c>
      <c r="B47">
        <v>46</v>
      </c>
      <c r="C47">
        <v>95</v>
      </c>
      <c r="D47" s="7">
        <v>19.832736809156572</v>
      </c>
      <c r="E47" s="7"/>
      <c r="F47" s="7"/>
      <c r="G47" s="7"/>
      <c r="H47" s="7"/>
    </row>
    <row r="48" spans="1:8" x14ac:dyDescent="0.2">
      <c r="A48">
        <v>47</v>
      </c>
      <c r="B48">
        <v>47</v>
      </c>
      <c r="C48">
        <v>96</v>
      </c>
      <c r="D48" s="7">
        <v>15.49635820711678</v>
      </c>
      <c r="E48" s="7"/>
      <c r="F48" s="7"/>
      <c r="G48" s="7"/>
      <c r="H48" s="7"/>
    </row>
    <row r="49" spans="1:8" x14ac:dyDescent="0.2">
      <c r="A49">
        <v>48</v>
      </c>
      <c r="B49">
        <v>48</v>
      </c>
      <c r="C49">
        <v>97</v>
      </c>
      <c r="D49" s="7">
        <v>11.786369946684639</v>
      </c>
      <c r="E49" s="7"/>
      <c r="F49" s="7"/>
      <c r="G49" s="7"/>
      <c r="H49" s="7"/>
    </row>
    <row r="50" spans="1:8" x14ac:dyDescent="0.2">
      <c r="A50">
        <v>49</v>
      </c>
      <c r="B50">
        <v>49</v>
      </c>
      <c r="C50">
        <v>98</v>
      </c>
      <c r="D50" s="7">
        <v>8.7099573915636199</v>
      </c>
      <c r="E50" s="7"/>
      <c r="F50" s="7"/>
      <c r="G50" s="7"/>
      <c r="H50" s="7"/>
    </row>
    <row r="51" spans="1:8" x14ac:dyDescent="0.2">
      <c r="A51">
        <v>50</v>
      </c>
      <c r="B51">
        <v>50</v>
      </c>
      <c r="C51">
        <v>99</v>
      </c>
      <c r="D51" s="7">
        <v>6.2424833573898333</v>
      </c>
      <c r="E51" s="7"/>
      <c r="F51" s="7"/>
      <c r="G51" s="7"/>
      <c r="H51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5E36E-903A-454F-9ED8-7C27A9182C7E}">
  <dimension ref="A1:H51"/>
  <sheetViews>
    <sheetView workbookViewId="0">
      <selection activeCell="M16" sqref="M16"/>
    </sheetView>
  </sheetViews>
  <sheetFormatPr baseColWidth="10" defaultRowHeight="16" x14ac:dyDescent="0.2"/>
  <cols>
    <col min="4" max="4" width="22" customWidth="1"/>
    <col min="5" max="5" width="21.33203125" customWidth="1"/>
    <col min="6" max="6" width="16.83203125" customWidth="1"/>
    <col min="7" max="7" width="18.83203125" customWidth="1"/>
    <col min="8" max="8" width="16.6640625" customWidth="1"/>
  </cols>
  <sheetData>
    <row r="1" spans="1:8" ht="51" x14ac:dyDescent="0.2">
      <c r="A1" s="3" t="s">
        <v>0</v>
      </c>
      <c r="B1" s="3" t="s">
        <v>1</v>
      </c>
      <c r="C1" s="3" t="s">
        <v>2</v>
      </c>
      <c r="D1" s="9" t="s">
        <v>26</v>
      </c>
      <c r="E1" s="9" t="s">
        <v>4</v>
      </c>
      <c r="F1" s="9" t="s">
        <v>5</v>
      </c>
      <c r="G1" s="17" t="s">
        <v>25</v>
      </c>
      <c r="H1" s="10" t="s">
        <v>25</v>
      </c>
    </row>
    <row r="2" spans="1:8" x14ac:dyDescent="0.2">
      <c r="A2">
        <v>1</v>
      </c>
      <c r="B2">
        <v>1</v>
      </c>
      <c r="C2">
        <v>50</v>
      </c>
      <c r="D2" s="7">
        <v>6.715834000000001</v>
      </c>
      <c r="E2" s="7">
        <v>37.625909961438197</v>
      </c>
      <c r="F2" s="7">
        <v>46.766534842946378</v>
      </c>
      <c r="G2" s="18">
        <f>F2/E2</f>
        <v>1.2429343208144645</v>
      </c>
      <c r="H2" s="11">
        <f>F2/D2</f>
        <v>6.9636228118423373</v>
      </c>
    </row>
    <row r="3" spans="1:8" x14ac:dyDescent="0.2">
      <c r="A3">
        <v>2</v>
      </c>
      <c r="B3">
        <v>2</v>
      </c>
      <c r="C3">
        <v>51</v>
      </c>
      <c r="D3" s="7">
        <v>6.691273711917618</v>
      </c>
      <c r="E3" s="7">
        <v>10.460235807609186</v>
      </c>
      <c r="F3" s="7">
        <v>50.677879303603902</v>
      </c>
      <c r="G3" s="18">
        <f t="shared" ref="G3:G32" si="0">F3/E3</f>
        <v>4.8448123193110835</v>
      </c>
      <c r="H3" s="11">
        <f t="shared" ref="H3:H32" si="1">F3/D3</f>
        <v>7.5737268396812283</v>
      </c>
    </row>
    <row r="4" spans="1:8" x14ac:dyDescent="0.2">
      <c r="A4">
        <v>3</v>
      </c>
      <c r="B4">
        <v>3</v>
      </c>
      <c r="C4">
        <v>52</v>
      </c>
      <c r="D4" s="7">
        <v>6.6647354417193068</v>
      </c>
      <c r="E4" s="7">
        <v>12.374820057376663</v>
      </c>
      <c r="F4" s="7">
        <v>53.925961188094135</v>
      </c>
      <c r="G4" s="18">
        <f t="shared" si="0"/>
        <v>4.3577167941079455</v>
      </c>
      <c r="H4" s="11">
        <f t="shared" si="1"/>
        <v>8.0912380783389075</v>
      </c>
    </row>
    <row r="5" spans="1:8" x14ac:dyDescent="0.2">
      <c r="A5">
        <v>4</v>
      </c>
      <c r="B5">
        <v>4</v>
      </c>
      <c r="C5">
        <v>53</v>
      </c>
      <c r="D5" s="7">
        <v>6.6360125634233817</v>
      </c>
      <c r="E5" s="7">
        <v>14.604693948088714</v>
      </c>
      <c r="F5" s="7">
        <v>55.665058233073033</v>
      </c>
      <c r="G5" s="18">
        <f t="shared" si="0"/>
        <v>3.8114498277697768</v>
      </c>
      <c r="H5" s="11">
        <f t="shared" si="1"/>
        <v>8.3883292415523361</v>
      </c>
    </row>
    <row r="6" spans="1:8" x14ac:dyDescent="0.2">
      <c r="A6">
        <v>5</v>
      </c>
      <c r="B6">
        <v>5</v>
      </c>
      <c r="C6">
        <v>54</v>
      </c>
      <c r="D6" s="7">
        <v>6.6047049088163021</v>
      </c>
      <c r="E6" s="7">
        <v>16.090379866578978</v>
      </c>
      <c r="F6" s="7">
        <v>56.103292687987107</v>
      </c>
      <c r="G6" s="18">
        <f t="shared" si="0"/>
        <v>3.4867599866003283</v>
      </c>
      <c r="H6" s="11">
        <f t="shared" si="1"/>
        <v>8.4944435008894228</v>
      </c>
    </row>
    <row r="7" spans="1:8" x14ac:dyDescent="0.2">
      <c r="A7">
        <v>6</v>
      </c>
      <c r="B7">
        <v>6</v>
      </c>
      <c r="C7">
        <v>55</v>
      </c>
      <c r="D7" s="7">
        <v>14.179552368652121</v>
      </c>
      <c r="E7" s="7">
        <v>17.383292071858381</v>
      </c>
      <c r="F7" s="7">
        <v>100.27090452334151</v>
      </c>
      <c r="G7" s="18">
        <f t="shared" si="0"/>
        <v>5.7682344695610892</v>
      </c>
      <c r="H7" s="11">
        <f t="shared" si="1"/>
        <v>7.0715141011798428</v>
      </c>
    </row>
    <row r="8" spans="1:8" x14ac:dyDescent="0.2">
      <c r="A8">
        <v>7</v>
      </c>
      <c r="B8">
        <v>7</v>
      </c>
      <c r="C8">
        <v>56</v>
      </c>
      <c r="D8" s="7">
        <v>14.097595671357174</v>
      </c>
      <c r="E8" s="7">
        <v>19.477180987012208</v>
      </c>
      <c r="F8" s="7">
        <v>98.508481020052457</v>
      </c>
      <c r="G8" s="18">
        <f t="shared" si="0"/>
        <v>5.0576354496957219</v>
      </c>
      <c r="H8" s="11">
        <f t="shared" si="1"/>
        <v>6.9876086189787179</v>
      </c>
    </row>
    <row r="9" spans="1:8" x14ac:dyDescent="0.2">
      <c r="A9">
        <v>8</v>
      </c>
      <c r="B9">
        <v>8</v>
      </c>
      <c r="C9">
        <v>57</v>
      </c>
      <c r="D9" s="7">
        <v>14.008792948336655</v>
      </c>
      <c r="E9" s="7">
        <v>22.214931302682242</v>
      </c>
      <c r="F9" s="7">
        <v>95.897602708184962</v>
      </c>
      <c r="G9" s="18">
        <f t="shared" si="0"/>
        <v>4.3168084295001279</v>
      </c>
      <c r="H9" s="11">
        <f t="shared" si="1"/>
        <v>6.8455293087597129</v>
      </c>
    </row>
    <row r="10" spans="1:8" x14ac:dyDescent="0.2">
      <c r="A10">
        <v>9</v>
      </c>
      <c r="B10">
        <v>9</v>
      </c>
      <c r="C10">
        <v>58</v>
      </c>
      <c r="D10" s="7">
        <v>13.91328657963334</v>
      </c>
      <c r="E10" s="7">
        <v>25.390444433375979</v>
      </c>
      <c r="F10" s="7">
        <v>93.033349719422006</v>
      </c>
      <c r="G10" s="18">
        <f t="shared" si="0"/>
        <v>3.6641087541236099</v>
      </c>
      <c r="H10" s="11">
        <f t="shared" si="1"/>
        <v>6.6866551757517048</v>
      </c>
    </row>
    <row r="11" spans="1:8" x14ac:dyDescent="0.2">
      <c r="A11">
        <v>10</v>
      </c>
      <c r="B11">
        <v>10</v>
      </c>
      <c r="C11">
        <v>59</v>
      </c>
      <c r="D11" s="7">
        <v>13.81099060852171</v>
      </c>
      <c r="E11" s="7">
        <v>27.187006144127025</v>
      </c>
      <c r="F11" s="7">
        <v>89.941586164888065</v>
      </c>
      <c r="G11" s="18">
        <f t="shared" si="0"/>
        <v>3.3082563665921474</v>
      </c>
      <c r="H11" s="11">
        <f t="shared" si="1"/>
        <v>6.5123196962708789</v>
      </c>
    </row>
    <row r="12" spans="1:8" x14ac:dyDescent="0.2">
      <c r="A12">
        <v>11</v>
      </c>
      <c r="B12">
        <v>11</v>
      </c>
      <c r="C12">
        <v>60</v>
      </c>
      <c r="D12" s="7">
        <v>25.49568312012094</v>
      </c>
      <c r="E12" s="7">
        <v>28.446285540899229</v>
      </c>
      <c r="F12" s="7">
        <v>146.30855258818434</v>
      </c>
      <c r="G12" s="18">
        <f t="shared" si="0"/>
        <v>5.1433271446926252</v>
      </c>
      <c r="H12" s="11">
        <f t="shared" si="1"/>
        <v>5.7385617752959552</v>
      </c>
    </row>
    <row r="13" spans="1:8" x14ac:dyDescent="0.2">
      <c r="A13">
        <v>12</v>
      </c>
      <c r="B13">
        <v>12</v>
      </c>
      <c r="C13">
        <v>61</v>
      </c>
      <c r="D13" s="7">
        <v>25.275223039493611</v>
      </c>
      <c r="E13" s="7">
        <v>30.557666727534304</v>
      </c>
      <c r="F13" s="7">
        <v>140.93752452679087</v>
      </c>
      <c r="G13" s="18">
        <f t="shared" si="0"/>
        <v>4.6121821336508537</v>
      </c>
      <c r="H13" s="11">
        <f t="shared" si="1"/>
        <v>5.5761139795510406</v>
      </c>
    </row>
    <row r="14" spans="1:8" x14ac:dyDescent="0.2">
      <c r="A14">
        <v>13</v>
      </c>
      <c r="B14">
        <v>13</v>
      </c>
      <c r="C14">
        <v>62</v>
      </c>
      <c r="D14" s="7">
        <v>25.040095868809214</v>
      </c>
      <c r="E14" s="7">
        <v>33.367947310411694</v>
      </c>
      <c r="F14" s="7">
        <v>135.55389932360339</v>
      </c>
      <c r="G14" s="18">
        <f t="shared" si="0"/>
        <v>4.0623985066443371</v>
      </c>
      <c r="H14" s="11">
        <f t="shared" si="1"/>
        <v>5.4134736557639895</v>
      </c>
    </row>
    <row r="15" spans="1:8" x14ac:dyDescent="0.2">
      <c r="A15">
        <v>14</v>
      </c>
      <c r="B15">
        <v>14</v>
      </c>
      <c r="C15">
        <v>63</v>
      </c>
      <c r="D15" s="7">
        <v>24.789941858613091</v>
      </c>
      <c r="E15" s="7">
        <v>36.610343064431902</v>
      </c>
      <c r="F15" s="7">
        <v>130.16160319723085</v>
      </c>
      <c r="G15" s="18">
        <f t="shared" si="0"/>
        <v>3.5553232311468541</v>
      </c>
      <c r="H15" s="11">
        <f t="shared" si="1"/>
        <v>5.2505812211902025</v>
      </c>
    </row>
    <row r="16" spans="1:8" x14ac:dyDescent="0.2">
      <c r="A16">
        <v>15</v>
      </c>
      <c r="B16">
        <v>15</v>
      </c>
      <c r="C16">
        <v>64</v>
      </c>
      <c r="D16" s="7">
        <v>24.524915097939104</v>
      </c>
      <c r="E16" s="7">
        <v>38.31545031099872</v>
      </c>
      <c r="F16" s="7">
        <v>124.88272815849621</v>
      </c>
      <c r="G16" s="18">
        <f t="shared" si="0"/>
        <v>3.2593308220273673</v>
      </c>
      <c r="H16" s="11">
        <f t="shared" si="1"/>
        <v>5.0920758608045276</v>
      </c>
    </row>
    <row r="17" spans="1:8" x14ac:dyDescent="0.2">
      <c r="A17">
        <v>16</v>
      </c>
      <c r="B17">
        <v>16</v>
      </c>
      <c r="C17">
        <v>65</v>
      </c>
      <c r="D17" s="7">
        <v>37.196491886999745</v>
      </c>
      <c r="E17" s="7">
        <v>39.392034710154938</v>
      </c>
      <c r="F17" s="7">
        <v>147.65995904863371</v>
      </c>
      <c r="G17" s="18">
        <f t="shared" si="0"/>
        <v>3.7484725055486461</v>
      </c>
      <c r="H17" s="11">
        <f t="shared" si="1"/>
        <v>3.9697280995534201</v>
      </c>
    </row>
    <row r="18" spans="1:8" x14ac:dyDescent="0.2">
      <c r="A18">
        <v>17</v>
      </c>
      <c r="B18">
        <v>17</v>
      </c>
      <c r="C18">
        <v>66</v>
      </c>
      <c r="D18" s="7">
        <v>36.7401715822227</v>
      </c>
      <c r="E18" s="7">
        <v>41.341506359057355</v>
      </c>
      <c r="F18" s="7">
        <v>141.34926878312109</v>
      </c>
      <c r="G18" s="18">
        <f t="shared" si="0"/>
        <v>3.419064306836836</v>
      </c>
      <c r="H18" s="11">
        <f t="shared" si="1"/>
        <v>3.8472675193361132</v>
      </c>
    </row>
    <row r="19" spans="1:8" x14ac:dyDescent="0.2">
      <c r="A19">
        <v>18</v>
      </c>
      <c r="B19">
        <v>18</v>
      </c>
      <c r="C19">
        <v>67</v>
      </c>
      <c r="D19" s="7">
        <v>36.260644103053785</v>
      </c>
      <c r="E19" s="7">
        <v>43.982046665600755</v>
      </c>
      <c r="F19" s="7">
        <v>135.2633396282292</v>
      </c>
      <c r="G19" s="18">
        <f t="shared" si="0"/>
        <v>3.0754216750449994</v>
      </c>
      <c r="H19" s="11">
        <f t="shared" si="1"/>
        <v>3.7303071408165538</v>
      </c>
    </row>
    <row r="20" spans="1:8" x14ac:dyDescent="0.2">
      <c r="A20">
        <v>19</v>
      </c>
      <c r="B20">
        <v>19</v>
      </c>
      <c r="C20">
        <v>68</v>
      </c>
      <c r="D20" s="7">
        <v>35.753676719052677</v>
      </c>
      <c r="E20" s="7">
        <v>46.980545924780699</v>
      </c>
      <c r="F20" s="7">
        <v>129.36918799666779</v>
      </c>
      <c r="G20" s="18">
        <f t="shared" si="0"/>
        <v>2.7536757066168911</v>
      </c>
      <c r="H20" s="11">
        <f t="shared" si="1"/>
        <v>3.6183464154814771</v>
      </c>
    </row>
    <row r="21" spans="1:8" x14ac:dyDescent="0.2">
      <c r="A21">
        <v>20</v>
      </c>
      <c r="B21">
        <v>20</v>
      </c>
      <c r="C21">
        <v>69</v>
      </c>
      <c r="D21" s="7">
        <v>35.21783863954991</v>
      </c>
      <c r="E21" s="7">
        <v>48.059809097929175</v>
      </c>
      <c r="F21" s="7">
        <v>123.64819778131856</v>
      </c>
      <c r="G21" s="18">
        <f t="shared" si="0"/>
        <v>2.5727983548450335</v>
      </c>
      <c r="H21" s="11">
        <f t="shared" si="1"/>
        <v>3.510953612083981</v>
      </c>
    </row>
    <row r="22" spans="1:8" x14ac:dyDescent="0.2">
      <c r="A22">
        <v>21</v>
      </c>
      <c r="B22">
        <v>21</v>
      </c>
      <c r="C22">
        <v>70</v>
      </c>
      <c r="D22" s="7">
        <v>48.925720527141479</v>
      </c>
      <c r="E22" s="7">
        <v>48.183660478349388</v>
      </c>
      <c r="F22" s="7">
        <v>147.05567023308487</v>
      </c>
      <c r="G22" s="18">
        <f t="shared" si="0"/>
        <v>3.0519821195229064</v>
      </c>
      <c r="H22" s="11">
        <f t="shared" si="1"/>
        <v>3.0056924793065831</v>
      </c>
    </row>
    <row r="23" spans="1:8" x14ac:dyDescent="0.2">
      <c r="A23">
        <v>22</v>
      </c>
      <c r="B23">
        <v>22</v>
      </c>
      <c r="C23">
        <v>71</v>
      </c>
      <c r="D23" s="7">
        <v>48.066416214143246</v>
      </c>
      <c r="E23" s="7">
        <v>48.931226885937669</v>
      </c>
      <c r="F23" s="7">
        <v>139.40365486708217</v>
      </c>
      <c r="G23" s="18">
        <f t="shared" si="0"/>
        <v>2.8489711731946241</v>
      </c>
      <c r="H23" s="11">
        <f t="shared" si="1"/>
        <v>2.9002298454292399</v>
      </c>
    </row>
    <row r="24" spans="1:8" x14ac:dyDescent="0.2">
      <c r="A24">
        <v>23</v>
      </c>
      <c r="B24">
        <v>23</v>
      </c>
      <c r="C24">
        <v>72</v>
      </c>
      <c r="D24" s="7">
        <v>47.155524701195162</v>
      </c>
      <c r="E24" s="7">
        <v>50.015312758899867</v>
      </c>
      <c r="F24" s="7">
        <v>131.39917729445639</v>
      </c>
      <c r="G24" s="18">
        <f t="shared" si="0"/>
        <v>2.6271789587294911</v>
      </c>
      <c r="H24" s="11">
        <f t="shared" si="1"/>
        <v>2.7865065255254402</v>
      </c>
    </row>
    <row r="25" spans="1:8" x14ac:dyDescent="0.2">
      <c r="A25">
        <v>24</v>
      </c>
      <c r="B25">
        <v>24</v>
      </c>
      <c r="C25">
        <v>73</v>
      </c>
      <c r="D25" s="7">
        <v>46.193803374310463</v>
      </c>
      <c r="E25" s="7">
        <v>51.30353600779744</v>
      </c>
      <c r="F25" s="7">
        <v>123.67982058403013</v>
      </c>
      <c r="G25" s="18">
        <f t="shared" si="0"/>
        <v>2.4107465139485216</v>
      </c>
      <c r="H25" s="11">
        <f t="shared" si="1"/>
        <v>2.6774115043493385</v>
      </c>
    </row>
    <row r="26" spans="1:8" x14ac:dyDescent="0.2">
      <c r="A26">
        <v>25</v>
      </c>
      <c r="B26">
        <v>25</v>
      </c>
      <c r="C26">
        <v>74</v>
      </c>
      <c r="D26" s="7">
        <v>45.155002285812586</v>
      </c>
      <c r="E26" s="7">
        <v>50.658749924874861</v>
      </c>
      <c r="F26" s="7">
        <v>116.1603851922723</v>
      </c>
      <c r="G26" s="18">
        <f t="shared" si="0"/>
        <v>2.2929974656803425</v>
      </c>
      <c r="H26" s="11">
        <f t="shared" si="1"/>
        <v>2.5724809946199283</v>
      </c>
    </row>
    <row r="27" spans="1:8" x14ac:dyDescent="0.2">
      <c r="A27">
        <v>26</v>
      </c>
      <c r="B27">
        <v>26</v>
      </c>
      <c r="C27">
        <v>75</v>
      </c>
      <c r="D27" s="7">
        <v>55.258004503287218</v>
      </c>
      <c r="E27" s="7">
        <v>48.870405770115482</v>
      </c>
      <c r="F27" s="7">
        <v>136.55607614753498</v>
      </c>
      <c r="G27" s="18">
        <f t="shared" si="0"/>
        <v>2.7942488709811317</v>
      </c>
      <c r="H27" s="11">
        <f t="shared" si="1"/>
        <v>2.4712451594123608</v>
      </c>
    </row>
    <row r="28" spans="1:8" x14ac:dyDescent="0.2">
      <c r="A28">
        <v>27</v>
      </c>
      <c r="B28">
        <v>27</v>
      </c>
      <c r="C28">
        <v>76</v>
      </c>
      <c r="D28" s="7">
        <v>53.768304019237213</v>
      </c>
      <c r="E28" s="7">
        <v>46.969191846404151</v>
      </c>
      <c r="F28" s="7">
        <v>127.73434779186016</v>
      </c>
      <c r="G28" s="18">
        <f t="shared" si="0"/>
        <v>2.7195347156401883</v>
      </c>
      <c r="H28" s="11">
        <f t="shared" si="1"/>
        <v>2.3756439806276832</v>
      </c>
    </row>
    <row r="29" spans="1:8" x14ac:dyDescent="0.2">
      <c r="A29">
        <v>28</v>
      </c>
      <c r="B29">
        <v>28</v>
      </c>
      <c r="C29">
        <v>77</v>
      </c>
      <c r="D29" s="7">
        <v>52.182634459273274</v>
      </c>
      <c r="E29" s="7">
        <v>44.954041930997846</v>
      </c>
      <c r="F29" s="7">
        <v>119.46068143622645</v>
      </c>
      <c r="G29" s="18">
        <f t="shared" si="0"/>
        <v>2.6573957825548251</v>
      </c>
      <c r="H29" s="11">
        <f t="shared" si="1"/>
        <v>2.2892803836774731</v>
      </c>
    </row>
    <row r="30" spans="1:8" x14ac:dyDescent="0.2">
      <c r="A30">
        <v>29</v>
      </c>
      <c r="B30">
        <v>29</v>
      </c>
      <c r="C30">
        <v>78</v>
      </c>
      <c r="D30" s="7">
        <v>50.479864922228373</v>
      </c>
      <c r="E30" s="7">
        <v>42.82567642521402</v>
      </c>
      <c r="F30" s="7">
        <v>111.61235691479804</v>
      </c>
      <c r="G30" s="18">
        <f t="shared" si="0"/>
        <v>2.6062018450474542</v>
      </c>
      <c r="H30" s="11">
        <f t="shared" si="1"/>
        <v>2.2110272499095083</v>
      </c>
    </row>
    <row r="31" spans="1:8" x14ac:dyDescent="0.2">
      <c r="A31">
        <v>30</v>
      </c>
      <c r="B31">
        <v>30</v>
      </c>
      <c r="C31">
        <v>79</v>
      </c>
      <c r="D31" s="7">
        <v>48.660612433972219</v>
      </c>
      <c r="E31" s="7">
        <v>40.584479014893624</v>
      </c>
      <c r="F31" s="7">
        <v>104.11017995375018</v>
      </c>
      <c r="G31" s="18">
        <f t="shared" si="0"/>
        <v>2.5652708247294242</v>
      </c>
      <c r="H31" s="11">
        <f t="shared" si="1"/>
        <v>2.1395164332347378</v>
      </c>
    </row>
    <row r="32" spans="1:8" x14ac:dyDescent="0.2">
      <c r="A32" s="4">
        <v>31</v>
      </c>
      <c r="B32" s="4">
        <v>31</v>
      </c>
      <c r="C32" s="4">
        <v>80</v>
      </c>
      <c r="D32" s="8">
        <v>46.731752584853709</v>
      </c>
      <c r="E32" s="8">
        <v>38.23217611263798</v>
      </c>
      <c r="F32" s="8">
        <v>96.869291977347046</v>
      </c>
      <c r="G32" s="19">
        <f t="shared" si="0"/>
        <v>2.5337111780390145</v>
      </c>
      <c r="H32" s="11">
        <f t="shared" si="1"/>
        <v>2.0728795009657626</v>
      </c>
    </row>
    <row r="33" spans="1:8" x14ac:dyDescent="0.2">
      <c r="A33">
        <v>32</v>
      </c>
      <c r="B33">
        <v>32</v>
      </c>
      <c r="C33">
        <v>81</v>
      </c>
      <c r="D33" s="7">
        <v>44.685894745591249</v>
      </c>
      <c r="E33" s="7"/>
      <c r="F33" s="7"/>
      <c r="G33" s="7"/>
      <c r="H33" s="7"/>
    </row>
    <row r="34" spans="1:8" x14ac:dyDescent="0.2">
      <c r="A34">
        <v>33</v>
      </c>
      <c r="B34">
        <v>33</v>
      </c>
      <c r="C34">
        <v>82</v>
      </c>
      <c r="D34" s="7">
        <v>42.526358285321926</v>
      </c>
      <c r="E34" s="7"/>
      <c r="F34" s="7"/>
      <c r="G34" s="7"/>
      <c r="H34" s="7"/>
    </row>
    <row r="35" spans="1:8" x14ac:dyDescent="0.2">
      <c r="A35">
        <v>34</v>
      </c>
      <c r="B35">
        <v>34</v>
      </c>
      <c r="C35">
        <v>83</v>
      </c>
      <c r="D35" s="7">
        <v>40.237168876470655</v>
      </c>
      <c r="E35" s="7"/>
      <c r="F35" s="7"/>
      <c r="G35" s="7"/>
      <c r="H35" s="7"/>
    </row>
    <row r="36" spans="1:8" x14ac:dyDescent="0.2">
      <c r="A36">
        <v>35</v>
      </c>
      <c r="B36">
        <v>35</v>
      </c>
      <c r="C36">
        <v>84</v>
      </c>
      <c r="D36" s="7">
        <v>37.825216133781403</v>
      </c>
      <c r="E36" s="7"/>
      <c r="F36" s="7"/>
      <c r="G36" s="7"/>
      <c r="H36" s="7"/>
    </row>
    <row r="37" spans="1:8" x14ac:dyDescent="0.2">
      <c r="A37">
        <v>36</v>
      </c>
      <c r="B37">
        <v>36</v>
      </c>
      <c r="C37">
        <v>85</v>
      </c>
      <c r="D37" s="7">
        <v>35.304112235875849</v>
      </c>
      <c r="E37" s="7"/>
      <c r="F37" s="7"/>
      <c r="G37" s="7"/>
      <c r="H37" s="7"/>
    </row>
    <row r="38" spans="1:8" x14ac:dyDescent="0.2">
      <c r="A38">
        <v>37</v>
      </c>
      <c r="B38">
        <v>37</v>
      </c>
      <c r="C38">
        <v>86</v>
      </c>
      <c r="D38" s="7">
        <v>32.651269163919842</v>
      </c>
      <c r="E38" s="7"/>
      <c r="F38" s="7"/>
      <c r="G38" s="7"/>
      <c r="H38" s="7"/>
    </row>
    <row r="39" spans="1:8" x14ac:dyDescent="0.2">
      <c r="A39">
        <v>38</v>
      </c>
      <c r="B39">
        <v>38</v>
      </c>
      <c r="C39">
        <v>87</v>
      </c>
      <c r="D39" s="7">
        <v>29.920763991154832</v>
      </c>
      <c r="E39" s="7"/>
      <c r="F39" s="7"/>
      <c r="G39" s="7"/>
      <c r="H39" s="7"/>
    </row>
    <row r="40" spans="1:8" x14ac:dyDescent="0.2">
      <c r="A40">
        <v>39</v>
      </c>
      <c r="B40">
        <v>39</v>
      </c>
      <c r="C40">
        <v>88</v>
      </c>
      <c r="D40" s="7">
        <v>27.159165974706749</v>
      </c>
      <c r="E40" s="7"/>
      <c r="F40" s="7"/>
      <c r="G40" s="7"/>
      <c r="H40" s="7"/>
    </row>
    <row r="41" spans="1:8" x14ac:dyDescent="0.2">
      <c r="A41">
        <v>40</v>
      </c>
      <c r="B41">
        <v>40</v>
      </c>
      <c r="C41">
        <v>89</v>
      </c>
      <c r="D41" s="7">
        <v>24.339475300531191</v>
      </c>
      <c r="E41" s="7"/>
      <c r="F41" s="7"/>
      <c r="G41" s="7"/>
      <c r="H41" s="7"/>
    </row>
    <row r="42" spans="1:8" x14ac:dyDescent="0.2">
      <c r="A42">
        <v>41</v>
      </c>
      <c r="B42">
        <v>41</v>
      </c>
      <c r="C42">
        <v>90</v>
      </c>
      <c r="D42" s="7">
        <v>21.503880908546922</v>
      </c>
      <c r="E42" s="7"/>
      <c r="F42" s="7"/>
      <c r="G42" s="7"/>
      <c r="H42" s="7"/>
    </row>
    <row r="43" spans="1:8" x14ac:dyDescent="0.2">
      <c r="A43">
        <v>42</v>
      </c>
      <c r="B43">
        <v>42</v>
      </c>
      <c r="C43">
        <v>91</v>
      </c>
      <c r="D43" s="7">
        <v>18.700152864983018</v>
      </c>
      <c r="E43" s="7"/>
      <c r="F43" s="7"/>
      <c r="G43" s="7"/>
      <c r="H43" s="7"/>
    </row>
    <row r="44" spans="1:8" x14ac:dyDescent="0.2">
      <c r="A44">
        <v>43</v>
      </c>
      <c r="B44">
        <v>43</v>
      </c>
      <c r="C44">
        <v>92</v>
      </c>
      <c r="D44" s="7">
        <v>15.979493590261534</v>
      </c>
      <c r="E44" s="7"/>
      <c r="F44" s="7"/>
      <c r="G44" s="7"/>
      <c r="H44" s="7"/>
    </row>
    <row r="45" spans="1:8" x14ac:dyDescent="0.2">
      <c r="A45">
        <v>44</v>
      </c>
      <c r="B45">
        <v>44</v>
      </c>
      <c r="C45">
        <v>93</v>
      </c>
      <c r="D45" s="7">
        <v>13.393599628327433</v>
      </c>
      <c r="E45" s="7"/>
      <c r="F45" s="7"/>
      <c r="G45" s="7"/>
      <c r="H45" s="7"/>
    </row>
    <row r="46" spans="1:8" x14ac:dyDescent="0.2">
      <c r="A46">
        <v>45</v>
      </c>
      <c r="B46">
        <v>45</v>
      </c>
      <c r="C46">
        <v>94</v>
      </c>
      <c r="D46" s="7">
        <v>10.991124746368971</v>
      </c>
      <c r="E46" s="7"/>
      <c r="F46" s="7"/>
      <c r="G46" s="7"/>
      <c r="H46" s="7"/>
    </row>
    <row r="47" spans="1:8" x14ac:dyDescent="0.2">
      <c r="A47">
        <v>46</v>
      </c>
      <c r="B47">
        <v>46</v>
      </c>
      <c r="C47">
        <v>95</v>
      </c>
      <c r="D47" s="7">
        <v>8.8139035315670693</v>
      </c>
      <c r="E47" s="7"/>
      <c r="F47" s="7"/>
      <c r="G47" s="7"/>
      <c r="H47" s="7"/>
    </row>
    <row r="48" spans="1:8" x14ac:dyDescent="0.2">
      <c r="A48">
        <v>47</v>
      </c>
      <c r="B48">
        <v>47</v>
      </c>
      <c r="C48">
        <v>96</v>
      </c>
      <c r="D48" s="7">
        <v>6.8934288117489428</v>
      </c>
      <c r="E48" s="7"/>
      <c r="F48" s="7"/>
      <c r="G48" s="7"/>
      <c r="H48" s="7"/>
    </row>
    <row r="49" spans="1:8" x14ac:dyDescent="0.2">
      <c r="A49">
        <v>48</v>
      </c>
      <c r="B49">
        <v>48</v>
      </c>
      <c r="C49">
        <v>97</v>
      </c>
      <c r="D49" s="7">
        <v>5.2481437321398632</v>
      </c>
      <c r="E49" s="7"/>
      <c r="F49" s="7"/>
      <c r="G49" s="7"/>
      <c r="H49" s="7"/>
    </row>
    <row r="50" spans="1:8" x14ac:dyDescent="0.2">
      <c r="A50">
        <v>49</v>
      </c>
      <c r="B50">
        <v>49</v>
      </c>
      <c r="C50">
        <v>98</v>
      </c>
      <c r="D50" s="7">
        <v>3.8820550230123505</v>
      </c>
      <c r="E50" s="7"/>
      <c r="F50" s="7"/>
      <c r="G50" s="7"/>
      <c r="H50" s="7"/>
    </row>
    <row r="51" spans="1:8" x14ac:dyDescent="0.2">
      <c r="A51">
        <v>50</v>
      </c>
      <c r="B51">
        <v>50</v>
      </c>
      <c r="C51">
        <v>99</v>
      </c>
      <c r="D51" s="7">
        <v>2.7849862372587779</v>
      </c>
      <c r="E51" s="7"/>
      <c r="F51" s="7"/>
      <c r="G51" s="7"/>
      <c r="H51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379DA-50EA-314C-9DB0-4A40510B0EBA}">
  <dimension ref="A1:H62"/>
  <sheetViews>
    <sheetView workbookViewId="0">
      <selection activeCell="L14" sqref="L14"/>
    </sheetView>
  </sheetViews>
  <sheetFormatPr baseColWidth="10" defaultRowHeight="16" x14ac:dyDescent="0.2"/>
  <cols>
    <col min="4" max="4" width="22.5" customWidth="1"/>
    <col min="5" max="5" width="15.33203125" customWidth="1"/>
    <col min="6" max="6" width="17.1640625" customWidth="1"/>
    <col min="7" max="7" width="17.5" customWidth="1"/>
    <col min="8" max="8" width="20.1640625" customWidth="1"/>
    <col min="9" max="9" width="10.83203125" customWidth="1"/>
    <col min="11" max="11" width="10.83203125" customWidth="1"/>
  </cols>
  <sheetData>
    <row r="1" spans="1:8" ht="51" x14ac:dyDescent="0.2">
      <c r="A1" s="3" t="s">
        <v>0</v>
      </c>
      <c r="B1" s="3" t="s">
        <v>1</v>
      </c>
      <c r="C1" s="3" t="s">
        <v>2</v>
      </c>
      <c r="D1" s="9" t="s">
        <v>27</v>
      </c>
      <c r="E1" s="9" t="s">
        <v>4</v>
      </c>
      <c r="F1" s="9" t="s">
        <v>5</v>
      </c>
      <c r="G1" s="17" t="s">
        <v>25</v>
      </c>
      <c r="H1" s="10" t="s">
        <v>25</v>
      </c>
    </row>
    <row r="2" spans="1:8" x14ac:dyDescent="0.2">
      <c r="A2">
        <v>1</v>
      </c>
      <c r="B2">
        <v>1</v>
      </c>
      <c r="C2">
        <v>50</v>
      </c>
      <c r="D2" s="7">
        <v>1.8562669999999999</v>
      </c>
      <c r="E2" s="7">
        <v>7.5530274624662619</v>
      </c>
      <c r="F2" s="7">
        <v>21.717878089378889</v>
      </c>
      <c r="G2" s="18">
        <f>F2/E2</f>
        <v>2.8753871473793677</v>
      </c>
      <c r="H2" s="11">
        <f>F2/D2</f>
        <v>11.699759834861521</v>
      </c>
    </row>
    <row r="3" spans="1:8" x14ac:dyDescent="0.2">
      <c r="A3">
        <v>2</v>
      </c>
      <c r="B3">
        <v>2</v>
      </c>
      <c r="C3">
        <v>51</v>
      </c>
      <c r="D3" s="7">
        <v>1.8495683807222731</v>
      </c>
      <c r="E3" s="7">
        <v>2.4971926111916884</v>
      </c>
      <c r="F3" s="7">
        <v>22.496898721533096</v>
      </c>
      <c r="G3" s="18">
        <f t="shared" ref="G3:G32" si="0">F3/E3</f>
        <v>9.0088760557389769</v>
      </c>
      <c r="H3" s="11">
        <f t="shared" ref="H3:H32" si="1">F3/D3</f>
        <v>12.163323592690233</v>
      </c>
    </row>
    <row r="4" spans="1:8" x14ac:dyDescent="0.2">
      <c r="A4">
        <v>3</v>
      </c>
      <c r="B4">
        <v>3</v>
      </c>
      <c r="C4">
        <v>52</v>
      </c>
      <c r="D4" s="7">
        <v>1.8423223354835756</v>
      </c>
      <c r="E4" s="7">
        <v>2.9219941472821418</v>
      </c>
      <c r="F4" s="7">
        <v>22.635268184859186</v>
      </c>
      <c r="G4" s="18">
        <f t="shared" si="0"/>
        <v>7.7465138682475159</v>
      </c>
      <c r="H4" s="11">
        <f t="shared" si="1"/>
        <v>12.286269209735138</v>
      </c>
    </row>
    <row r="5" spans="1:8" x14ac:dyDescent="0.2">
      <c r="A5">
        <v>4</v>
      </c>
      <c r="B5">
        <v>4</v>
      </c>
      <c r="C5">
        <v>53</v>
      </c>
      <c r="D5" s="7">
        <v>1.834471664447666</v>
      </c>
      <c r="E5" s="7">
        <v>3.6274648329825694</v>
      </c>
      <c r="F5" s="7">
        <v>22.393813557584721</v>
      </c>
      <c r="G5" s="18">
        <f t="shared" si="0"/>
        <v>6.1734061083018439</v>
      </c>
      <c r="H5" s="11">
        <f t="shared" si="1"/>
        <v>12.20722783108628</v>
      </c>
    </row>
    <row r="6" spans="1:8" x14ac:dyDescent="0.2">
      <c r="A6">
        <v>5</v>
      </c>
      <c r="B6">
        <v>5</v>
      </c>
      <c r="C6">
        <v>54</v>
      </c>
      <c r="D6" s="7">
        <v>1.8259056508916471</v>
      </c>
      <c r="E6" s="7">
        <v>4.7961439862166788</v>
      </c>
      <c r="F6" s="7">
        <v>21.929399425343508</v>
      </c>
      <c r="G6" s="18">
        <f t="shared" si="0"/>
        <v>4.5722979727808335</v>
      </c>
      <c r="H6" s="11">
        <f t="shared" si="1"/>
        <v>12.010149272846981</v>
      </c>
    </row>
    <row r="7" spans="1:8" x14ac:dyDescent="0.2">
      <c r="A7">
        <v>6</v>
      </c>
      <c r="B7">
        <v>6</v>
      </c>
      <c r="C7">
        <v>55</v>
      </c>
      <c r="D7" s="7">
        <v>4.4114010085306177</v>
      </c>
      <c r="E7" s="7">
        <v>5.0460847711406194</v>
      </c>
      <c r="F7" s="7">
        <v>45.182411592341367</v>
      </c>
      <c r="G7" s="18">
        <f t="shared" si="0"/>
        <v>8.9539541330631103</v>
      </c>
      <c r="H7" s="11">
        <f t="shared" si="1"/>
        <v>10.242190974016905</v>
      </c>
    </row>
    <row r="8" spans="1:8" x14ac:dyDescent="0.2">
      <c r="A8">
        <v>7</v>
      </c>
      <c r="B8">
        <v>7</v>
      </c>
      <c r="C8">
        <v>56</v>
      </c>
      <c r="D8" s="7">
        <v>4.3863414726026244</v>
      </c>
      <c r="E8" s="7">
        <v>5.4740291290170955</v>
      </c>
      <c r="F8" s="7">
        <v>43.829818235937012</v>
      </c>
      <c r="G8" s="18">
        <f t="shared" si="0"/>
        <v>8.0068660949575534</v>
      </c>
      <c r="H8" s="11">
        <f t="shared" si="1"/>
        <v>9.9923406578582448</v>
      </c>
    </row>
    <row r="9" spans="1:8" x14ac:dyDescent="0.2">
      <c r="A9">
        <v>8</v>
      </c>
      <c r="B9">
        <v>8</v>
      </c>
      <c r="C9">
        <v>57</v>
      </c>
      <c r="D9" s="7">
        <v>4.3591465946182808</v>
      </c>
      <c r="E9" s="7">
        <v>6.1972289933089639</v>
      </c>
      <c r="F9" s="7">
        <v>42.402796393910222</v>
      </c>
      <c r="G9" s="18">
        <f t="shared" si="0"/>
        <v>6.8422187464255</v>
      </c>
      <c r="H9" s="11">
        <f t="shared" si="1"/>
        <v>9.727315994892189</v>
      </c>
    </row>
    <row r="10" spans="1:8" x14ac:dyDescent="0.2">
      <c r="A10">
        <v>9</v>
      </c>
      <c r="B10">
        <v>9</v>
      </c>
      <c r="C10">
        <v>58</v>
      </c>
      <c r="D10" s="7">
        <v>4.3298600447021727</v>
      </c>
      <c r="E10" s="7">
        <v>7.4085791480270995</v>
      </c>
      <c r="F10" s="7">
        <v>40.94485799777398</v>
      </c>
      <c r="G10" s="18">
        <f t="shared" si="0"/>
        <v>5.5266815916622249</v>
      </c>
      <c r="H10" s="11">
        <f t="shared" si="1"/>
        <v>9.4563929492068262</v>
      </c>
    </row>
    <row r="11" spans="1:8" x14ac:dyDescent="0.2">
      <c r="A11">
        <v>10</v>
      </c>
      <c r="B11">
        <v>10</v>
      </c>
      <c r="C11">
        <v>59</v>
      </c>
      <c r="D11" s="7">
        <v>4.2984544443100168</v>
      </c>
      <c r="E11" s="7">
        <v>9.4261277573010478</v>
      </c>
      <c r="F11" s="7">
        <v>39.395330370988887</v>
      </c>
      <c r="G11" s="18">
        <f t="shared" si="0"/>
        <v>4.1793758142600037</v>
      </c>
      <c r="H11" s="11">
        <f t="shared" si="1"/>
        <v>9.1649989272626993</v>
      </c>
    </row>
    <row r="12" spans="1:8" x14ac:dyDescent="0.2">
      <c r="A12">
        <v>11</v>
      </c>
      <c r="B12">
        <v>11</v>
      </c>
      <c r="C12">
        <v>60</v>
      </c>
      <c r="D12" s="7">
        <v>9.1047335000028227</v>
      </c>
      <c r="E12" s="7">
        <v>9.6345641771358643</v>
      </c>
      <c r="F12" s="7">
        <v>72.24496767344624</v>
      </c>
      <c r="G12" s="18">
        <f t="shared" si="0"/>
        <v>7.4985195329222476</v>
      </c>
      <c r="H12" s="11">
        <f t="shared" si="1"/>
        <v>7.9348799910973611</v>
      </c>
    </row>
    <row r="13" spans="1:8" x14ac:dyDescent="0.2">
      <c r="A13">
        <v>12</v>
      </c>
      <c r="B13">
        <v>12</v>
      </c>
      <c r="C13">
        <v>61</v>
      </c>
      <c r="D13" s="7">
        <v>9.0275712625810183</v>
      </c>
      <c r="E13" s="7">
        <v>10.02827085763219</v>
      </c>
      <c r="F13" s="7">
        <v>69.455505982144459</v>
      </c>
      <c r="G13" s="18">
        <f t="shared" si="0"/>
        <v>6.9259702862217907</v>
      </c>
      <c r="H13" s="11">
        <f t="shared" si="1"/>
        <v>7.6937089679962112</v>
      </c>
    </row>
    <row r="14" spans="1:8" x14ac:dyDescent="0.2">
      <c r="A14">
        <v>13</v>
      </c>
      <c r="B14">
        <v>13</v>
      </c>
      <c r="C14">
        <v>62</v>
      </c>
      <c r="D14" s="7">
        <v>8.9451424109615711</v>
      </c>
      <c r="E14" s="7">
        <v>10.730853220156403</v>
      </c>
      <c r="F14" s="7">
        <v>66.500786170352541</v>
      </c>
      <c r="G14" s="18">
        <f t="shared" si="0"/>
        <v>6.1971573747220896</v>
      </c>
      <c r="H14" s="11">
        <f t="shared" si="1"/>
        <v>7.4342903796434854</v>
      </c>
    </row>
    <row r="15" spans="1:8" x14ac:dyDescent="0.2">
      <c r="A15">
        <v>14</v>
      </c>
      <c r="B15">
        <v>14</v>
      </c>
      <c r="C15">
        <v>63</v>
      </c>
      <c r="D15" s="7">
        <v>8.8573156743167853</v>
      </c>
      <c r="E15" s="7">
        <v>11.946186714297982</v>
      </c>
      <c r="F15" s="7">
        <v>63.609001751715546</v>
      </c>
      <c r="G15" s="18">
        <f t="shared" si="0"/>
        <v>5.3246281238501076</v>
      </c>
      <c r="H15" s="11">
        <f t="shared" si="1"/>
        <v>7.1815213650067928</v>
      </c>
    </row>
    <row r="16" spans="1:8" x14ac:dyDescent="0.2">
      <c r="A16">
        <v>15</v>
      </c>
      <c r="B16">
        <v>15</v>
      </c>
      <c r="C16">
        <v>64</v>
      </c>
      <c r="D16" s="7">
        <v>8.7641433153060007</v>
      </c>
      <c r="E16" s="7">
        <v>14.010371932374218</v>
      </c>
      <c r="F16" s="7">
        <v>60.784284330226257</v>
      </c>
      <c r="G16" s="18">
        <f t="shared" si="0"/>
        <v>4.3385203921510502</v>
      </c>
      <c r="H16" s="11">
        <f t="shared" si="1"/>
        <v>6.9355648513951724</v>
      </c>
    </row>
    <row r="17" spans="1:8" x14ac:dyDescent="0.2">
      <c r="A17">
        <v>16</v>
      </c>
      <c r="B17">
        <v>16</v>
      </c>
      <c r="C17">
        <v>65</v>
      </c>
      <c r="D17" s="7">
        <v>13.719337688855308</v>
      </c>
      <c r="E17" s="7">
        <v>14.199094577653192</v>
      </c>
      <c r="F17" s="7">
        <v>73.450812550309934</v>
      </c>
      <c r="G17" s="18">
        <f t="shared" si="0"/>
        <v>5.1729222696993817</v>
      </c>
      <c r="H17" s="11">
        <f t="shared" si="1"/>
        <v>5.3538162130068834</v>
      </c>
    </row>
    <row r="18" spans="1:8" x14ac:dyDescent="0.2">
      <c r="A18">
        <v>17</v>
      </c>
      <c r="B18">
        <v>17</v>
      </c>
      <c r="C18">
        <v>66</v>
      </c>
      <c r="D18" s="7">
        <v>13.554574716593066</v>
      </c>
      <c r="E18" s="7">
        <v>14.617126718798357</v>
      </c>
      <c r="F18" s="7">
        <v>69.987216571012468</v>
      </c>
      <c r="G18" s="18">
        <f t="shared" si="0"/>
        <v>4.7880283120899136</v>
      </c>
      <c r="H18" s="11">
        <f t="shared" si="1"/>
        <v>5.1633649918456248</v>
      </c>
    </row>
    <row r="19" spans="1:8" x14ac:dyDescent="0.2">
      <c r="A19">
        <v>18</v>
      </c>
      <c r="B19">
        <v>18</v>
      </c>
      <c r="C19">
        <v>67</v>
      </c>
      <c r="D19" s="7">
        <v>13.381160559728611</v>
      </c>
      <c r="E19" s="7">
        <v>15.418840179267717</v>
      </c>
      <c r="F19" s="7">
        <v>66.638723497352032</v>
      </c>
      <c r="G19" s="18">
        <f t="shared" si="0"/>
        <v>4.3219024727265118</v>
      </c>
      <c r="H19" s="11">
        <f t="shared" si="1"/>
        <v>4.9800406474386971</v>
      </c>
    </row>
    <row r="20" spans="1:8" x14ac:dyDescent="0.2">
      <c r="A20">
        <v>19</v>
      </c>
      <c r="B20">
        <v>19</v>
      </c>
      <c r="C20">
        <v>68</v>
      </c>
      <c r="D20" s="7">
        <v>13.197526064807992</v>
      </c>
      <c r="E20" s="7">
        <v>16.859768781629047</v>
      </c>
      <c r="F20" s="7">
        <v>63.387902667948062</v>
      </c>
      <c r="G20" s="18">
        <f t="shared" si="0"/>
        <v>3.7597136407361402</v>
      </c>
      <c r="H20" s="11">
        <f t="shared" si="1"/>
        <v>4.8030140161629058</v>
      </c>
    </row>
    <row r="21" spans="1:8" x14ac:dyDescent="0.2">
      <c r="A21">
        <v>20</v>
      </c>
      <c r="B21">
        <v>20</v>
      </c>
      <c r="C21">
        <v>69</v>
      </c>
      <c r="D21" s="7">
        <v>13.003134973166377</v>
      </c>
      <c r="E21" s="7">
        <v>19.361562180357229</v>
      </c>
      <c r="F21" s="7">
        <v>60.226940903540559</v>
      </c>
      <c r="G21" s="18">
        <f t="shared" si="0"/>
        <v>3.1106447063781992</v>
      </c>
      <c r="H21" s="11">
        <f t="shared" si="1"/>
        <v>4.6317246593091985</v>
      </c>
    </row>
    <row r="22" spans="1:8" x14ac:dyDescent="0.2">
      <c r="A22">
        <v>21</v>
      </c>
      <c r="B22">
        <v>21</v>
      </c>
      <c r="C22">
        <v>70</v>
      </c>
      <c r="D22" s="7">
        <v>19.538007483339051</v>
      </c>
      <c r="E22" s="7">
        <v>19.247010804685345</v>
      </c>
      <c r="F22" s="7">
        <v>74.138296162441705</v>
      </c>
      <c r="G22" s="18">
        <f t="shared" si="0"/>
        <v>3.8519382004188434</v>
      </c>
      <c r="H22" s="11">
        <f t="shared" si="1"/>
        <v>3.7945679069712104</v>
      </c>
    </row>
    <row r="23" spans="1:8" x14ac:dyDescent="0.2">
      <c r="A23">
        <v>22</v>
      </c>
      <c r="B23">
        <v>22</v>
      </c>
      <c r="C23">
        <v>71</v>
      </c>
      <c r="D23" s="7">
        <v>19.201605323612398</v>
      </c>
      <c r="E23" s="7">
        <v>19.276379663608502</v>
      </c>
      <c r="F23" s="7">
        <v>70.186081085910587</v>
      </c>
      <c r="G23" s="18">
        <f t="shared" si="0"/>
        <v>3.6410406056907827</v>
      </c>
      <c r="H23" s="11">
        <f t="shared" si="1"/>
        <v>3.6552194414496215</v>
      </c>
    </row>
    <row r="24" spans="1:8" x14ac:dyDescent="0.2">
      <c r="A24">
        <v>23</v>
      </c>
      <c r="B24">
        <v>23</v>
      </c>
      <c r="C24">
        <v>72</v>
      </c>
      <c r="D24" s="7">
        <v>18.844348718183962</v>
      </c>
      <c r="E24" s="7">
        <v>19.556563186588011</v>
      </c>
      <c r="F24" s="7">
        <v>66.356823668256553</v>
      </c>
      <c r="G24" s="18">
        <f t="shared" si="0"/>
        <v>3.3930718314434918</v>
      </c>
      <c r="H24" s="11">
        <f t="shared" si="1"/>
        <v>3.521311596416445</v>
      </c>
    </row>
    <row r="25" spans="1:8" x14ac:dyDescent="0.2">
      <c r="A25">
        <v>24</v>
      </c>
      <c r="B25">
        <v>24</v>
      </c>
      <c r="C25">
        <v>73</v>
      </c>
      <c r="D25" s="7">
        <v>18.466518557496236</v>
      </c>
      <c r="E25" s="7">
        <v>20.263618291677577</v>
      </c>
      <c r="F25" s="7">
        <v>62.641056168858817</v>
      </c>
      <c r="G25" s="18">
        <f t="shared" si="0"/>
        <v>3.0913065607135906</v>
      </c>
      <c r="H25" s="11">
        <f t="shared" si="1"/>
        <v>3.3921421611671638</v>
      </c>
    </row>
    <row r="26" spans="1:8" x14ac:dyDescent="0.2">
      <c r="A26">
        <v>25</v>
      </c>
      <c r="B26">
        <v>25</v>
      </c>
      <c r="C26">
        <v>74</v>
      </c>
      <c r="D26" s="7">
        <v>18.057595843887864</v>
      </c>
      <c r="E26" s="7">
        <v>21.694637570371988</v>
      </c>
      <c r="F26" s="7">
        <v>58.998559488801419</v>
      </c>
      <c r="G26" s="18">
        <f t="shared" si="0"/>
        <v>2.7194996596474508</v>
      </c>
      <c r="H26" s="11">
        <f t="shared" si="1"/>
        <v>3.2672433251279824</v>
      </c>
    </row>
    <row r="27" spans="1:8" x14ac:dyDescent="0.2">
      <c r="A27">
        <v>26</v>
      </c>
      <c r="B27">
        <v>26</v>
      </c>
      <c r="C27">
        <v>75</v>
      </c>
      <c r="D27" s="7">
        <v>22.731249741364358</v>
      </c>
      <c r="E27" s="7">
        <v>21.022097730444909</v>
      </c>
      <c r="F27" s="7">
        <v>71.519137980345931</v>
      </c>
      <c r="G27" s="18">
        <f t="shared" si="0"/>
        <v>3.4020933066432049</v>
      </c>
      <c r="H27" s="11">
        <f t="shared" si="1"/>
        <v>3.1462915059263814</v>
      </c>
    </row>
    <row r="28" spans="1:8" x14ac:dyDescent="0.2">
      <c r="A28">
        <v>27</v>
      </c>
      <c r="B28">
        <v>27</v>
      </c>
      <c r="C28">
        <v>76</v>
      </c>
      <c r="D28" s="7">
        <v>22.12801683373949</v>
      </c>
      <c r="E28" s="7">
        <v>20.304604928633061</v>
      </c>
      <c r="F28" s="7">
        <v>67.247262012730474</v>
      </c>
      <c r="G28" s="18">
        <f t="shared" si="0"/>
        <v>3.3119217167284067</v>
      </c>
      <c r="H28" s="11">
        <f t="shared" si="1"/>
        <v>3.0390098904026424</v>
      </c>
    </row>
    <row r="29" spans="1:8" x14ac:dyDescent="0.2">
      <c r="A29">
        <v>28</v>
      </c>
      <c r="B29">
        <v>28</v>
      </c>
      <c r="C29">
        <v>77</v>
      </c>
      <c r="D29" s="7">
        <v>21.484744588008866</v>
      </c>
      <c r="E29" s="7">
        <v>19.538972176328659</v>
      </c>
      <c r="F29" s="7">
        <v>63.186798234911848</v>
      </c>
      <c r="G29" s="18">
        <f t="shared" si="0"/>
        <v>3.2338854707752875</v>
      </c>
      <c r="H29" s="11">
        <f t="shared" si="1"/>
        <v>2.9410076520145307</v>
      </c>
    </row>
    <row r="30" spans="1:8" x14ac:dyDescent="0.2">
      <c r="A30">
        <v>29</v>
      </c>
      <c r="B30">
        <v>29</v>
      </c>
      <c r="C30">
        <v>78</v>
      </c>
      <c r="D30" s="7">
        <v>20.792677498891628</v>
      </c>
      <c r="E30" s="7">
        <v>18.725624452170614</v>
      </c>
      <c r="F30" s="7">
        <v>59.250665003062799</v>
      </c>
      <c r="G30" s="18">
        <f t="shared" si="0"/>
        <v>3.1641489529175435</v>
      </c>
      <c r="H30" s="11">
        <f t="shared" si="1"/>
        <v>2.8495928437413225</v>
      </c>
    </row>
    <row r="31" spans="1:8" x14ac:dyDescent="0.2">
      <c r="A31">
        <v>30</v>
      </c>
      <c r="B31">
        <v>30</v>
      </c>
      <c r="C31">
        <v>79</v>
      </c>
      <c r="D31" s="7">
        <v>20.052006798667662</v>
      </c>
      <c r="E31" s="7">
        <v>17.865137929975614</v>
      </c>
      <c r="F31" s="7">
        <v>55.405795818313088</v>
      </c>
      <c r="G31" s="18">
        <f t="shared" si="0"/>
        <v>3.1013360230120943</v>
      </c>
      <c r="H31" s="11">
        <f t="shared" si="1"/>
        <v>2.7631047792181316</v>
      </c>
    </row>
    <row r="32" spans="1:8" x14ac:dyDescent="0.2">
      <c r="A32" s="4">
        <v>31</v>
      </c>
      <c r="B32" s="4">
        <v>31</v>
      </c>
      <c r="C32" s="4">
        <v>80</v>
      </c>
      <c r="D32" s="8">
        <v>19.265504244223074</v>
      </c>
      <c r="E32" s="8">
        <v>16.956603865557589</v>
      </c>
      <c r="F32" s="8">
        <v>51.641360277802299</v>
      </c>
      <c r="G32" s="19">
        <f t="shared" si="0"/>
        <v>3.0455013685079186</v>
      </c>
      <c r="H32" s="11">
        <f t="shared" si="1"/>
        <v>2.6805091433455424</v>
      </c>
    </row>
    <row r="33" spans="1:8" x14ac:dyDescent="0.2">
      <c r="A33">
        <v>32</v>
      </c>
      <c r="B33">
        <v>32</v>
      </c>
      <c r="C33">
        <v>81</v>
      </c>
      <c r="D33" s="7">
        <v>18.430062548727161</v>
      </c>
      <c r="E33" s="7"/>
      <c r="F33" s="7"/>
      <c r="G33" s="7"/>
      <c r="H33" s="7"/>
    </row>
    <row r="34" spans="1:8" x14ac:dyDescent="0.2">
      <c r="A34">
        <v>33</v>
      </c>
      <c r="B34">
        <v>33</v>
      </c>
      <c r="C34">
        <v>82</v>
      </c>
      <c r="D34" s="7">
        <v>17.546988193661363</v>
      </c>
      <c r="E34" s="7"/>
      <c r="F34" s="7"/>
      <c r="G34" s="7"/>
      <c r="H34" s="7"/>
    </row>
    <row r="35" spans="1:8" x14ac:dyDescent="0.2">
      <c r="A35">
        <v>34</v>
      </c>
      <c r="B35">
        <v>34</v>
      </c>
      <c r="C35">
        <v>83</v>
      </c>
      <c r="D35" s="7">
        <v>16.609625673637918</v>
      </c>
      <c r="E35" s="7"/>
      <c r="F35" s="7"/>
      <c r="G35" s="7"/>
      <c r="H35" s="7"/>
    </row>
    <row r="36" spans="1:8" x14ac:dyDescent="0.2">
      <c r="A36">
        <v>35</v>
      </c>
      <c r="B36">
        <v>35</v>
      </c>
      <c r="C36">
        <v>84</v>
      </c>
      <c r="D36" s="7">
        <v>15.620750172375882</v>
      </c>
      <c r="E36" s="7"/>
      <c r="F36" s="7"/>
      <c r="G36" s="7"/>
      <c r="H36" s="7"/>
    </row>
    <row r="37" spans="1:8" x14ac:dyDescent="0.2">
      <c r="A37">
        <v>36</v>
      </c>
      <c r="B37">
        <v>36</v>
      </c>
      <c r="C37">
        <v>85</v>
      </c>
      <c r="D37" s="7">
        <v>14.585919173856549</v>
      </c>
      <c r="E37" s="7"/>
      <c r="F37" s="7"/>
      <c r="G37" s="7"/>
      <c r="H37" s="7"/>
    </row>
    <row r="38" spans="1:8" x14ac:dyDescent="0.2">
      <c r="A38">
        <v>37</v>
      </c>
      <c r="B38">
        <v>37</v>
      </c>
      <c r="C38">
        <v>86</v>
      </c>
      <c r="D38" s="7">
        <v>13.495737232364474</v>
      </c>
      <c r="E38" s="7"/>
      <c r="F38" s="7"/>
      <c r="G38" s="7"/>
      <c r="H38" s="7"/>
    </row>
    <row r="39" spans="1:8" x14ac:dyDescent="0.2">
      <c r="A39">
        <v>38</v>
      </c>
      <c r="B39">
        <v>38</v>
      </c>
      <c r="C39">
        <v>87</v>
      </c>
      <c r="D39" s="7">
        <v>12.372494355817473</v>
      </c>
      <c r="E39" s="7"/>
      <c r="F39" s="7"/>
      <c r="G39" s="7"/>
      <c r="H39" s="7"/>
    </row>
    <row r="40" spans="1:8" x14ac:dyDescent="0.2">
      <c r="A40">
        <v>39</v>
      </c>
      <c r="B40">
        <v>39</v>
      </c>
      <c r="C40">
        <v>88</v>
      </c>
      <c r="D40" s="7">
        <v>11.235413335309353</v>
      </c>
      <c r="E40" s="7"/>
      <c r="F40" s="7"/>
      <c r="G40" s="7"/>
      <c r="H40" s="7"/>
    </row>
    <row r="41" spans="1:8" x14ac:dyDescent="0.2">
      <c r="A41">
        <v>40</v>
      </c>
      <c r="B41">
        <v>40</v>
      </c>
      <c r="C41">
        <v>89</v>
      </c>
      <c r="D41" s="7">
        <v>10.073302496706672</v>
      </c>
      <c r="E41" s="7"/>
      <c r="F41" s="7"/>
      <c r="G41" s="7"/>
      <c r="H41" s="7"/>
    </row>
    <row r="42" spans="1:8" x14ac:dyDescent="0.2">
      <c r="A42">
        <v>41</v>
      </c>
      <c r="B42">
        <v>41</v>
      </c>
      <c r="C42">
        <v>90</v>
      </c>
      <c r="D42" s="7">
        <v>8.9035981280475216</v>
      </c>
      <c r="E42" s="7"/>
      <c r="F42" s="7"/>
      <c r="G42" s="7"/>
      <c r="H42" s="7"/>
    </row>
    <row r="43" spans="1:8" x14ac:dyDescent="0.2">
      <c r="A43">
        <v>42</v>
      </c>
      <c r="B43">
        <v>42</v>
      </c>
      <c r="C43">
        <v>91</v>
      </c>
      <c r="D43" s="7">
        <v>7.7460785940581296</v>
      </c>
      <c r="E43" s="7"/>
      <c r="F43" s="7"/>
      <c r="G43" s="7"/>
      <c r="H43" s="7"/>
    </row>
    <row r="44" spans="1:8" x14ac:dyDescent="0.2">
      <c r="A44">
        <v>43</v>
      </c>
      <c r="B44">
        <v>43</v>
      </c>
      <c r="C44">
        <v>92</v>
      </c>
      <c r="D44" s="7">
        <v>6.6219789133569638</v>
      </c>
      <c r="E44" s="7"/>
      <c r="F44" s="7"/>
      <c r="G44" s="7"/>
      <c r="H44" s="7"/>
    </row>
    <row r="45" spans="1:8" x14ac:dyDescent="0.2">
      <c r="A45">
        <v>44</v>
      </c>
      <c r="B45">
        <v>44</v>
      </c>
      <c r="C45">
        <v>93</v>
      </c>
      <c r="D45" s="7">
        <v>5.5527757313004065</v>
      </c>
      <c r="E45" s="7"/>
      <c r="F45" s="7"/>
      <c r="G45" s="7"/>
      <c r="H45" s="7"/>
    </row>
    <row r="46" spans="1:8" x14ac:dyDescent="0.2">
      <c r="A46">
        <v>45</v>
      </c>
      <c r="B46">
        <v>45</v>
      </c>
      <c r="C46">
        <v>94</v>
      </c>
      <c r="D46" s="7">
        <v>4.5587208251216325</v>
      </c>
      <c r="E46" s="7"/>
      <c r="F46" s="7"/>
      <c r="G46" s="7"/>
      <c r="H46" s="7"/>
    </row>
    <row r="47" spans="1:8" x14ac:dyDescent="0.2">
      <c r="A47">
        <v>46</v>
      </c>
      <c r="B47">
        <v>46</v>
      </c>
      <c r="C47">
        <v>95</v>
      </c>
      <c r="D47" s="7">
        <v>3.6572714176697598</v>
      </c>
      <c r="E47" s="7"/>
      <c r="F47" s="7"/>
      <c r="G47" s="7"/>
      <c r="H47" s="7"/>
    </row>
    <row r="48" spans="1:8" x14ac:dyDescent="0.2">
      <c r="A48">
        <v>47</v>
      </c>
      <c r="B48">
        <v>47</v>
      </c>
      <c r="C48">
        <v>96</v>
      </c>
      <c r="D48" s="7">
        <v>2.8616217841015499</v>
      </c>
      <c r="E48" s="7"/>
      <c r="F48" s="7"/>
      <c r="G48" s="7"/>
      <c r="H48" s="7"/>
    </row>
    <row r="49" spans="1:8" x14ac:dyDescent="0.2">
      <c r="A49">
        <v>48</v>
      </c>
      <c r="B49">
        <v>48</v>
      </c>
      <c r="C49">
        <v>97</v>
      </c>
      <c r="D49" s="7">
        <v>2.1795693800167406</v>
      </c>
      <c r="E49" s="7"/>
      <c r="F49" s="7"/>
      <c r="G49" s="7"/>
      <c r="H49" s="7"/>
    </row>
    <row r="50" spans="1:8" x14ac:dyDescent="0.2">
      <c r="A50">
        <v>49</v>
      </c>
      <c r="B50">
        <v>49</v>
      </c>
      <c r="C50">
        <v>98</v>
      </c>
      <c r="D50" s="7">
        <v>1.6129269673912008</v>
      </c>
      <c r="E50" s="7"/>
      <c r="F50" s="7"/>
      <c r="G50" s="7"/>
      <c r="H50" s="7"/>
    </row>
    <row r="51" spans="1:8" x14ac:dyDescent="0.2">
      <c r="A51">
        <v>50</v>
      </c>
      <c r="B51">
        <v>50</v>
      </c>
      <c r="C51">
        <v>99</v>
      </c>
      <c r="D51" s="7">
        <v>1.1576149024990792</v>
      </c>
      <c r="E51" s="7"/>
      <c r="F51" s="7"/>
      <c r="G51" s="7"/>
      <c r="H51" s="7"/>
    </row>
    <row r="52" spans="1:8" x14ac:dyDescent="0.2">
      <c r="E52" s="6"/>
    </row>
    <row r="53" spans="1:8" x14ac:dyDescent="0.2">
      <c r="E53" s="6"/>
    </row>
    <row r="54" spans="1:8" x14ac:dyDescent="0.2">
      <c r="E54" s="6"/>
    </row>
    <row r="55" spans="1:8" x14ac:dyDescent="0.2">
      <c r="E55" s="6"/>
    </row>
    <row r="56" spans="1:8" x14ac:dyDescent="0.2">
      <c r="E56" s="6"/>
    </row>
    <row r="57" spans="1:8" x14ac:dyDescent="0.2">
      <c r="E57" s="6"/>
    </row>
    <row r="58" spans="1:8" x14ac:dyDescent="0.2">
      <c r="E58" s="6"/>
    </row>
    <row r="59" spans="1:8" x14ac:dyDescent="0.2">
      <c r="E59" s="6"/>
    </row>
    <row r="60" spans="1:8" x14ac:dyDescent="0.2">
      <c r="E60" s="6"/>
    </row>
    <row r="61" spans="1:8" x14ac:dyDescent="0.2">
      <c r="E61" s="6"/>
    </row>
    <row r="62" spans="1:8" x14ac:dyDescent="0.2">
      <c r="E62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69421-4DEE-F64A-A283-87A4D103AF38}">
  <dimension ref="A1:H62"/>
  <sheetViews>
    <sheetView workbookViewId="0">
      <selection activeCell="M10" sqref="M10"/>
    </sheetView>
  </sheetViews>
  <sheetFormatPr baseColWidth="10" defaultRowHeight="16" x14ac:dyDescent="0.2"/>
  <cols>
    <col min="7" max="7" width="19.83203125" customWidth="1"/>
    <col min="8" max="8" width="15.5" customWidth="1"/>
  </cols>
  <sheetData>
    <row r="1" spans="1:8" ht="85" x14ac:dyDescent="0.2">
      <c r="A1" s="3" t="s">
        <v>0</v>
      </c>
      <c r="B1" s="3" t="s">
        <v>1</v>
      </c>
      <c r="C1" s="3" t="s">
        <v>2</v>
      </c>
      <c r="D1" s="9" t="s">
        <v>28</v>
      </c>
      <c r="E1" s="9" t="s">
        <v>4</v>
      </c>
      <c r="F1" s="9" t="s">
        <v>5</v>
      </c>
      <c r="G1" s="17" t="s">
        <v>25</v>
      </c>
      <c r="H1" s="10" t="s">
        <v>25</v>
      </c>
    </row>
    <row r="2" spans="1:8" x14ac:dyDescent="0.2">
      <c r="A2">
        <v>1</v>
      </c>
      <c r="B2">
        <v>1</v>
      </c>
      <c r="C2">
        <v>50</v>
      </c>
      <c r="D2" s="7">
        <v>4.4349020000000001</v>
      </c>
      <c r="E2" s="7">
        <v>4.4349020000000001</v>
      </c>
      <c r="F2" s="7">
        <v>68.890364964701348</v>
      </c>
      <c r="G2" s="18">
        <f>F2/E2</f>
        <v>15.533683712673097</v>
      </c>
      <c r="H2" s="11">
        <f>F2/D2</f>
        <v>15.533683712673097</v>
      </c>
    </row>
    <row r="3" spans="1:8" x14ac:dyDescent="0.2">
      <c r="A3">
        <v>2</v>
      </c>
      <c r="B3">
        <v>2</v>
      </c>
      <c r="C3">
        <v>51</v>
      </c>
      <c r="D3" s="7">
        <v>4.4187840382635919</v>
      </c>
      <c r="E3" s="7">
        <v>4.4187840382635919</v>
      </c>
      <c r="F3" s="7">
        <v>66.386555544215383</v>
      </c>
      <c r="G3" s="18">
        <f t="shared" ref="G3:G32" si="0">F3/E3</f>
        <v>15.023715793610652</v>
      </c>
      <c r="H3" s="11">
        <f t="shared" ref="H3:H32" si="1">F3/D3</f>
        <v>15.023715793610652</v>
      </c>
    </row>
    <row r="4" spans="1:8" x14ac:dyDescent="0.2">
      <c r="A4">
        <v>3</v>
      </c>
      <c r="B4">
        <v>3</v>
      </c>
      <c r="C4">
        <v>52</v>
      </c>
      <c r="D4" s="7">
        <v>4.4013590890567409</v>
      </c>
      <c r="E4" s="7">
        <v>4.4013590890567409</v>
      </c>
      <c r="F4" s="7">
        <v>63.945591423018534</v>
      </c>
      <c r="G4" s="18">
        <f t="shared" si="0"/>
        <v>14.528601309084001</v>
      </c>
      <c r="H4" s="11">
        <f t="shared" si="1"/>
        <v>14.528601309084001</v>
      </c>
    </row>
    <row r="5" spans="1:8" x14ac:dyDescent="0.2">
      <c r="A5">
        <v>4</v>
      </c>
      <c r="B5">
        <v>4</v>
      </c>
      <c r="C5">
        <v>53</v>
      </c>
      <c r="D5" s="7">
        <v>4.3824906050514016</v>
      </c>
      <c r="E5" s="7">
        <v>4.3824906050514016</v>
      </c>
      <c r="F5" s="7">
        <v>61.564823230080748</v>
      </c>
      <c r="G5" s="18">
        <f t="shared" si="0"/>
        <v>14.047907634786284</v>
      </c>
      <c r="H5" s="11">
        <f t="shared" si="1"/>
        <v>14.047907634786284</v>
      </c>
    </row>
    <row r="6" spans="1:8" x14ac:dyDescent="0.2">
      <c r="A6">
        <v>5</v>
      </c>
      <c r="B6">
        <v>5</v>
      </c>
      <c r="C6">
        <v>54</v>
      </c>
      <c r="D6" s="7">
        <v>4.3619142062784526</v>
      </c>
      <c r="E6" s="7">
        <v>4.3619142062784526</v>
      </c>
      <c r="F6" s="7">
        <v>59.240093543975021</v>
      </c>
      <c r="G6" s="18">
        <f t="shared" si="0"/>
        <v>13.581214747118596</v>
      </c>
      <c r="H6" s="11">
        <f t="shared" si="1"/>
        <v>13.581214747118596</v>
      </c>
    </row>
    <row r="7" spans="1:8" x14ac:dyDescent="0.2">
      <c r="A7">
        <v>6</v>
      </c>
      <c r="B7">
        <v>6</v>
      </c>
      <c r="C7">
        <v>55</v>
      </c>
      <c r="D7" s="7">
        <v>9.9317088219002567</v>
      </c>
      <c r="E7" s="7">
        <v>9.9317088219002567</v>
      </c>
      <c r="F7" s="7">
        <v>114.06593662410535</v>
      </c>
      <c r="G7" s="18">
        <f t="shared" si="0"/>
        <v>11.485026259789285</v>
      </c>
      <c r="H7" s="11">
        <f t="shared" si="1"/>
        <v>11.485026259789285</v>
      </c>
    </row>
    <row r="8" spans="1:8" x14ac:dyDescent="0.2">
      <c r="A8">
        <v>7</v>
      </c>
      <c r="B8">
        <v>7</v>
      </c>
      <c r="C8">
        <v>56</v>
      </c>
      <c r="D8" s="7">
        <v>9.8747332306437485</v>
      </c>
      <c r="E8" s="7">
        <v>9.8747332306437485</v>
      </c>
      <c r="F8" s="7">
        <v>109.72227383803839</v>
      </c>
      <c r="G8" s="18">
        <f t="shared" si="0"/>
        <v>11.111416508705565</v>
      </c>
      <c r="H8" s="11">
        <f t="shared" si="1"/>
        <v>11.111416508705565</v>
      </c>
    </row>
    <row r="9" spans="1:8" x14ac:dyDescent="0.2">
      <c r="A9">
        <v>8</v>
      </c>
      <c r="B9">
        <v>8</v>
      </c>
      <c r="C9">
        <v>57</v>
      </c>
      <c r="D9" s="7">
        <v>9.8129571288743964</v>
      </c>
      <c r="E9" s="7">
        <v>9.8129571288743964</v>
      </c>
      <c r="F9" s="7">
        <v>105.4764203746707</v>
      </c>
      <c r="G9" s="18">
        <f t="shared" si="0"/>
        <v>10.748688595032052</v>
      </c>
      <c r="H9" s="11">
        <f t="shared" si="1"/>
        <v>10.748688595032052</v>
      </c>
    </row>
    <row r="10" spans="1:8" x14ac:dyDescent="0.2">
      <c r="A10">
        <v>9</v>
      </c>
      <c r="B10">
        <v>9</v>
      </c>
      <c r="C10">
        <v>58</v>
      </c>
      <c r="D10" s="7">
        <v>9.7464796308601365</v>
      </c>
      <c r="E10" s="7">
        <v>9.7464796308601365</v>
      </c>
      <c r="F10" s="7">
        <v>101.32952471968292</v>
      </c>
      <c r="G10" s="18">
        <f t="shared" si="0"/>
        <v>10.396525572048057</v>
      </c>
      <c r="H10" s="11">
        <f t="shared" si="1"/>
        <v>10.396525572048057</v>
      </c>
    </row>
    <row r="11" spans="1:8" x14ac:dyDescent="0.2">
      <c r="A11">
        <v>10</v>
      </c>
      <c r="B11">
        <v>10</v>
      </c>
      <c r="C11">
        <v>59</v>
      </c>
      <c r="D11" s="7">
        <v>9.6752399076403108</v>
      </c>
      <c r="E11" s="7">
        <v>9.6752399076403108</v>
      </c>
      <c r="F11" s="7">
        <v>97.280858014540613</v>
      </c>
      <c r="G11" s="18">
        <f t="shared" si="0"/>
        <v>10.054619724490779</v>
      </c>
      <c r="H11" s="11">
        <f t="shared" si="1"/>
        <v>10.054619724490779</v>
      </c>
    </row>
    <row r="12" spans="1:8" x14ac:dyDescent="0.2">
      <c r="A12">
        <v>11</v>
      </c>
      <c r="B12">
        <v>11</v>
      </c>
      <c r="C12">
        <v>60</v>
      </c>
      <c r="D12" s="7">
        <v>19.776643812278039</v>
      </c>
      <c r="E12" s="7">
        <v>19.776643812278039</v>
      </c>
      <c r="F12" s="7">
        <v>167.89421298184888</v>
      </c>
      <c r="G12" s="18">
        <f t="shared" si="0"/>
        <v>8.4895199901215914</v>
      </c>
      <c r="H12" s="11">
        <f t="shared" si="1"/>
        <v>8.4895199901215914</v>
      </c>
    </row>
    <row r="13" spans="1:8" x14ac:dyDescent="0.2">
      <c r="A13">
        <v>12</v>
      </c>
      <c r="B13">
        <v>12</v>
      </c>
      <c r="C13">
        <v>61</v>
      </c>
      <c r="D13" s="7">
        <v>19.606823742666876</v>
      </c>
      <c r="E13" s="7">
        <v>19.606823742666876</v>
      </c>
      <c r="F13" s="7">
        <v>160.86651987957055</v>
      </c>
      <c r="G13" s="18">
        <f t="shared" si="0"/>
        <v>8.2046190648159438</v>
      </c>
      <c r="H13" s="11">
        <f t="shared" si="1"/>
        <v>8.2046190648159438</v>
      </c>
    </row>
    <row r="14" spans="1:8" x14ac:dyDescent="0.2">
      <c r="A14">
        <v>13</v>
      </c>
      <c r="B14">
        <v>13</v>
      </c>
      <c r="C14">
        <v>62</v>
      </c>
      <c r="D14" s="7">
        <v>19.425604590292952</v>
      </c>
      <c r="E14" s="7">
        <v>19.425604590292952</v>
      </c>
      <c r="F14" s="7">
        <v>154.00650836670914</v>
      </c>
      <c r="G14" s="18">
        <f t="shared" si="0"/>
        <v>7.9280162247133754</v>
      </c>
      <c r="H14" s="11">
        <f t="shared" si="1"/>
        <v>7.9280162247133754</v>
      </c>
    </row>
    <row r="15" spans="1:8" x14ac:dyDescent="0.2">
      <c r="A15">
        <v>14</v>
      </c>
      <c r="B15">
        <v>14</v>
      </c>
      <c r="C15">
        <v>63</v>
      </c>
      <c r="D15" s="7">
        <v>19.232705182012509</v>
      </c>
      <c r="E15" s="7">
        <v>19.232705182012509</v>
      </c>
      <c r="F15" s="7">
        <v>147.31232409103677</v>
      </c>
      <c r="G15" s="18">
        <f t="shared" si="0"/>
        <v>7.6594697780118528</v>
      </c>
      <c r="H15" s="11">
        <f t="shared" si="1"/>
        <v>7.6594697780118528</v>
      </c>
    </row>
    <row r="16" spans="1:8" x14ac:dyDescent="0.2">
      <c r="A16">
        <v>15</v>
      </c>
      <c r="B16">
        <v>15</v>
      </c>
      <c r="C16">
        <v>64</v>
      </c>
      <c r="D16" s="7">
        <v>19.02824295069993</v>
      </c>
      <c r="E16" s="7">
        <v>19.02824295069993</v>
      </c>
      <c r="F16" s="7">
        <v>140.78511876937478</v>
      </c>
      <c r="G16" s="18">
        <f t="shared" si="0"/>
        <v>7.3987450724763937</v>
      </c>
      <c r="H16" s="11">
        <f t="shared" si="1"/>
        <v>7.3987450724763937</v>
      </c>
    </row>
    <row r="17" spans="1:8" x14ac:dyDescent="0.2">
      <c r="A17">
        <v>16</v>
      </c>
      <c r="B17">
        <v>16</v>
      </c>
      <c r="C17">
        <v>65</v>
      </c>
      <c r="D17" s="7">
        <v>31.966985346656436</v>
      </c>
      <c r="E17" s="7">
        <v>31.966985346656436</v>
      </c>
      <c r="F17" s="7">
        <v>185.21192516227234</v>
      </c>
      <c r="G17" s="18">
        <f t="shared" si="0"/>
        <v>5.7938502224653616</v>
      </c>
      <c r="H17" s="11">
        <f t="shared" si="1"/>
        <v>5.7938502224653616</v>
      </c>
    </row>
    <row r="18" spans="1:8" x14ac:dyDescent="0.2">
      <c r="A18">
        <v>17</v>
      </c>
      <c r="B18">
        <v>17</v>
      </c>
      <c r="C18">
        <v>66</v>
      </c>
      <c r="D18" s="7">
        <v>31.576664315861116</v>
      </c>
      <c r="E18" s="7">
        <v>31.576664315861116</v>
      </c>
      <c r="F18" s="7">
        <v>176.65872445199565</v>
      </c>
      <c r="G18" s="18">
        <f t="shared" si="0"/>
        <v>5.594597411711379</v>
      </c>
      <c r="H18" s="11">
        <f t="shared" si="1"/>
        <v>5.594597411711379</v>
      </c>
    </row>
    <row r="19" spans="1:8" x14ac:dyDescent="0.2">
      <c r="A19">
        <v>18</v>
      </c>
      <c r="B19">
        <v>18</v>
      </c>
      <c r="C19">
        <v>67</v>
      </c>
      <c r="D19" s="7">
        <v>31.166350795893191</v>
      </c>
      <c r="E19" s="7">
        <v>31.166350795893191</v>
      </c>
      <c r="F19" s="7">
        <v>168.33407578934208</v>
      </c>
      <c r="G19" s="18">
        <f t="shared" si="0"/>
        <v>5.4011480808822689</v>
      </c>
      <c r="H19" s="11">
        <f t="shared" si="1"/>
        <v>5.4011480808822689</v>
      </c>
    </row>
    <row r="20" spans="1:8" x14ac:dyDescent="0.2">
      <c r="A20">
        <v>19</v>
      </c>
      <c r="B20">
        <v>19</v>
      </c>
      <c r="C20">
        <v>68</v>
      </c>
      <c r="D20" s="7">
        <v>30.732403004396463</v>
      </c>
      <c r="E20" s="7">
        <v>30.732403004396463</v>
      </c>
      <c r="F20" s="7">
        <v>160.21825679356149</v>
      </c>
      <c r="G20" s="18">
        <f t="shared" si="0"/>
        <v>5.2133331965821634</v>
      </c>
      <c r="H20" s="11">
        <f t="shared" si="1"/>
        <v>5.2133331965821634</v>
      </c>
    </row>
    <row r="21" spans="1:8" x14ac:dyDescent="0.2">
      <c r="A21">
        <v>20</v>
      </c>
      <c r="B21">
        <v>20</v>
      </c>
      <c r="C21">
        <v>69</v>
      </c>
      <c r="D21" s="7">
        <v>30.27358688233122</v>
      </c>
      <c r="E21" s="7">
        <v>30.27358688233122</v>
      </c>
      <c r="F21" s="7">
        <v>152.30607196098603</v>
      </c>
      <c r="G21" s="18">
        <f t="shared" si="0"/>
        <v>5.030988648717984</v>
      </c>
      <c r="H21" s="11">
        <f t="shared" si="1"/>
        <v>5.030988648717984</v>
      </c>
    </row>
    <row r="22" spans="1:8" x14ac:dyDescent="0.2">
      <c r="A22">
        <v>21</v>
      </c>
      <c r="B22">
        <v>21</v>
      </c>
      <c r="C22">
        <v>70</v>
      </c>
      <c r="D22" s="7">
        <v>46.974154729016739</v>
      </c>
      <c r="E22" s="7">
        <v>46.974154729016739</v>
      </c>
      <c r="F22" s="7">
        <v>176.1228359057159</v>
      </c>
      <c r="G22" s="18">
        <f t="shared" si="0"/>
        <v>3.7493561496045786</v>
      </c>
      <c r="H22" s="11">
        <f t="shared" si="1"/>
        <v>3.7493561496045786</v>
      </c>
    </row>
    <row r="23" spans="1:8" x14ac:dyDescent="0.2">
      <c r="A23">
        <v>22</v>
      </c>
      <c r="B23">
        <v>22</v>
      </c>
      <c r="C23">
        <v>71</v>
      </c>
      <c r="D23" s="7">
        <v>46.150226653995169</v>
      </c>
      <c r="E23" s="7">
        <v>46.150226653995169</v>
      </c>
      <c r="F23" s="7">
        <v>166.82553262924827</v>
      </c>
      <c r="G23" s="18">
        <f t="shared" si="0"/>
        <v>3.614836691485813</v>
      </c>
      <c r="H23" s="11">
        <f t="shared" si="1"/>
        <v>3.614836691485813</v>
      </c>
    </row>
    <row r="24" spans="1:8" x14ac:dyDescent="0.2">
      <c r="A24">
        <v>23</v>
      </c>
      <c r="B24">
        <v>23</v>
      </c>
      <c r="C24">
        <v>72</v>
      </c>
      <c r="D24" s="7">
        <v>45.276727440467923</v>
      </c>
      <c r="E24" s="7">
        <v>45.276727440467923</v>
      </c>
      <c r="F24" s="7">
        <v>157.75477092251393</v>
      </c>
      <c r="G24" s="18">
        <f t="shared" si="0"/>
        <v>3.4842352758365251</v>
      </c>
      <c r="H24" s="11">
        <f t="shared" si="1"/>
        <v>3.4842352758365251</v>
      </c>
    </row>
    <row r="25" spans="1:8" x14ac:dyDescent="0.2">
      <c r="A25">
        <v>24</v>
      </c>
      <c r="B25">
        <v>24</v>
      </c>
      <c r="C25">
        <v>73</v>
      </c>
      <c r="D25" s="7">
        <v>44.35438077223526</v>
      </c>
      <c r="E25" s="7">
        <v>44.35438077223526</v>
      </c>
      <c r="F25" s="7">
        <v>148.91707393120495</v>
      </c>
      <c r="G25" s="18">
        <f t="shared" si="0"/>
        <v>3.357437784914886</v>
      </c>
      <c r="H25" s="11">
        <f t="shared" si="1"/>
        <v>3.357437784914886</v>
      </c>
    </row>
    <row r="26" spans="1:8" x14ac:dyDescent="0.2">
      <c r="A26">
        <v>25</v>
      </c>
      <c r="B26">
        <v>25</v>
      </c>
      <c r="C26">
        <v>74</v>
      </c>
      <c r="D26" s="7">
        <v>43.357977873923616</v>
      </c>
      <c r="E26" s="7">
        <v>43.357977873923616</v>
      </c>
      <c r="F26" s="7">
        <v>140.23415706923083</v>
      </c>
      <c r="G26" s="18">
        <f t="shared" si="0"/>
        <v>3.2343334247967905</v>
      </c>
      <c r="H26" s="11">
        <f t="shared" si="1"/>
        <v>3.2343334247967905</v>
      </c>
    </row>
    <row r="27" spans="1:8" x14ac:dyDescent="0.2">
      <c r="A27">
        <v>26</v>
      </c>
      <c r="B27">
        <v>26</v>
      </c>
      <c r="C27">
        <v>75</v>
      </c>
      <c r="D27" s="7">
        <v>54.330760992591252</v>
      </c>
      <c r="E27" s="7">
        <v>54.330760992591252</v>
      </c>
      <c r="F27" s="7">
        <v>155.62748977951944</v>
      </c>
      <c r="G27" s="18">
        <f t="shared" si="0"/>
        <v>2.8644452412647303</v>
      </c>
      <c r="H27" s="11">
        <f t="shared" si="1"/>
        <v>2.8644452412647303</v>
      </c>
    </row>
    <row r="28" spans="1:8" x14ac:dyDescent="0.2">
      <c r="A28">
        <v>27</v>
      </c>
      <c r="B28">
        <v>27</v>
      </c>
      <c r="C28">
        <v>76</v>
      </c>
      <c r="D28" s="7">
        <v>52.866748433125515</v>
      </c>
      <c r="E28" s="7">
        <v>52.866748433125515</v>
      </c>
      <c r="F28" s="7">
        <v>147.02320968000581</v>
      </c>
      <c r="G28" s="18">
        <f t="shared" si="0"/>
        <v>2.7810147973443975</v>
      </c>
      <c r="H28" s="11">
        <f t="shared" si="1"/>
        <v>2.7810147973443975</v>
      </c>
    </row>
    <row r="29" spans="1:8" x14ac:dyDescent="0.2">
      <c r="A29">
        <v>28</v>
      </c>
      <c r="B29">
        <v>28</v>
      </c>
      <c r="C29">
        <v>77</v>
      </c>
      <c r="D29" s="7">
        <v>51.308336473265555</v>
      </c>
      <c r="E29" s="7">
        <v>51.308336473265555</v>
      </c>
      <c r="F29" s="7">
        <v>138.53324559153089</v>
      </c>
      <c r="G29" s="18">
        <f t="shared" si="0"/>
        <v>2.700014366353785</v>
      </c>
      <c r="H29" s="11">
        <f t="shared" si="1"/>
        <v>2.700014366353785</v>
      </c>
    </row>
    <row r="30" spans="1:8" x14ac:dyDescent="0.2">
      <c r="A30">
        <v>29</v>
      </c>
      <c r="B30">
        <v>29</v>
      </c>
      <c r="C30">
        <v>78</v>
      </c>
      <c r="D30" s="7">
        <v>49.634744282359364</v>
      </c>
      <c r="E30" s="7">
        <v>49.634744282359364</v>
      </c>
      <c r="F30" s="7">
        <v>130.11118702200648</v>
      </c>
      <c r="G30" s="18">
        <f t="shared" si="0"/>
        <v>2.6213731712172668</v>
      </c>
      <c r="H30" s="11">
        <f t="shared" si="1"/>
        <v>2.6213731712172668</v>
      </c>
    </row>
    <row r="31" spans="1:8" x14ac:dyDescent="0.2">
      <c r="A31">
        <v>30</v>
      </c>
      <c r="B31">
        <v>30</v>
      </c>
      <c r="C31">
        <v>79</v>
      </c>
      <c r="D31" s="7">
        <v>47.846574052561671</v>
      </c>
      <c r="E31" s="7">
        <v>47.846574052561671</v>
      </c>
      <c r="F31" s="7">
        <v>121.77060733596639</v>
      </c>
      <c r="G31" s="18">
        <f t="shared" si="0"/>
        <v>2.5450224963274435</v>
      </c>
      <c r="H31" s="11">
        <f t="shared" si="1"/>
        <v>2.5450224963274435</v>
      </c>
    </row>
    <row r="32" spans="1:8" x14ac:dyDescent="0.2">
      <c r="A32" s="4">
        <v>31</v>
      </c>
      <c r="B32" s="4">
        <v>31</v>
      </c>
      <c r="C32" s="4">
        <v>80</v>
      </c>
      <c r="D32" s="8">
        <v>45.950581953560501</v>
      </c>
      <c r="E32" s="8">
        <v>45.950581953560501</v>
      </c>
      <c r="F32" s="8">
        <v>113.53909203024206</v>
      </c>
      <c r="G32" s="19">
        <f t="shared" si="0"/>
        <v>2.4708956275023723</v>
      </c>
      <c r="H32" s="11">
        <f t="shared" si="1"/>
        <v>2.4708956275023723</v>
      </c>
    </row>
    <row r="33" spans="1:8" x14ac:dyDescent="0.2">
      <c r="A33">
        <v>32</v>
      </c>
      <c r="B33">
        <v>32</v>
      </c>
      <c r="C33">
        <v>81</v>
      </c>
      <c r="D33" s="7">
        <v>43.939496580192902</v>
      </c>
      <c r="E33" s="7"/>
      <c r="F33" s="7"/>
      <c r="G33" s="7"/>
      <c r="H33" s="7"/>
    </row>
    <row r="34" spans="1:8" x14ac:dyDescent="0.2">
      <c r="A34">
        <v>33</v>
      </c>
      <c r="B34">
        <v>33</v>
      </c>
      <c r="C34">
        <v>82</v>
      </c>
      <c r="D34" s="7">
        <v>41.81657739210501</v>
      </c>
      <c r="E34" s="7"/>
      <c r="F34" s="7"/>
      <c r="G34" s="7"/>
      <c r="H34" s="7"/>
    </row>
    <row r="35" spans="1:8" x14ac:dyDescent="0.2">
      <c r="A35">
        <v>34</v>
      </c>
      <c r="B35">
        <v>34</v>
      </c>
      <c r="C35">
        <v>83</v>
      </c>
      <c r="D35" s="7">
        <v>39.566112093904657</v>
      </c>
      <c r="E35" s="7"/>
      <c r="F35" s="7"/>
      <c r="G35" s="7"/>
      <c r="H35" s="7"/>
    </row>
    <row r="36" spans="1:8" x14ac:dyDescent="0.2">
      <c r="A36">
        <v>35</v>
      </c>
      <c r="B36">
        <v>35</v>
      </c>
      <c r="C36">
        <v>84</v>
      </c>
      <c r="D36" s="7">
        <v>37.194870491301295</v>
      </c>
      <c r="E36" s="7"/>
      <c r="F36" s="7"/>
      <c r="G36" s="7"/>
      <c r="H36" s="7"/>
    </row>
    <row r="37" spans="1:8" x14ac:dyDescent="0.2">
      <c r="A37">
        <v>36</v>
      </c>
      <c r="B37">
        <v>36</v>
      </c>
      <c r="C37">
        <v>85</v>
      </c>
      <c r="D37" s="7">
        <v>34.71623336449251</v>
      </c>
      <c r="E37" s="7"/>
      <c r="F37" s="7"/>
      <c r="G37" s="7"/>
      <c r="H37" s="7"/>
    </row>
    <row r="38" spans="1:8" x14ac:dyDescent="0.2">
      <c r="A38">
        <v>37</v>
      </c>
      <c r="B38">
        <v>37</v>
      </c>
      <c r="C38">
        <v>86</v>
      </c>
      <c r="D38" s="7">
        <v>32.107984330782578</v>
      </c>
      <c r="E38" s="7"/>
      <c r="F38" s="7"/>
      <c r="G38" s="7"/>
      <c r="H38" s="7"/>
    </row>
    <row r="39" spans="1:8" x14ac:dyDescent="0.2">
      <c r="A39">
        <v>38</v>
      </c>
      <c r="B39">
        <v>38</v>
      </c>
      <c r="C39">
        <v>87</v>
      </c>
      <c r="D39" s="7">
        <v>29.4232962923545</v>
      </c>
      <c r="E39" s="7"/>
      <c r="F39" s="7"/>
      <c r="G39" s="7"/>
      <c r="H39" s="7"/>
    </row>
    <row r="40" spans="1:8" x14ac:dyDescent="0.2">
      <c r="A40">
        <v>39</v>
      </c>
      <c r="B40">
        <v>39</v>
      </c>
      <c r="C40">
        <v>88</v>
      </c>
      <c r="D40" s="7">
        <v>26.707961842719097</v>
      </c>
      <c r="E40" s="7"/>
      <c r="F40" s="7"/>
      <c r="G40" s="7"/>
      <c r="H40" s="7"/>
    </row>
    <row r="41" spans="1:8" x14ac:dyDescent="0.2">
      <c r="A41">
        <v>40</v>
      </c>
      <c r="B41">
        <v>40</v>
      </c>
      <c r="C41">
        <v>89</v>
      </c>
      <c r="D41" s="7">
        <v>23.935428178626879</v>
      </c>
      <c r="E41" s="7"/>
      <c r="F41" s="7"/>
      <c r="G41" s="7"/>
      <c r="H41" s="7"/>
    </row>
    <row r="42" spans="1:8" x14ac:dyDescent="0.2">
      <c r="A42">
        <v>41</v>
      </c>
      <c r="B42">
        <v>41</v>
      </c>
      <c r="C42">
        <v>90</v>
      </c>
      <c r="D42" s="7">
        <v>21.147182185404862</v>
      </c>
      <c r="E42" s="7"/>
      <c r="F42" s="7"/>
      <c r="G42" s="7"/>
      <c r="H42" s="7"/>
    </row>
    <row r="43" spans="1:8" x14ac:dyDescent="0.2">
      <c r="A43">
        <v>42</v>
      </c>
      <c r="B43">
        <v>42</v>
      </c>
      <c r="C43">
        <v>91</v>
      </c>
      <c r="D43" s="7">
        <v>18.390201535763222</v>
      </c>
      <c r="E43" s="7"/>
      <c r="F43" s="7"/>
      <c r="G43" s="7"/>
      <c r="H43" s="7"/>
    </row>
    <row r="44" spans="1:8" x14ac:dyDescent="0.2">
      <c r="A44">
        <v>43</v>
      </c>
      <c r="B44">
        <v>43</v>
      </c>
      <c r="C44">
        <v>92</v>
      </c>
      <c r="D44" s="7">
        <v>15.714841863999784</v>
      </c>
      <c r="E44" s="7"/>
      <c r="F44" s="7"/>
      <c r="G44" s="7"/>
      <c r="H44" s="7"/>
    </row>
    <row r="45" spans="1:8" x14ac:dyDescent="0.2">
      <c r="A45">
        <v>44</v>
      </c>
      <c r="B45">
        <v>44</v>
      </c>
      <c r="C45">
        <v>93</v>
      </c>
      <c r="D45" s="7">
        <v>13.171947380933808</v>
      </c>
      <c r="E45" s="7"/>
      <c r="F45" s="7"/>
      <c r="G45" s="7"/>
      <c r="H45" s="7"/>
    </row>
    <row r="46" spans="1:8" x14ac:dyDescent="0.2">
      <c r="A46">
        <v>45</v>
      </c>
      <c r="B46">
        <v>45</v>
      </c>
      <c r="C46">
        <v>94</v>
      </c>
      <c r="D46" s="7">
        <v>10.809372492594838</v>
      </c>
      <c r="E46" s="7"/>
      <c r="F46" s="7"/>
      <c r="G46" s="7"/>
      <c r="H46" s="7"/>
    </row>
    <row r="47" spans="1:8" x14ac:dyDescent="0.2">
      <c r="A47">
        <v>46</v>
      </c>
      <c r="B47">
        <v>46</v>
      </c>
      <c r="C47">
        <v>95</v>
      </c>
      <c r="D47" s="7">
        <v>8.668267600809143</v>
      </c>
      <c r="E47" s="7"/>
      <c r="F47" s="7"/>
      <c r="G47" s="7"/>
      <c r="H47" s="7"/>
    </row>
    <row r="48" spans="1:8" x14ac:dyDescent="0.2">
      <c r="A48">
        <v>47</v>
      </c>
      <c r="B48">
        <v>47</v>
      </c>
      <c r="C48">
        <v>96</v>
      </c>
      <c r="D48" s="7">
        <v>6.7796142458979141</v>
      </c>
      <c r="E48" s="7"/>
      <c r="F48" s="7"/>
      <c r="G48" s="7"/>
      <c r="H48" s="7"/>
    </row>
    <row r="49" spans="1:8" x14ac:dyDescent="0.2">
      <c r="A49">
        <v>48</v>
      </c>
      <c r="B49">
        <v>48</v>
      </c>
      <c r="C49">
        <v>97</v>
      </c>
      <c r="D49" s="7">
        <v>5.1615611940205293</v>
      </c>
      <c r="E49" s="7"/>
      <c r="F49" s="7"/>
      <c r="G49" s="7"/>
      <c r="H49" s="7"/>
    </row>
    <row r="50" spans="1:8" x14ac:dyDescent="0.2">
      <c r="A50">
        <v>49</v>
      </c>
      <c r="B50">
        <v>49</v>
      </c>
      <c r="C50">
        <v>98</v>
      </c>
      <c r="D50" s="7">
        <v>3.8180597270138432</v>
      </c>
      <c r="E50" s="7"/>
      <c r="F50" s="7"/>
      <c r="G50" s="7"/>
      <c r="H50" s="7"/>
    </row>
    <row r="51" spans="1:8" x14ac:dyDescent="0.2">
      <c r="A51">
        <v>50</v>
      </c>
      <c r="B51">
        <v>50</v>
      </c>
      <c r="C51">
        <v>99</v>
      </c>
      <c r="D51" s="7">
        <v>2.7391117815785795</v>
      </c>
      <c r="E51" s="7"/>
      <c r="F51" s="7"/>
      <c r="G51" s="7"/>
      <c r="H51" s="7"/>
    </row>
    <row r="52" spans="1:8" x14ac:dyDescent="0.2">
      <c r="E52" s="6"/>
    </row>
    <row r="53" spans="1:8" x14ac:dyDescent="0.2">
      <c r="E53" s="6"/>
    </row>
    <row r="54" spans="1:8" x14ac:dyDescent="0.2">
      <c r="E54" s="6"/>
    </row>
    <row r="55" spans="1:8" x14ac:dyDescent="0.2">
      <c r="E55" s="6"/>
    </row>
    <row r="56" spans="1:8" x14ac:dyDescent="0.2">
      <c r="E56" s="6"/>
    </row>
    <row r="57" spans="1:8" x14ac:dyDescent="0.2">
      <c r="E57" s="6"/>
    </row>
    <row r="58" spans="1:8" x14ac:dyDescent="0.2">
      <c r="E58" s="6"/>
    </row>
    <row r="59" spans="1:8" x14ac:dyDescent="0.2">
      <c r="E59" s="6"/>
    </row>
    <row r="60" spans="1:8" x14ac:dyDescent="0.2">
      <c r="E60" s="6"/>
    </row>
    <row r="61" spans="1:8" x14ac:dyDescent="0.2">
      <c r="E61" s="6"/>
    </row>
    <row r="62" spans="1:8" x14ac:dyDescent="0.2">
      <c r="E62" s="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867E5-2960-044C-83AD-8CDC1174E518}">
  <dimension ref="A1:H51"/>
  <sheetViews>
    <sheetView workbookViewId="0">
      <selection activeCell="N19" sqref="N19"/>
    </sheetView>
  </sheetViews>
  <sheetFormatPr baseColWidth="10" defaultRowHeight="16" x14ac:dyDescent="0.2"/>
  <cols>
    <col min="7" max="7" width="17.6640625" customWidth="1"/>
    <col min="8" max="8" width="18.33203125" customWidth="1"/>
  </cols>
  <sheetData>
    <row r="1" spans="1:8" ht="85" x14ac:dyDescent="0.2">
      <c r="A1" s="3" t="s">
        <v>0</v>
      </c>
      <c r="B1" s="3" t="s">
        <v>1</v>
      </c>
      <c r="C1" s="3" t="s">
        <v>2</v>
      </c>
      <c r="D1" s="9" t="s">
        <v>3</v>
      </c>
      <c r="E1" s="9" t="s">
        <v>30</v>
      </c>
      <c r="F1" s="9" t="s">
        <v>5</v>
      </c>
      <c r="G1" s="17" t="s">
        <v>25</v>
      </c>
      <c r="H1" s="10" t="s">
        <v>25</v>
      </c>
    </row>
    <row r="2" spans="1:8" x14ac:dyDescent="0.2">
      <c r="A2">
        <v>1</v>
      </c>
      <c r="B2">
        <v>1</v>
      </c>
      <c r="C2">
        <v>50</v>
      </c>
      <c r="D2" s="7">
        <v>17.516331000000001</v>
      </c>
      <c r="E2" s="7">
        <v>57.40983790069572</v>
      </c>
      <c r="F2" s="7">
        <v>31.982689189103517</v>
      </c>
      <c r="G2" s="18">
        <f>F2/E2</f>
        <v>0.5570942256347311</v>
      </c>
      <c r="H2" s="11">
        <f>F2/D2</f>
        <v>1.8258783297200489</v>
      </c>
    </row>
    <row r="3" spans="1:8" x14ac:dyDescent="0.2">
      <c r="A3">
        <v>2</v>
      </c>
      <c r="B3">
        <v>2</v>
      </c>
      <c r="C3">
        <v>51</v>
      </c>
      <c r="D3" s="7">
        <v>17.450387458622057</v>
      </c>
      <c r="E3" s="7">
        <v>19.498624540493982</v>
      </c>
      <c r="F3" s="7">
        <v>41.975116752756129</v>
      </c>
      <c r="G3" s="18">
        <f t="shared" ref="G3:G32" si="0">F3/E3</f>
        <v>2.1527219351079787</v>
      </c>
      <c r="H3" s="11">
        <f t="shared" ref="H3:H32" si="1">F3/D3</f>
        <v>2.4053974074951934</v>
      </c>
    </row>
    <row r="4" spans="1:8" x14ac:dyDescent="0.2">
      <c r="A4">
        <v>3</v>
      </c>
      <c r="B4">
        <v>3</v>
      </c>
      <c r="C4">
        <v>52</v>
      </c>
      <c r="D4" s="7">
        <v>17.379300072439218</v>
      </c>
      <c r="E4" s="7">
        <v>22.724633476813612</v>
      </c>
      <c r="F4" s="7">
        <v>48.006351933679952</v>
      </c>
      <c r="G4" s="18">
        <f t="shared" si="0"/>
        <v>2.1125248062927735</v>
      </c>
      <c r="H4" s="11">
        <f t="shared" si="1"/>
        <v>2.7622718828481663</v>
      </c>
    </row>
    <row r="5" spans="1:8" x14ac:dyDescent="0.2">
      <c r="A5">
        <v>4</v>
      </c>
      <c r="B5">
        <v>4</v>
      </c>
      <c r="C5">
        <v>53</v>
      </c>
      <c r="D5" s="7">
        <v>17.302531760404886</v>
      </c>
      <c r="E5" s="7">
        <v>29.555801832092445</v>
      </c>
      <c r="F5" s="7">
        <v>50.537008652085866</v>
      </c>
      <c r="G5" s="18">
        <f t="shared" si="0"/>
        <v>1.709884541085652</v>
      </c>
      <c r="H5" s="11">
        <f t="shared" si="1"/>
        <v>2.9207869317561235</v>
      </c>
    </row>
    <row r="6" spans="1:8" x14ac:dyDescent="0.2">
      <c r="A6">
        <v>5</v>
      </c>
      <c r="B6">
        <v>5</v>
      </c>
      <c r="C6">
        <v>54</v>
      </c>
      <c r="D6" s="7">
        <v>17.219041092418472</v>
      </c>
      <c r="E6" s="7">
        <v>34.958892473136913</v>
      </c>
      <c r="F6" s="7">
        <v>50.307750182701149</v>
      </c>
      <c r="G6" s="18">
        <f t="shared" si="0"/>
        <v>1.4390544615038532</v>
      </c>
      <c r="H6" s="11">
        <f t="shared" si="1"/>
        <v>2.921634829296714</v>
      </c>
    </row>
    <row r="7" spans="1:8" x14ac:dyDescent="0.2">
      <c r="A7">
        <v>6</v>
      </c>
      <c r="B7">
        <v>6</v>
      </c>
      <c r="C7">
        <v>55</v>
      </c>
      <c r="D7" s="7">
        <v>34.726032776729298</v>
      </c>
      <c r="E7" s="7">
        <v>35.622044812334828</v>
      </c>
      <c r="F7" s="7">
        <v>85.751094287851288</v>
      </c>
      <c r="G7" s="18">
        <f t="shared" si="0"/>
        <v>2.4072479482749487</v>
      </c>
      <c r="H7" s="11">
        <f t="shared" si="1"/>
        <v>2.4693605180639882</v>
      </c>
    </row>
    <row r="8" spans="1:8" x14ac:dyDescent="0.2">
      <c r="A8">
        <v>7</v>
      </c>
      <c r="B8">
        <v>7</v>
      </c>
      <c r="C8">
        <v>56</v>
      </c>
      <c r="D8" s="7">
        <v>34.518060632627019</v>
      </c>
      <c r="E8" s="7">
        <v>37.484843735079771</v>
      </c>
      <c r="F8" s="7">
        <v>82.866500456715386</v>
      </c>
      <c r="G8" s="18">
        <f t="shared" si="0"/>
        <v>2.2106668242334355</v>
      </c>
      <c r="H8" s="11">
        <f t="shared" si="1"/>
        <v>2.4006708064701829</v>
      </c>
    </row>
    <row r="9" spans="1:8" x14ac:dyDescent="0.2">
      <c r="A9">
        <v>8</v>
      </c>
      <c r="B9">
        <v>8</v>
      </c>
      <c r="C9">
        <v>57</v>
      </c>
      <c r="D9" s="7">
        <v>34.293415382104534</v>
      </c>
      <c r="E9" s="7">
        <v>42.464169251213477</v>
      </c>
      <c r="F9" s="7">
        <v>79.948893988398169</v>
      </c>
      <c r="G9" s="18">
        <f t="shared" si="0"/>
        <v>1.8827377386198014</v>
      </c>
      <c r="H9" s="11">
        <f t="shared" si="1"/>
        <v>2.3313190913646418</v>
      </c>
    </row>
    <row r="10" spans="1:8" x14ac:dyDescent="0.2">
      <c r="A10">
        <v>9</v>
      </c>
      <c r="B10">
        <v>9</v>
      </c>
      <c r="C10">
        <v>58</v>
      </c>
      <c r="D10" s="7">
        <v>34.052456040144932</v>
      </c>
      <c r="E10" s="7">
        <v>53.058904377176731</v>
      </c>
      <c r="F10" s="7">
        <v>77.032812867815636</v>
      </c>
      <c r="G10" s="18">
        <f t="shared" si="0"/>
        <v>1.451835724315319</v>
      </c>
      <c r="H10" s="11">
        <f t="shared" si="1"/>
        <v>2.2621808182352705</v>
      </c>
    </row>
    <row r="11" spans="1:8" x14ac:dyDescent="0.2">
      <c r="A11">
        <v>10</v>
      </c>
      <c r="B11">
        <v>10</v>
      </c>
      <c r="C11">
        <v>59</v>
      </c>
      <c r="D11" s="7">
        <v>33.794982592634845</v>
      </c>
      <c r="E11" s="7">
        <v>61.281213549967568</v>
      </c>
      <c r="F11" s="7">
        <v>74.224105938035365</v>
      </c>
      <c r="G11" s="18">
        <f t="shared" si="0"/>
        <v>1.2112048968729119</v>
      </c>
      <c r="H11" s="11">
        <f t="shared" si="1"/>
        <v>2.196305494005832</v>
      </c>
    </row>
    <row r="12" spans="1:8" x14ac:dyDescent="0.2">
      <c r="A12">
        <v>11</v>
      </c>
      <c r="B12">
        <v>11</v>
      </c>
      <c r="C12">
        <v>60</v>
      </c>
      <c r="D12" s="7">
        <v>61.432238292229542</v>
      </c>
      <c r="E12" s="7">
        <v>61.667802890279113</v>
      </c>
      <c r="F12" s="7">
        <v>119.84976398016448</v>
      </c>
      <c r="G12" s="18">
        <f t="shared" si="0"/>
        <v>1.9434738771771092</v>
      </c>
      <c r="H12" s="11">
        <f t="shared" si="1"/>
        <v>1.950926212553842</v>
      </c>
    </row>
    <row r="13" spans="1:8" x14ac:dyDescent="0.2">
      <c r="A13">
        <v>12</v>
      </c>
      <c r="B13">
        <v>12</v>
      </c>
      <c r="C13">
        <v>61</v>
      </c>
      <c r="D13" s="7">
        <v>60.877816691951367</v>
      </c>
      <c r="E13" s="7">
        <v>63.365181130995822</v>
      </c>
      <c r="F13" s="7">
        <v>115.30185792804342</v>
      </c>
      <c r="G13" s="18">
        <f t="shared" si="0"/>
        <v>1.8196406270768499</v>
      </c>
      <c r="H13" s="11">
        <f t="shared" si="1"/>
        <v>1.893988059911607</v>
      </c>
    </row>
    <row r="14" spans="1:8" x14ac:dyDescent="0.2">
      <c r="A14">
        <v>13</v>
      </c>
      <c r="B14">
        <v>13</v>
      </c>
      <c r="C14">
        <v>62</v>
      </c>
      <c r="D14" s="7">
        <v>60.288495294479958</v>
      </c>
      <c r="E14" s="7">
        <v>68.490783791226647</v>
      </c>
      <c r="F14" s="7">
        <v>110.85890247211664</v>
      </c>
      <c r="G14" s="18">
        <f t="shared" si="0"/>
        <v>1.6185959093421436</v>
      </c>
      <c r="H14" s="11">
        <f t="shared" si="1"/>
        <v>1.8388069221270966</v>
      </c>
    </row>
    <row r="15" spans="1:8" x14ac:dyDescent="0.2">
      <c r="A15">
        <v>14</v>
      </c>
      <c r="B15">
        <v>14</v>
      </c>
      <c r="C15">
        <v>63</v>
      </c>
      <c r="D15" s="7">
        <v>59.66344842609135</v>
      </c>
      <c r="E15" s="7">
        <v>79.788931264779919</v>
      </c>
      <c r="F15" s="7">
        <v>106.16389630652598</v>
      </c>
      <c r="G15" s="18">
        <f t="shared" si="0"/>
        <v>1.3305591969169337</v>
      </c>
      <c r="H15" s="11">
        <f t="shared" si="1"/>
        <v>1.7793791526823579</v>
      </c>
    </row>
    <row r="16" spans="1:8" x14ac:dyDescent="0.2">
      <c r="A16">
        <v>15</v>
      </c>
      <c r="B16">
        <v>15</v>
      </c>
      <c r="C16">
        <v>64</v>
      </c>
      <c r="D16" s="7">
        <v>59.003087917412927</v>
      </c>
      <c r="E16" s="7">
        <v>88.380627850849024</v>
      </c>
      <c r="F16" s="7">
        <v>101.54824926820112</v>
      </c>
      <c r="G16" s="18">
        <f t="shared" si="0"/>
        <v>1.1489876428528405</v>
      </c>
      <c r="H16" s="11">
        <f t="shared" si="1"/>
        <v>1.7210666907864038</v>
      </c>
    </row>
    <row r="17" spans="1:8" x14ac:dyDescent="0.2">
      <c r="A17">
        <v>16</v>
      </c>
      <c r="B17">
        <v>16</v>
      </c>
      <c r="C17">
        <v>65</v>
      </c>
      <c r="D17" s="7">
        <v>89.24907398927094</v>
      </c>
      <c r="E17" s="7">
        <v>88.175071298559473</v>
      </c>
      <c r="F17" s="7">
        <v>133.27871893184076</v>
      </c>
      <c r="G17" s="18">
        <f t="shared" si="0"/>
        <v>1.511523801104294</v>
      </c>
      <c r="H17" s="11">
        <f t="shared" si="1"/>
        <v>1.4933344736760275</v>
      </c>
    </row>
    <row r="18" spans="1:8" x14ac:dyDescent="0.2">
      <c r="A18">
        <v>17</v>
      </c>
      <c r="B18">
        <v>17</v>
      </c>
      <c r="C18">
        <v>66</v>
      </c>
      <c r="D18" s="7">
        <v>88.102812488717717</v>
      </c>
      <c r="E18" s="7">
        <v>89.315607205401946</v>
      </c>
      <c r="F18" s="7">
        <v>127.34131058229583</v>
      </c>
      <c r="G18" s="18">
        <f t="shared" si="0"/>
        <v>1.4257453379838192</v>
      </c>
      <c r="H18" s="11">
        <f t="shared" si="1"/>
        <v>1.445371685479427</v>
      </c>
    </row>
    <row r="19" spans="1:8" x14ac:dyDescent="0.2">
      <c r="A19">
        <v>18</v>
      </c>
      <c r="B19">
        <v>18</v>
      </c>
      <c r="C19">
        <v>67</v>
      </c>
      <c r="D19" s="7">
        <v>86.902238272890315</v>
      </c>
      <c r="E19" s="7">
        <v>93.987614974303611</v>
      </c>
      <c r="F19" s="7">
        <v>121.77386625083018</v>
      </c>
      <c r="G19" s="18">
        <f t="shared" si="0"/>
        <v>1.295637369712205</v>
      </c>
      <c r="H19" s="11">
        <f t="shared" si="1"/>
        <v>1.4012742211361233</v>
      </c>
    </row>
    <row r="20" spans="1:8" x14ac:dyDescent="0.2">
      <c r="A20">
        <v>19</v>
      </c>
      <c r="B20">
        <v>19</v>
      </c>
      <c r="C20">
        <v>68</v>
      </c>
      <c r="D20" s="7">
        <v>85.637309190394816</v>
      </c>
      <c r="E20" s="7">
        <v>104.96688585296432</v>
      </c>
      <c r="F20" s="7">
        <v>116.43789615161757</v>
      </c>
      <c r="G20" s="18">
        <f t="shared" si="0"/>
        <v>1.1092821817608423</v>
      </c>
      <c r="H20" s="11">
        <f t="shared" si="1"/>
        <v>1.3596631801303418</v>
      </c>
    </row>
    <row r="21" spans="1:8" x14ac:dyDescent="0.2">
      <c r="A21">
        <v>20</v>
      </c>
      <c r="B21">
        <v>20</v>
      </c>
      <c r="C21">
        <v>69</v>
      </c>
      <c r="D21" s="7">
        <v>84.304713911742894</v>
      </c>
      <c r="E21" s="7">
        <v>112.94594868065673</v>
      </c>
      <c r="F21" s="7">
        <v>111.26093269538023</v>
      </c>
      <c r="G21" s="18">
        <f t="shared" si="0"/>
        <v>0.98508121800773296</v>
      </c>
      <c r="H21" s="11">
        <f t="shared" si="1"/>
        <v>1.3197474676428809</v>
      </c>
    </row>
    <row r="22" spans="1:8" x14ac:dyDescent="0.2">
      <c r="A22">
        <v>21</v>
      </c>
      <c r="B22">
        <v>21</v>
      </c>
      <c r="C22">
        <v>70</v>
      </c>
      <c r="D22" s="7">
        <v>115.20660408915423</v>
      </c>
      <c r="E22" s="7">
        <v>111.39278342842272</v>
      </c>
      <c r="F22" s="7">
        <v>138.19799742369028</v>
      </c>
      <c r="G22" s="18">
        <f t="shared" si="0"/>
        <v>1.2406368991802033</v>
      </c>
      <c r="H22" s="11">
        <f t="shared" si="1"/>
        <v>1.1995666265515808</v>
      </c>
    </row>
    <row r="23" spans="1:8" x14ac:dyDescent="0.2">
      <c r="A23">
        <v>22</v>
      </c>
      <c r="B23">
        <v>22</v>
      </c>
      <c r="C23">
        <v>71</v>
      </c>
      <c r="D23" s="7">
        <v>113.09254731052347</v>
      </c>
      <c r="E23" s="7">
        <v>110.7392246475526</v>
      </c>
      <c r="F23" s="7">
        <v>131.70568890959498</v>
      </c>
      <c r="G23" s="18">
        <f t="shared" si="0"/>
        <v>1.1893318679878055</v>
      </c>
      <c r="H23" s="11">
        <f t="shared" si="1"/>
        <v>1.1645832730954813</v>
      </c>
    </row>
    <row r="24" spans="1:8" x14ac:dyDescent="0.2">
      <c r="A24">
        <v>23</v>
      </c>
      <c r="B24">
        <v>23</v>
      </c>
      <c r="C24">
        <v>72</v>
      </c>
      <c r="D24" s="7">
        <v>110.86052313870135</v>
      </c>
      <c r="E24" s="7">
        <v>112.52787420011155</v>
      </c>
      <c r="F24" s="7">
        <v>125.34522783899475</v>
      </c>
      <c r="G24" s="18">
        <f t="shared" si="0"/>
        <v>1.1139038103224959</v>
      </c>
      <c r="H24" s="11">
        <f t="shared" si="1"/>
        <v>1.1306570119840684</v>
      </c>
    </row>
    <row r="25" spans="1:8" x14ac:dyDescent="0.2">
      <c r="A25">
        <v>24</v>
      </c>
      <c r="B25">
        <v>24</v>
      </c>
      <c r="C25">
        <v>73</v>
      </c>
      <c r="D25" s="7">
        <v>108.51259812378912</v>
      </c>
      <c r="E25" s="7">
        <v>118.63453033648358</v>
      </c>
      <c r="F25" s="7">
        <v>118.5901638033376</v>
      </c>
      <c r="G25" s="18">
        <f t="shared" si="0"/>
        <v>0.99962602344342633</v>
      </c>
      <c r="H25" s="11">
        <f t="shared" si="1"/>
        <v>1.0928700063752246</v>
      </c>
    </row>
    <row r="26" spans="1:8" x14ac:dyDescent="0.2">
      <c r="A26">
        <v>25</v>
      </c>
      <c r="B26">
        <v>25</v>
      </c>
      <c r="C26">
        <v>74</v>
      </c>
      <c r="D26" s="7">
        <v>105.98744126855271</v>
      </c>
      <c r="E26" s="7">
        <v>122.27383900521487</v>
      </c>
      <c r="F26" s="7">
        <v>110.02280633845008</v>
      </c>
      <c r="G26" s="18">
        <f t="shared" si="0"/>
        <v>0.89980659177436728</v>
      </c>
      <c r="H26" s="11">
        <f t="shared" si="1"/>
        <v>1.0380739927447866</v>
      </c>
    </row>
    <row r="27" spans="1:8" x14ac:dyDescent="0.2">
      <c r="A27">
        <v>26</v>
      </c>
      <c r="B27">
        <v>26</v>
      </c>
      <c r="C27">
        <v>75</v>
      </c>
      <c r="D27" s="7">
        <v>126.76799831966886</v>
      </c>
      <c r="E27" s="7">
        <v>118.45471370668925</v>
      </c>
      <c r="F27" s="7">
        <v>124.8824724846522</v>
      </c>
      <c r="G27" s="18">
        <f t="shared" si="0"/>
        <v>1.0542634275735028</v>
      </c>
      <c r="H27" s="11">
        <f t="shared" si="1"/>
        <v>0.9851261685913667</v>
      </c>
    </row>
    <row r="28" spans="1:8" x14ac:dyDescent="0.2">
      <c r="A28">
        <v>27</v>
      </c>
      <c r="B28">
        <v>27</v>
      </c>
      <c r="C28">
        <v>76</v>
      </c>
      <c r="D28" s="7">
        <v>123.23122605265021</v>
      </c>
      <c r="E28" s="7">
        <v>114.39102092229672</v>
      </c>
      <c r="F28" s="7">
        <v>115.90866882896782</v>
      </c>
      <c r="G28" s="18">
        <f t="shared" si="0"/>
        <v>1.0132671943517491</v>
      </c>
      <c r="H28" s="11">
        <f t="shared" si="1"/>
        <v>0.94057871971058815</v>
      </c>
    </row>
    <row r="29" spans="1:8" x14ac:dyDescent="0.2">
      <c r="A29">
        <v>28</v>
      </c>
      <c r="B29">
        <v>28</v>
      </c>
      <c r="C29">
        <v>77</v>
      </c>
      <c r="D29" s="7">
        <v>119.48143452973792</v>
      </c>
      <c r="E29" s="7">
        <v>110.07126065878961</v>
      </c>
      <c r="F29" s="7">
        <v>108.2607344616288</v>
      </c>
      <c r="G29" s="18">
        <f t="shared" si="0"/>
        <v>0.98355132678298951</v>
      </c>
      <c r="H29" s="11">
        <f t="shared" si="1"/>
        <v>0.90608833822365609</v>
      </c>
    </row>
    <row r="30" spans="1:8" x14ac:dyDescent="0.2">
      <c r="A30">
        <v>29</v>
      </c>
      <c r="B30">
        <v>29</v>
      </c>
      <c r="C30">
        <v>78</v>
      </c>
      <c r="D30" s="7">
        <v>115.47091508812461</v>
      </c>
      <c r="E30" s="7">
        <v>105.49939394967183</v>
      </c>
      <c r="F30" s="7">
        <v>101.25277875440456</v>
      </c>
      <c r="G30" s="18">
        <f t="shared" si="0"/>
        <v>0.95974749203494858</v>
      </c>
      <c r="H30" s="11">
        <f t="shared" si="1"/>
        <v>0.87686824580138545</v>
      </c>
    </row>
    <row r="31" spans="1:8" x14ac:dyDescent="0.2">
      <c r="A31">
        <v>30</v>
      </c>
      <c r="B31">
        <v>30</v>
      </c>
      <c r="C31">
        <v>79</v>
      </c>
      <c r="D31" s="7">
        <v>111.20184426848238</v>
      </c>
      <c r="E31" s="7">
        <v>100.67348934708508</v>
      </c>
      <c r="F31" s="7">
        <v>94.545424642665537</v>
      </c>
      <c r="G31" s="18">
        <f t="shared" si="0"/>
        <v>0.93912931056464888</v>
      </c>
      <c r="H31" s="11">
        <f t="shared" si="1"/>
        <v>0.85021453793875867</v>
      </c>
    </row>
    <row r="32" spans="1:8" x14ac:dyDescent="0.2">
      <c r="A32" s="4">
        <v>31</v>
      </c>
      <c r="B32" s="4">
        <v>31</v>
      </c>
      <c r="C32" s="4">
        <v>80</v>
      </c>
      <c r="D32" s="8">
        <v>106.69068025349279</v>
      </c>
      <c r="E32" s="8">
        <v>95.587702609805945</v>
      </c>
      <c r="F32" s="8">
        <v>88.024585526462019</v>
      </c>
      <c r="G32" s="19">
        <f t="shared" si="0"/>
        <v>0.9208777188189472</v>
      </c>
      <c r="H32" s="11">
        <f t="shared" si="1"/>
        <v>0.82504474915071424</v>
      </c>
    </row>
    <row r="33" spans="1:8" x14ac:dyDescent="0.2">
      <c r="A33">
        <v>32</v>
      </c>
      <c r="B33">
        <v>32</v>
      </c>
      <c r="C33">
        <v>81</v>
      </c>
      <c r="D33" s="7">
        <v>101.92128012027615</v>
      </c>
      <c r="E33" s="7"/>
      <c r="F33" s="7"/>
      <c r="G33" s="7"/>
      <c r="H33" s="7"/>
    </row>
    <row r="34" spans="1:8" x14ac:dyDescent="0.2">
      <c r="A34">
        <v>33</v>
      </c>
      <c r="B34">
        <v>33</v>
      </c>
      <c r="C34">
        <v>82</v>
      </c>
      <c r="D34" s="7">
        <v>96.901968892488483</v>
      </c>
      <c r="E34" s="7"/>
      <c r="F34" s="7"/>
      <c r="G34" s="7"/>
      <c r="H34" s="7"/>
    </row>
    <row r="35" spans="1:8" x14ac:dyDescent="0.2">
      <c r="A35">
        <v>34</v>
      </c>
      <c r="B35">
        <v>34</v>
      </c>
      <c r="C35">
        <v>83</v>
      </c>
      <c r="D35" s="7">
        <v>91.597120108486251</v>
      </c>
      <c r="E35" s="7"/>
      <c r="F35" s="7"/>
      <c r="G35" s="7"/>
      <c r="H35" s="7"/>
    </row>
    <row r="36" spans="1:8" x14ac:dyDescent="0.2">
      <c r="A36">
        <v>35</v>
      </c>
      <c r="B36">
        <v>35</v>
      </c>
      <c r="C36">
        <v>84</v>
      </c>
      <c r="D36" s="7">
        <v>86.02324434026157</v>
      </c>
      <c r="E36" s="7"/>
      <c r="F36" s="7"/>
      <c r="G36" s="7"/>
      <c r="H36" s="7"/>
    </row>
    <row r="37" spans="1:8" x14ac:dyDescent="0.2">
      <c r="A37">
        <v>36</v>
      </c>
      <c r="B37">
        <v>36</v>
      </c>
      <c r="C37">
        <v>85</v>
      </c>
      <c r="D37" s="7">
        <v>80.212063818903744</v>
      </c>
      <c r="E37" s="7"/>
      <c r="F37" s="7"/>
      <c r="G37" s="7"/>
      <c r="H37" s="7"/>
    </row>
    <row r="38" spans="1:8" x14ac:dyDescent="0.2">
      <c r="A38">
        <v>37</v>
      </c>
      <c r="B38">
        <v>37</v>
      </c>
      <c r="C38">
        <v>86</v>
      </c>
      <c r="D38" s="7">
        <v>74.113011153774167</v>
      </c>
      <c r="E38" s="7"/>
      <c r="F38" s="7"/>
      <c r="G38" s="7"/>
      <c r="H38" s="7"/>
    </row>
    <row r="39" spans="1:8" x14ac:dyDescent="0.2">
      <c r="A39">
        <v>38</v>
      </c>
      <c r="B39">
        <v>38</v>
      </c>
      <c r="C39">
        <v>87</v>
      </c>
      <c r="D39" s="7">
        <v>67.849564764849958</v>
      </c>
      <c r="E39" s="7"/>
      <c r="F39" s="7"/>
      <c r="G39" s="7"/>
      <c r="H39" s="7"/>
    </row>
    <row r="40" spans="1:8" x14ac:dyDescent="0.2">
      <c r="A40">
        <v>39</v>
      </c>
      <c r="B40">
        <v>39</v>
      </c>
      <c r="C40">
        <v>88</v>
      </c>
      <c r="D40" s="7">
        <v>61.527718698207444</v>
      </c>
      <c r="E40" s="7"/>
      <c r="F40" s="7"/>
      <c r="G40" s="7"/>
      <c r="H40" s="7"/>
    </row>
    <row r="41" spans="1:8" x14ac:dyDescent="0.2">
      <c r="A41">
        <v>40</v>
      </c>
      <c r="B41">
        <v>40</v>
      </c>
      <c r="C41">
        <v>89</v>
      </c>
      <c r="D41" s="7">
        <v>55.086552206674412</v>
      </c>
      <c r="E41" s="7"/>
      <c r="F41" s="7"/>
      <c r="G41" s="7"/>
      <c r="H41" s="7"/>
    </row>
    <row r="42" spans="1:8" x14ac:dyDescent="0.2">
      <c r="A42">
        <v>41</v>
      </c>
      <c r="B42">
        <v>41</v>
      </c>
      <c r="C42">
        <v>90</v>
      </c>
      <c r="D42" s="7">
        <v>48.621821192141283</v>
      </c>
      <c r="E42" s="7"/>
      <c r="F42" s="7"/>
      <c r="G42" s="7"/>
      <c r="H42" s="7"/>
    </row>
    <row r="43" spans="1:8" x14ac:dyDescent="0.2">
      <c r="A43">
        <v>42</v>
      </c>
      <c r="B43">
        <v>42</v>
      </c>
      <c r="C43">
        <v>91</v>
      </c>
      <c r="D43" s="7">
        <v>42.241519136861257</v>
      </c>
      <c r="E43" s="7"/>
      <c r="F43" s="7"/>
      <c r="G43" s="7"/>
      <c r="H43" s="7"/>
    </row>
    <row r="44" spans="1:8" x14ac:dyDescent="0.2">
      <c r="A44">
        <v>43</v>
      </c>
      <c r="B44">
        <v>43</v>
      </c>
      <c r="C44">
        <v>92</v>
      </c>
      <c r="D44" s="7">
        <v>36.060967923885791</v>
      </c>
      <c r="E44" s="7"/>
      <c r="F44" s="7"/>
      <c r="G44" s="7"/>
      <c r="H44" s="7"/>
    </row>
    <row r="45" spans="1:8" x14ac:dyDescent="0.2">
      <c r="A45">
        <v>44</v>
      </c>
      <c r="B45">
        <v>44</v>
      </c>
      <c r="C45">
        <v>93</v>
      </c>
      <c r="D45" s="7">
        <v>30.196157105132578</v>
      </c>
      <c r="E45" s="7"/>
      <c r="F45" s="7"/>
      <c r="G45" s="7"/>
      <c r="H45" s="7"/>
    </row>
    <row r="46" spans="1:8" x14ac:dyDescent="0.2">
      <c r="A46">
        <v>45</v>
      </c>
      <c r="B46">
        <v>45</v>
      </c>
      <c r="C46">
        <v>94</v>
      </c>
      <c r="D46" s="7">
        <v>24.755773286686619</v>
      </c>
      <c r="E46" s="7"/>
      <c r="F46" s="7"/>
      <c r="G46" s="7"/>
      <c r="H46" s="7"/>
    </row>
    <row r="47" spans="1:8" x14ac:dyDescent="0.2">
      <c r="A47">
        <v>46</v>
      </c>
      <c r="B47">
        <v>46</v>
      </c>
      <c r="C47">
        <v>95</v>
      </c>
      <c r="D47" s="7">
        <v>19.832736809156572</v>
      </c>
      <c r="E47" s="7"/>
      <c r="F47" s="7"/>
      <c r="G47" s="7"/>
      <c r="H47" s="7"/>
    </row>
    <row r="48" spans="1:8" x14ac:dyDescent="0.2">
      <c r="A48">
        <v>47</v>
      </c>
      <c r="B48">
        <v>47</v>
      </c>
      <c r="C48">
        <v>96</v>
      </c>
      <c r="D48" s="7">
        <v>15.49635820711678</v>
      </c>
      <c r="E48" s="7"/>
      <c r="F48" s="7"/>
      <c r="G48" s="7"/>
      <c r="H48" s="7"/>
    </row>
    <row r="49" spans="1:8" x14ac:dyDescent="0.2">
      <c r="A49">
        <v>48</v>
      </c>
      <c r="B49">
        <v>48</v>
      </c>
      <c r="C49">
        <v>97</v>
      </c>
      <c r="D49" s="7">
        <v>11.786369946684639</v>
      </c>
      <c r="E49" s="7"/>
      <c r="F49" s="7"/>
      <c r="G49" s="7"/>
      <c r="H49" s="7"/>
    </row>
    <row r="50" spans="1:8" x14ac:dyDescent="0.2">
      <c r="A50">
        <v>49</v>
      </c>
      <c r="B50">
        <v>49</v>
      </c>
      <c r="C50">
        <v>98</v>
      </c>
      <c r="D50" s="7">
        <v>8.7099573915636199</v>
      </c>
      <c r="E50" s="7"/>
      <c r="F50" s="7"/>
      <c r="G50" s="7"/>
      <c r="H50" s="7"/>
    </row>
    <row r="51" spans="1:8" x14ac:dyDescent="0.2">
      <c r="A51">
        <v>50</v>
      </c>
      <c r="B51">
        <v>50</v>
      </c>
      <c r="C51">
        <v>99</v>
      </c>
      <c r="D51" s="7">
        <v>6.2424833573898333</v>
      </c>
      <c r="E51" s="7"/>
      <c r="F51" s="7"/>
      <c r="G51" s="7"/>
      <c r="H51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B4CE-C7ED-AE48-8526-89087468D164}">
  <dimension ref="A1:H51"/>
  <sheetViews>
    <sheetView workbookViewId="0">
      <selection activeCell="N16" sqref="N16"/>
    </sheetView>
  </sheetViews>
  <sheetFormatPr baseColWidth="10" defaultRowHeight="16" x14ac:dyDescent="0.2"/>
  <cols>
    <col min="7" max="7" width="20.33203125" customWidth="1"/>
    <col min="8" max="8" width="19.1640625" customWidth="1"/>
  </cols>
  <sheetData>
    <row r="1" spans="1:8" ht="85" x14ac:dyDescent="0.2">
      <c r="A1" s="3" t="s">
        <v>0</v>
      </c>
      <c r="B1" s="3" t="s">
        <v>1</v>
      </c>
      <c r="C1" s="3" t="s">
        <v>2</v>
      </c>
      <c r="D1" s="9" t="s">
        <v>29</v>
      </c>
      <c r="E1" s="9" t="s">
        <v>30</v>
      </c>
      <c r="F1" s="9" t="s">
        <v>5</v>
      </c>
      <c r="G1" s="17" t="s">
        <v>25</v>
      </c>
      <c r="H1" s="10" t="s">
        <v>25</v>
      </c>
    </row>
    <row r="2" spans="1:8" x14ac:dyDescent="0.2">
      <c r="A2">
        <v>1</v>
      </c>
      <c r="B2">
        <v>1</v>
      </c>
      <c r="C2">
        <v>50</v>
      </c>
      <c r="D2" s="7">
        <v>6.715834000000001</v>
      </c>
      <c r="E2" s="7">
        <v>17.49755189398978</v>
      </c>
      <c r="F2" s="7">
        <v>44.342242164078918</v>
      </c>
      <c r="G2" s="18">
        <f>F2/E2</f>
        <v>2.5341969226740799</v>
      </c>
      <c r="H2" s="11">
        <f>F2/D2</f>
        <v>6.6026411856038898</v>
      </c>
    </row>
    <row r="3" spans="1:8" x14ac:dyDescent="0.2">
      <c r="A3">
        <v>2</v>
      </c>
      <c r="B3">
        <v>2</v>
      </c>
      <c r="C3">
        <v>51</v>
      </c>
      <c r="D3" s="7">
        <v>6.691273711917618</v>
      </c>
      <c r="E3" s="7">
        <v>7.0285361776869886</v>
      </c>
      <c r="F3" s="7">
        <v>48.262452437469321</v>
      </c>
      <c r="G3" s="18">
        <f t="shared" ref="G3:G32" si="0">F3/E3</f>
        <v>6.866643525387949</v>
      </c>
      <c r="H3" s="11">
        <f t="shared" ref="H3:H32" si="1">F3/D3</f>
        <v>7.2127452134427825</v>
      </c>
    </row>
    <row r="4" spans="1:8" x14ac:dyDescent="0.2">
      <c r="A4">
        <v>3</v>
      </c>
      <c r="B4">
        <v>3</v>
      </c>
      <c r="C4">
        <v>52</v>
      </c>
      <c r="D4" s="7">
        <v>6.6647354417193068</v>
      </c>
      <c r="E4" s="7">
        <v>7.6536483663767401</v>
      </c>
      <c r="F4" s="7">
        <v>48.569037493971791</v>
      </c>
      <c r="G4" s="18">
        <f t="shared" si="0"/>
        <v>6.3458673784048587</v>
      </c>
      <c r="H4" s="11">
        <f t="shared" si="1"/>
        <v>7.2874666847154552</v>
      </c>
    </row>
    <row r="5" spans="1:8" x14ac:dyDescent="0.2">
      <c r="A5">
        <v>4</v>
      </c>
      <c r="B5">
        <v>4</v>
      </c>
      <c r="C5">
        <v>53</v>
      </c>
      <c r="D5" s="7">
        <v>6.6360125634233817</v>
      </c>
      <c r="E5" s="7">
        <v>9.4022334691924989</v>
      </c>
      <c r="F5" s="7">
        <v>47.577507841310499</v>
      </c>
      <c r="G5" s="18">
        <f t="shared" si="0"/>
        <v>5.0602346769205084</v>
      </c>
      <c r="H5" s="11">
        <f t="shared" si="1"/>
        <v>7.1695927918446021</v>
      </c>
    </row>
    <row r="6" spans="1:8" x14ac:dyDescent="0.2">
      <c r="A6">
        <v>5</v>
      </c>
      <c r="B6">
        <v>5</v>
      </c>
      <c r="C6">
        <v>54</v>
      </c>
      <c r="D6" s="7">
        <v>6.6047049088163021</v>
      </c>
      <c r="E6" s="7">
        <v>14.209175953261912</v>
      </c>
      <c r="F6" s="7">
        <v>46.110882044527628</v>
      </c>
      <c r="G6" s="18">
        <f t="shared" si="0"/>
        <v>3.2451482194463388</v>
      </c>
      <c r="H6" s="11">
        <f t="shared" si="1"/>
        <v>6.9815203981295868</v>
      </c>
    </row>
    <row r="7" spans="1:8" x14ac:dyDescent="0.2">
      <c r="A7">
        <v>6</v>
      </c>
      <c r="B7">
        <v>6</v>
      </c>
      <c r="C7">
        <v>55</v>
      </c>
      <c r="D7" s="7">
        <v>14.179552368652121</v>
      </c>
      <c r="E7" s="7">
        <v>14.260077676995801</v>
      </c>
      <c r="F7" s="7">
        <v>76.44237047064108</v>
      </c>
      <c r="G7" s="18">
        <f t="shared" si="0"/>
        <v>5.360585839862364</v>
      </c>
      <c r="H7" s="11">
        <f t="shared" si="1"/>
        <v>5.3910284671354214</v>
      </c>
    </row>
    <row r="8" spans="1:8" x14ac:dyDescent="0.2">
      <c r="A8">
        <v>7</v>
      </c>
      <c r="B8">
        <v>7</v>
      </c>
      <c r="C8">
        <v>56</v>
      </c>
      <c r="D8" s="7">
        <v>14.097595671357174</v>
      </c>
      <c r="E8" s="7">
        <v>14.539267546389739</v>
      </c>
      <c r="F8" s="7">
        <v>73.779467467982968</v>
      </c>
      <c r="G8" s="18">
        <f t="shared" si="0"/>
        <v>5.0744968570513187</v>
      </c>
      <c r="H8" s="11">
        <f t="shared" si="1"/>
        <v>5.2334787567985499</v>
      </c>
    </row>
    <row r="9" spans="1:8" x14ac:dyDescent="0.2">
      <c r="A9">
        <v>8</v>
      </c>
      <c r="B9">
        <v>8</v>
      </c>
      <c r="C9">
        <v>57</v>
      </c>
      <c r="D9" s="7">
        <v>14.008792948336655</v>
      </c>
      <c r="E9" s="7">
        <v>15.450772399799293</v>
      </c>
      <c r="F9" s="7">
        <v>71.067241021926179</v>
      </c>
      <c r="G9" s="18">
        <f t="shared" si="0"/>
        <v>4.5995914756241794</v>
      </c>
      <c r="H9" s="11">
        <f t="shared" si="1"/>
        <v>5.0730452854872414</v>
      </c>
    </row>
    <row r="10" spans="1:8" x14ac:dyDescent="0.2">
      <c r="A10">
        <v>9</v>
      </c>
      <c r="B10">
        <v>9</v>
      </c>
      <c r="C10">
        <v>58</v>
      </c>
      <c r="D10" s="7">
        <v>13.91328657963334</v>
      </c>
      <c r="E10" s="7">
        <v>18.09260633656363</v>
      </c>
      <c r="F10" s="7">
        <v>68.406349996714468</v>
      </c>
      <c r="G10" s="18">
        <f t="shared" si="0"/>
        <v>3.7809008124203203</v>
      </c>
      <c r="H10" s="11">
        <f t="shared" si="1"/>
        <v>4.9166204983407447</v>
      </c>
    </row>
    <row r="11" spans="1:8" x14ac:dyDescent="0.2">
      <c r="A11">
        <v>10</v>
      </c>
      <c r="B11">
        <v>10</v>
      </c>
      <c r="C11">
        <v>59</v>
      </c>
      <c r="D11" s="7">
        <v>13.81099060852171</v>
      </c>
      <c r="E11" s="7">
        <v>25.44962882830961</v>
      </c>
      <c r="F11" s="7">
        <v>65.806567552577178</v>
      </c>
      <c r="G11" s="18">
        <f t="shared" si="0"/>
        <v>2.5857574582531981</v>
      </c>
      <c r="H11" s="11">
        <f t="shared" si="1"/>
        <v>4.7647970676319886</v>
      </c>
    </row>
    <row r="12" spans="1:8" x14ac:dyDescent="0.2">
      <c r="A12">
        <v>11</v>
      </c>
      <c r="B12">
        <v>11</v>
      </c>
      <c r="C12">
        <v>60</v>
      </c>
      <c r="D12" s="7">
        <v>25.49568312012094</v>
      </c>
      <c r="E12" s="7">
        <v>25.370494564760627</v>
      </c>
      <c r="F12" s="7">
        <v>102.51552692214331</v>
      </c>
      <c r="G12" s="18">
        <f t="shared" si="0"/>
        <v>4.0407382150341045</v>
      </c>
      <c r="H12" s="11">
        <f t="shared" si="1"/>
        <v>4.0208974373877071</v>
      </c>
    </row>
    <row r="13" spans="1:8" x14ac:dyDescent="0.2">
      <c r="A13">
        <v>12</v>
      </c>
      <c r="B13">
        <v>12</v>
      </c>
      <c r="C13">
        <v>61</v>
      </c>
      <c r="D13" s="7">
        <v>25.275223039493611</v>
      </c>
      <c r="E13" s="7">
        <v>25.534197883933995</v>
      </c>
      <c r="F13" s="7">
        <v>98.487392230568645</v>
      </c>
      <c r="G13" s="18">
        <f t="shared" si="0"/>
        <v>3.857077973557042</v>
      </c>
      <c r="H13" s="11">
        <f t="shared" si="1"/>
        <v>3.8965983436299614</v>
      </c>
    </row>
    <row r="14" spans="1:8" x14ac:dyDescent="0.2">
      <c r="A14">
        <v>13</v>
      </c>
      <c r="B14">
        <v>13</v>
      </c>
      <c r="C14">
        <v>62</v>
      </c>
      <c r="D14" s="7">
        <v>25.040095868809214</v>
      </c>
      <c r="E14" s="7">
        <v>26.383204385828449</v>
      </c>
      <c r="F14" s="7">
        <v>94.562457328589062</v>
      </c>
      <c r="G14" s="18">
        <f t="shared" si="0"/>
        <v>3.5841915161519431</v>
      </c>
      <c r="H14" s="11">
        <f t="shared" si="1"/>
        <v>3.7764415050175284</v>
      </c>
    </row>
    <row r="15" spans="1:8" x14ac:dyDescent="0.2">
      <c r="A15">
        <v>14</v>
      </c>
      <c r="B15">
        <v>14</v>
      </c>
      <c r="C15">
        <v>63</v>
      </c>
      <c r="D15" s="7">
        <v>24.789941858613091</v>
      </c>
      <c r="E15" s="7">
        <v>29.120878421481475</v>
      </c>
      <c r="F15" s="7">
        <v>90.73060151353836</v>
      </c>
      <c r="G15" s="18">
        <f t="shared" si="0"/>
        <v>3.1156546928409106</v>
      </c>
      <c r="H15" s="11">
        <f t="shared" si="1"/>
        <v>3.6599763739266153</v>
      </c>
    </row>
    <row r="16" spans="1:8" x14ac:dyDescent="0.2">
      <c r="A16">
        <v>15</v>
      </c>
      <c r="B16">
        <v>15</v>
      </c>
      <c r="C16">
        <v>64</v>
      </c>
      <c r="D16" s="7">
        <v>24.524915097939104</v>
      </c>
      <c r="E16" s="7">
        <v>37.018038671074891</v>
      </c>
      <c r="F16" s="7">
        <v>86.989237717361803</v>
      </c>
      <c r="G16" s="18">
        <f t="shared" si="0"/>
        <v>2.3499148209959957</v>
      </c>
      <c r="H16" s="11">
        <f t="shared" si="1"/>
        <v>3.5469740616827559</v>
      </c>
    </row>
    <row r="17" spans="1:8" x14ac:dyDescent="0.2">
      <c r="A17">
        <v>16</v>
      </c>
      <c r="B17">
        <v>16</v>
      </c>
      <c r="C17">
        <v>65</v>
      </c>
      <c r="D17" s="7">
        <v>37.196491886999745</v>
      </c>
      <c r="E17" s="7">
        <v>36.711405738795889</v>
      </c>
      <c r="F17" s="7">
        <v>91.911173785956635</v>
      </c>
      <c r="G17" s="18">
        <f t="shared" si="0"/>
        <v>2.5036135755713302</v>
      </c>
      <c r="H17" s="11">
        <f t="shared" si="1"/>
        <v>2.4709635001380277</v>
      </c>
    </row>
    <row r="18" spans="1:8" x14ac:dyDescent="0.2">
      <c r="A18">
        <v>17</v>
      </c>
      <c r="B18">
        <v>17</v>
      </c>
      <c r="C18">
        <v>66</v>
      </c>
      <c r="D18" s="7">
        <v>36.7401715822227</v>
      </c>
      <c r="E18" s="7">
        <v>36.661977897891965</v>
      </c>
      <c r="F18" s="7">
        <v>88.053274554731473</v>
      </c>
      <c r="G18" s="18">
        <f t="shared" si="0"/>
        <v>2.4017600687003431</v>
      </c>
      <c r="H18" s="11">
        <f t="shared" si="1"/>
        <v>2.3966484303883169</v>
      </c>
    </row>
    <row r="19" spans="1:8" x14ac:dyDescent="0.2">
      <c r="A19">
        <v>18</v>
      </c>
      <c r="B19">
        <v>18</v>
      </c>
      <c r="C19">
        <v>67</v>
      </c>
      <c r="D19" s="7">
        <v>36.260644103053785</v>
      </c>
      <c r="E19" s="7">
        <v>37.351582449410465</v>
      </c>
      <c r="F19" s="7">
        <v>84.341546158987924</v>
      </c>
      <c r="G19" s="18">
        <f t="shared" si="0"/>
        <v>2.258044790290247</v>
      </c>
      <c r="H19" s="11">
        <f t="shared" si="1"/>
        <v>2.3259803637047054</v>
      </c>
    </row>
    <row r="20" spans="1:8" x14ac:dyDescent="0.2">
      <c r="A20">
        <v>19</v>
      </c>
      <c r="B20">
        <v>19</v>
      </c>
      <c r="C20">
        <v>68</v>
      </c>
      <c r="D20" s="7">
        <v>35.753676719052677</v>
      </c>
      <c r="E20" s="7">
        <v>40.097234814002199</v>
      </c>
      <c r="F20" s="7">
        <v>80.728797525748078</v>
      </c>
      <c r="G20" s="18">
        <f t="shared" si="0"/>
        <v>2.0133258041414139</v>
      </c>
      <c r="H20" s="11">
        <f t="shared" si="1"/>
        <v>2.2579159665201294</v>
      </c>
    </row>
    <row r="21" spans="1:8" x14ac:dyDescent="0.2">
      <c r="A21">
        <v>20</v>
      </c>
      <c r="B21">
        <v>20</v>
      </c>
      <c r="C21">
        <v>69</v>
      </c>
      <c r="D21" s="7">
        <v>35.21783863954991</v>
      </c>
      <c r="E21" s="7">
        <v>48.481412578617949</v>
      </c>
      <c r="F21" s="7">
        <v>77.198722956368414</v>
      </c>
      <c r="G21" s="18">
        <f t="shared" si="0"/>
        <v>1.5923365028026397</v>
      </c>
      <c r="H21" s="11">
        <f t="shared" si="1"/>
        <v>2.1920346602324892</v>
      </c>
    </row>
    <row r="22" spans="1:8" x14ac:dyDescent="0.2">
      <c r="A22">
        <v>21</v>
      </c>
      <c r="B22">
        <v>21</v>
      </c>
      <c r="C22">
        <v>70</v>
      </c>
      <c r="D22" s="7">
        <v>48.925720527141479</v>
      </c>
      <c r="E22" s="7">
        <v>47.717966288542804</v>
      </c>
      <c r="F22" s="7">
        <v>85.753212366333443</v>
      </c>
      <c r="G22" s="18">
        <f t="shared" si="0"/>
        <v>1.7970843905584255</v>
      </c>
      <c r="H22" s="11">
        <f t="shared" si="1"/>
        <v>1.7527225239076849</v>
      </c>
    </row>
    <row r="23" spans="1:8" x14ac:dyDescent="0.2">
      <c r="A23">
        <v>22</v>
      </c>
      <c r="B23">
        <v>22</v>
      </c>
      <c r="C23">
        <v>71</v>
      </c>
      <c r="D23" s="7">
        <v>48.066416214143246</v>
      </c>
      <c r="E23" s="7">
        <v>47.119231097546951</v>
      </c>
      <c r="F23" s="7">
        <v>81.090807250884268</v>
      </c>
      <c r="G23" s="18">
        <f t="shared" si="0"/>
        <v>1.720970511658156</v>
      </c>
      <c r="H23" s="11">
        <f t="shared" si="1"/>
        <v>1.6870574849935203</v>
      </c>
    </row>
    <row r="24" spans="1:8" x14ac:dyDescent="0.2">
      <c r="A24">
        <v>23</v>
      </c>
      <c r="B24">
        <v>23</v>
      </c>
      <c r="C24">
        <v>72</v>
      </c>
      <c r="D24" s="7">
        <v>47.155524701195162</v>
      </c>
      <c r="E24" s="7">
        <v>47.056868442665682</v>
      </c>
      <c r="F24" s="7">
        <v>76.121793638256719</v>
      </c>
      <c r="G24" s="18">
        <f t="shared" si="0"/>
        <v>1.6176553212631197</v>
      </c>
      <c r="H24" s="11">
        <f t="shared" si="1"/>
        <v>1.6142709495994094</v>
      </c>
    </row>
    <row r="25" spans="1:8" x14ac:dyDescent="0.2">
      <c r="A25">
        <v>24</v>
      </c>
      <c r="B25">
        <v>24</v>
      </c>
      <c r="C25">
        <v>73</v>
      </c>
      <c r="D25" s="7">
        <v>46.193803374310463</v>
      </c>
      <c r="E25" s="7">
        <v>48.53985745190996</v>
      </c>
      <c r="F25" s="7">
        <v>71.336466030352682</v>
      </c>
      <c r="G25" s="18">
        <f t="shared" si="0"/>
        <v>1.4696472090184458</v>
      </c>
      <c r="H25" s="11">
        <f t="shared" si="1"/>
        <v>1.5442864804248764</v>
      </c>
    </row>
    <row r="26" spans="1:8" x14ac:dyDescent="0.2">
      <c r="A26">
        <v>25</v>
      </c>
      <c r="B26">
        <v>25</v>
      </c>
      <c r="C26">
        <v>74</v>
      </c>
      <c r="D26" s="7">
        <v>45.155002285812586</v>
      </c>
      <c r="E26" s="7">
        <v>54.355992562320225</v>
      </c>
      <c r="F26" s="7">
        <v>66.675484131514153</v>
      </c>
      <c r="G26" s="18">
        <f t="shared" si="0"/>
        <v>1.2266445885441128</v>
      </c>
      <c r="H26" s="11">
        <f t="shared" si="1"/>
        <v>1.4765913133939352</v>
      </c>
    </row>
    <row r="27" spans="1:8" x14ac:dyDescent="0.2">
      <c r="A27">
        <v>26</v>
      </c>
      <c r="B27">
        <v>26</v>
      </c>
      <c r="C27">
        <v>75</v>
      </c>
      <c r="D27" s="7">
        <v>55.258004503287218</v>
      </c>
      <c r="E27" s="7">
        <v>52.806081822905007</v>
      </c>
      <c r="F27" s="7">
        <v>77.966842788673986</v>
      </c>
      <c r="G27" s="18">
        <f t="shared" si="0"/>
        <v>1.4764746805140789</v>
      </c>
      <c r="H27" s="11">
        <f t="shared" si="1"/>
        <v>1.4109601584334421</v>
      </c>
    </row>
    <row r="28" spans="1:8" x14ac:dyDescent="0.2">
      <c r="A28">
        <v>27</v>
      </c>
      <c r="B28">
        <v>27</v>
      </c>
      <c r="C28">
        <v>76</v>
      </c>
      <c r="D28" s="7">
        <v>53.768304019237213</v>
      </c>
      <c r="E28" s="7">
        <v>51.15271289724744</v>
      </c>
      <c r="F28" s="7">
        <v>73.207775107064961</v>
      </c>
      <c r="G28" s="18">
        <f t="shared" si="0"/>
        <v>1.4311611439674847</v>
      </c>
      <c r="H28" s="11">
        <f t="shared" si="1"/>
        <v>1.3615414590884751</v>
      </c>
    </row>
    <row r="29" spans="1:8" x14ac:dyDescent="0.2">
      <c r="A29">
        <v>28</v>
      </c>
      <c r="B29">
        <v>28</v>
      </c>
      <c r="C29">
        <v>77</v>
      </c>
      <c r="D29" s="7">
        <v>52.182634459273274</v>
      </c>
      <c r="E29" s="7">
        <v>49.383017383262114</v>
      </c>
      <c r="F29" s="7">
        <v>68.819665563707005</v>
      </c>
      <c r="G29" s="18">
        <f t="shared" si="0"/>
        <v>1.3935897239651611</v>
      </c>
      <c r="H29" s="11">
        <f t="shared" si="1"/>
        <v>1.3188231348767636</v>
      </c>
    </row>
    <row r="30" spans="1:8" x14ac:dyDescent="0.2">
      <c r="A30">
        <v>29</v>
      </c>
      <c r="B30">
        <v>29</v>
      </c>
      <c r="C30">
        <v>78</v>
      </c>
      <c r="D30" s="7">
        <v>50.479864922228373</v>
      </c>
      <c r="E30" s="7">
        <v>47.498324180812475</v>
      </c>
      <c r="F30" s="7">
        <v>64.578106021084437</v>
      </c>
      <c r="G30" s="18">
        <f t="shared" si="0"/>
        <v>1.359587040908099</v>
      </c>
      <c r="H30" s="11">
        <f t="shared" si="1"/>
        <v>1.2792844457998545</v>
      </c>
    </row>
    <row r="31" spans="1:8" x14ac:dyDescent="0.2">
      <c r="A31">
        <v>30</v>
      </c>
      <c r="B31">
        <v>30</v>
      </c>
      <c r="C31">
        <v>79</v>
      </c>
      <c r="D31" s="7">
        <v>48.660612433972219</v>
      </c>
      <c r="E31" s="7">
        <v>45.501185389829999</v>
      </c>
      <c r="F31" s="7">
        <v>60.417472218898922</v>
      </c>
      <c r="G31" s="18">
        <f t="shared" si="0"/>
        <v>1.327821939170905</v>
      </c>
      <c r="H31" s="11">
        <f t="shared" si="1"/>
        <v>1.2416093673477626</v>
      </c>
    </row>
    <row r="32" spans="1:8" x14ac:dyDescent="0.2">
      <c r="A32" s="4">
        <v>31</v>
      </c>
      <c r="B32" s="4">
        <v>31</v>
      </c>
      <c r="C32" s="4">
        <v>80</v>
      </c>
      <c r="D32" s="8">
        <v>46.731752584853709</v>
      </c>
      <c r="E32" s="8">
        <v>43.386724124319272</v>
      </c>
      <c r="F32" s="8">
        <v>56.325480009369187</v>
      </c>
      <c r="G32" s="19">
        <f t="shared" si="0"/>
        <v>1.2982192397834764</v>
      </c>
      <c r="H32" s="11">
        <f t="shared" si="1"/>
        <v>1.2052935508270433</v>
      </c>
    </row>
    <row r="33" spans="1:8" x14ac:dyDescent="0.2">
      <c r="A33">
        <v>32</v>
      </c>
      <c r="B33">
        <v>32</v>
      </c>
      <c r="C33">
        <v>81</v>
      </c>
      <c r="D33" s="7">
        <v>44.685894745591249</v>
      </c>
      <c r="E33" s="7"/>
      <c r="F33" s="7"/>
      <c r="G33" s="7"/>
      <c r="H33" s="7"/>
    </row>
    <row r="34" spans="1:8" x14ac:dyDescent="0.2">
      <c r="A34">
        <v>33</v>
      </c>
      <c r="B34">
        <v>33</v>
      </c>
      <c r="C34">
        <v>82</v>
      </c>
      <c r="D34" s="7">
        <v>42.526358285321926</v>
      </c>
      <c r="E34" s="7"/>
      <c r="F34" s="7"/>
      <c r="G34" s="7"/>
      <c r="H34" s="7"/>
    </row>
    <row r="35" spans="1:8" x14ac:dyDescent="0.2">
      <c r="A35">
        <v>34</v>
      </c>
      <c r="B35">
        <v>34</v>
      </c>
      <c r="C35">
        <v>83</v>
      </c>
      <c r="D35" s="7">
        <v>40.237168876470655</v>
      </c>
      <c r="E35" s="7"/>
      <c r="F35" s="7"/>
      <c r="G35" s="7"/>
      <c r="H35" s="7"/>
    </row>
    <row r="36" spans="1:8" x14ac:dyDescent="0.2">
      <c r="A36">
        <v>35</v>
      </c>
      <c r="B36">
        <v>35</v>
      </c>
      <c r="C36">
        <v>84</v>
      </c>
      <c r="D36" s="7">
        <v>37.825216133781403</v>
      </c>
      <c r="E36" s="7"/>
      <c r="F36" s="7"/>
      <c r="G36" s="7"/>
      <c r="H36" s="7"/>
    </row>
    <row r="37" spans="1:8" x14ac:dyDescent="0.2">
      <c r="A37">
        <v>36</v>
      </c>
      <c r="B37">
        <v>36</v>
      </c>
      <c r="C37">
        <v>85</v>
      </c>
      <c r="D37" s="7">
        <v>35.304112235875849</v>
      </c>
      <c r="E37" s="7"/>
      <c r="F37" s="7"/>
      <c r="G37" s="7"/>
      <c r="H37" s="7"/>
    </row>
    <row r="38" spans="1:8" x14ac:dyDescent="0.2">
      <c r="A38">
        <v>37</v>
      </c>
      <c r="B38">
        <v>37</v>
      </c>
      <c r="C38">
        <v>86</v>
      </c>
      <c r="D38" s="7">
        <v>32.651269163919842</v>
      </c>
      <c r="E38" s="7"/>
      <c r="F38" s="7"/>
      <c r="G38" s="7"/>
      <c r="H38" s="7"/>
    </row>
    <row r="39" spans="1:8" x14ac:dyDescent="0.2">
      <c r="A39">
        <v>38</v>
      </c>
      <c r="B39">
        <v>38</v>
      </c>
      <c r="C39">
        <v>87</v>
      </c>
      <c r="D39" s="7">
        <v>29.920763991154832</v>
      </c>
      <c r="E39" s="7"/>
      <c r="F39" s="7"/>
      <c r="G39" s="7"/>
      <c r="H39" s="7"/>
    </row>
    <row r="40" spans="1:8" x14ac:dyDescent="0.2">
      <c r="A40">
        <v>39</v>
      </c>
      <c r="B40">
        <v>39</v>
      </c>
      <c r="C40">
        <v>88</v>
      </c>
      <c r="D40" s="7">
        <v>27.159165974706749</v>
      </c>
      <c r="E40" s="7"/>
      <c r="F40" s="7"/>
      <c r="G40" s="7"/>
      <c r="H40" s="7"/>
    </row>
    <row r="41" spans="1:8" x14ac:dyDescent="0.2">
      <c r="A41">
        <v>40</v>
      </c>
      <c r="B41">
        <v>40</v>
      </c>
      <c r="C41">
        <v>89</v>
      </c>
      <c r="D41" s="7">
        <v>24.339475300531191</v>
      </c>
      <c r="E41" s="7"/>
      <c r="F41" s="7"/>
      <c r="G41" s="7"/>
      <c r="H41" s="7"/>
    </row>
    <row r="42" spans="1:8" x14ac:dyDescent="0.2">
      <c r="A42">
        <v>41</v>
      </c>
      <c r="B42">
        <v>41</v>
      </c>
      <c r="C42">
        <v>90</v>
      </c>
      <c r="D42" s="7">
        <v>21.503880908546922</v>
      </c>
      <c r="E42" s="7"/>
      <c r="F42" s="7"/>
      <c r="G42" s="7"/>
      <c r="H42" s="7"/>
    </row>
    <row r="43" spans="1:8" x14ac:dyDescent="0.2">
      <c r="A43">
        <v>42</v>
      </c>
      <c r="B43">
        <v>42</v>
      </c>
      <c r="C43">
        <v>91</v>
      </c>
      <c r="D43" s="7">
        <v>18.700152864983018</v>
      </c>
      <c r="E43" s="7"/>
      <c r="F43" s="7"/>
      <c r="G43" s="7"/>
      <c r="H43" s="7"/>
    </row>
    <row r="44" spans="1:8" x14ac:dyDescent="0.2">
      <c r="A44">
        <v>43</v>
      </c>
      <c r="B44">
        <v>43</v>
      </c>
      <c r="C44">
        <v>92</v>
      </c>
      <c r="D44" s="7">
        <v>15.979493590261534</v>
      </c>
      <c r="E44" s="7"/>
      <c r="F44" s="7"/>
      <c r="G44" s="7"/>
      <c r="H44" s="7"/>
    </row>
    <row r="45" spans="1:8" x14ac:dyDescent="0.2">
      <c r="A45">
        <v>44</v>
      </c>
      <c r="B45">
        <v>44</v>
      </c>
      <c r="C45">
        <v>93</v>
      </c>
      <c r="D45" s="7">
        <v>13.393599628327433</v>
      </c>
      <c r="E45" s="7"/>
      <c r="F45" s="7"/>
      <c r="G45" s="7"/>
      <c r="H45" s="7"/>
    </row>
    <row r="46" spans="1:8" x14ac:dyDescent="0.2">
      <c r="A46">
        <v>45</v>
      </c>
      <c r="B46">
        <v>45</v>
      </c>
      <c r="C46">
        <v>94</v>
      </c>
      <c r="D46" s="7">
        <v>10.991124746368971</v>
      </c>
      <c r="E46" s="7"/>
      <c r="F46" s="7"/>
      <c r="G46" s="7"/>
      <c r="H46" s="7"/>
    </row>
    <row r="47" spans="1:8" x14ac:dyDescent="0.2">
      <c r="A47">
        <v>46</v>
      </c>
      <c r="B47">
        <v>46</v>
      </c>
      <c r="C47">
        <v>95</v>
      </c>
      <c r="D47" s="7">
        <v>8.8139035315670693</v>
      </c>
      <c r="E47" s="7"/>
      <c r="F47" s="7"/>
      <c r="G47" s="7"/>
      <c r="H47" s="7"/>
    </row>
    <row r="48" spans="1:8" x14ac:dyDescent="0.2">
      <c r="A48">
        <v>47</v>
      </c>
      <c r="B48">
        <v>47</v>
      </c>
      <c r="C48">
        <v>96</v>
      </c>
      <c r="D48" s="7">
        <v>6.8934288117489428</v>
      </c>
      <c r="E48" s="7"/>
      <c r="F48" s="7"/>
      <c r="G48" s="7"/>
      <c r="H48" s="7"/>
    </row>
    <row r="49" spans="1:8" x14ac:dyDescent="0.2">
      <c r="A49">
        <v>48</v>
      </c>
      <c r="B49">
        <v>48</v>
      </c>
      <c r="C49">
        <v>97</v>
      </c>
      <c r="D49" s="7">
        <v>5.2481437321398632</v>
      </c>
      <c r="E49" s="7"/>
      <c r="F49" s="7"/>
      <c r="G49" s="7"/>
      <c r="H49" s="7"/>
    </row>
    <row r="50" spans="1:8" x14ac:dyDescent="0.2">
      <c r="A50">
        <v>49</v>
      </c>
      <c r="B50">
        <v>49</v>
      </c>
      <c r="C50">
        <v>98</v>
      </c>
      <c r="D50" s="7">
        <v>3.8820550230123505</v>
      </c>
      <c r="E50" s="7"/>
      <c r="F50" s="7"/>
      <c r="G50" s="7"/>
      <c r="H50" s="7"/>
    </row>
    <row r="51" spans="1:8" x14ac:dyDescent="0.2">
      <c r="A51">
        <v>50</v>
      </c>
      <c r="B51">
        <v>50</v>
      </c>
      <c r="C51">
        <v>99</v>
      </c>
      <c r="D51" s="7">
        <v>2.7849862372587779</v>
      </c>
      <c r="E51" s="7"/>
      <c r="F51" s="7"/>
      <c r="G51" s="7"/>
      <c r="H51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5F67-1090-C743-81D0-1488B1EB7A1C}">
  <dimension ref="A1:H51"/>
  <sheetViews>
    <sheetView workbookViewId="0">
      <selection activeCell="N12" sqref="N12"/>
    </sheetView>
  </sheetViews>
  <sheetFormatPr baseColWidth="10" defaultRowHeight="16" x14ac:dyDescent="0.2"/>
  <cols>
    <col min="7" max="7" width="29.5" customWidth="1"/>
    <col min="8" max="8" width="25" customWidth="1"/>
  </cols>
  <sheetData>
    <row r="1" spans="1:8" ht="85" x14ac:dyDescent="0.2">
      <c r="A1" s="3" t="s">
        <v>0</v>
      </c>
      <c r="B1" s="3" t="s">
        <v>1</v>
      </c>
      <c r="C1" s="3" t="s">
        <v>2</v>
      </c>
      <c r="D1" s="9" t="s">
        <v>27</v>
      </c>
      <c r="E1" s="9" t="s">
        <v>30</v>
      </c>
      <c r="F1" s="9" t="s">
        <v>5</v>
      </c>
      <c r="G1" s="17" t="s">
        <v>25</v>
      </c>
      <c r="H1" s="10" t="s">
        <v>25</v>
      </c>
    </row>
    <row r="2" spans="1:8" x14ac:dyDescent="0.2">
      <c r="A2">
        <v>1</v>
      </c>
      <c r="B2">
        <v>1</v>
      </c>
      <c r="C2">
        <v>50</v>
      </c>
      <c r="D2" s="7">
        <v>1.8562669999999999</v>
      </c>
      <c r="E2" s="7">
        <v>1.8562669999999999</v>
      </c>
      <c r="F2" s="7">
        <v>21.727092985126941</v>
      </c>
      <c r="G2" s="18">
        <f>F2/E2</f>
        <v>11.704724042999709</v>
      </c>
      <c r="H2" s="11">
        <f>F2/D2</f>
        <v>11.704724042999709</v>
      </c>
    </row>
    <row r="3" spans="1:8" x14ac:dyDescent="0.2">
      <c r="A3">
        <v>2</v>
      </c>
      <c r="B3">
        <v>2</v>
      </c>
      <c r="C3">
        <v>51</v>
      </c>
      <c r="D3" s="7">
        <v>1.8495683807222731</v>
      </c>
      <c r="E3" s="7">
        <v>1.8495683807222731</v>
      </c>
      <c r="F3" s="7">
        <v>20.971845650691979</v>
      </c>
      <c r="G3" s="18">
        <f t="shared" ref="G3:G32" si="0">F3/E3</f>
        <v>11.338778208623076</v>
      </c>
      <c r="H3" s="11">
        <f t="shared" ref="H3:H32" si="1">F3/D3</f>
        <v>11.338778208623076</v>
      </c>
    </row>
    <row r="4" spans="1:8" x14ac:dyDescent="0.2">
      <c r="A4">
        <v>3</v>
      </c>
      <c r="B4">
        <v>3</v>
      </c>
      <c r="C4">
        <v>52</v>
      </c>
      <c r="D4" s="7">
        <v>1.8423223354835756</v>
      </c>
      <c r="E4" s="7">
        <v>1.8423223354835756</v>
      </c>
      <c r="F4" s="7">
        <v>20.235130773899716</v>
      </c>
      <c r="G4" s="18">
        <f t="shared" si="0"/>
        <v>10.98349099078168</v>
      </c>
      <c r="H4" s="11">
        <f t="shared" si="1"/>
        <v>10.98349099078168</v>
      </c>
    </row>
    <row r="5" spans="1:8" x14ac:dyDescent="0.2">
      <c r="A5">
        <v>4</v>
      </c>
      <c r="B5">
        <v>4</v>
      </c>
      <c r="C5">
        <v>53</v>
      </c>
      <c r="D5" s="7">
        <v>1.834471664447666</v>
      </c>
      <c r="E5" s="7">
        <v>1.834471664447666</v>
      </c>
      <c r="F5" s="7">
        <v>19.516122092634838</v>
      </c>
      <c r="G5" s="18">
        <f t="shared" si="0"/>
        <v>10.638551944333724</v>
      </c>
      <c r="H5" s="11">
        <f t="shared" si="1"/>
        <v>10.638551944333724</v>
      </c>
    </row>
    <row r="6" spans="1:8" x14ac:dyDescent="0.2">
      <c r="A6">
        <v>5</v>
      </c>
      <c r="B6">
        <v>5</v>
      </c>
      <c r="C6">
        <v>54</v>
      </c>
      <c r="D6" s="7">
        <v>1.8259056508916471</v>
      </c>
      <c r="E6" s="7">
        <v>1.8259056508916471</v>
      </c>
      <c r="F6" s="7">
        <v>18.813510409431714</v>
      </c>
      <c r="G6" s="18">
        <f t="shared" si="0"/>
        <v>10.303659666228912</v>
      </c>
      <c r="H6" s="11">
        <f t="shared" si="1"/>
        <v>10.303659666228912</v>
      </c>
    </row>
    <row r="7" spans="1:8" x14ac:dyDescent="0.2">
      <c r="A7">
        <v>6</v>
      </c>
      <c r="B7">
        <v>6</v>
      </c>
      <c r="C7">
        <v>55</v>
      </c>
      <c r="D7" s="7">
        <v>4.4114010085306177</v>
      </c>
      <c r="E7" s="7">
        <v>4.4114010085306177</v>
      </c>
      <c r="F7" s="7">
        <v>37.187149860393092</v>
      </c>
      <c r="G7" s="18">
        <f t="shared" si="0"/>
        <v>8.4297822366368056</v>
      </c>
      <c r="H7" s="11">
        <f t="shared" si="1"/>
        <v>8.4297822366368056</v>
      </c>
    </row>
    <row r="8" spans="1:8" x14ac:dyDescent="0.2">
      <c r="A8">
        <v>7</v>
      </c>
      <c r="B8">
        <v>7</v>
      </c>
      <c r="C8">
        <v>56</v>
      </c>
      <c r="D8" s="7">
        <v>4.3863414726026244</v>
      </c>
      <c r="E8" s="7">
        <v>4.3863414726026244</v>
      </c>
      <c r="F8" s="7">
        <v>35.861236818664324</v>
      </c>
      <c r="G8" s="18">
        <f t="shared" si="0"/>
        <v>8.1756600672008677</v>
      </c>
      <c r="H8" s="11">
        <f t="shared" si="1"/>
        <v>8.1756600672008677</v>
      </c>
    </row>
    <row r="9" spans="1:8" x14ac:dyDescent="0.2">
      <c r="A9">
        <v>8</v>
      </c>
      <c r="B9">
        <v>8</v>
      </c>
      <c r="C9">
        <v>57</v>
      </c>
      <c r="D9" s="7">
        <v>4.3591465946182808</v>
      </c>
      <c r="E9" s="7">
        <v>4.3591465946182808</v>
      </c>
      <c r="F9" s="7">
        <v>34.563409682915051</v>
      </c>
      <c r="G9" s="18">
        <f t="shared" si="0"/>
        <v>7.9289395143504411</v>
      </c>
      <c r="H9" s="11">
        <f t="shared" si="1"/>
        <v>7.9289395143504411</v>
      </c>
    </row>
    <row r="10" spans="1:8" x14ac:dyDescent="0.2">
      <c r="A10">
        <v>9</v>
      </c>
      <c r="B10">
        <v>9</v>
      </c>
      <c r="C10">
        <v>58</v>
      </c>
      <c r="D10" s="7">
        <v>4.3298600447021727</v>
      </c>
      <c r="E10" s="7">
        <v>4.3298600447021727</v>
      </c>
      <c r="F10" s="7">
        <v>33.294047464129832</v>
      </c>
      <c r="G10" s="18">
        <f t="shared" si="0"/>
        <v>7.6894049970199321</v>
      </c>
      <c r="H10" s="11">
        <f t="shared" si="1"/>
        <v>7.6894049970199321</v>
      </c>
    </row>
    <row r="11" spans="1:8" x14ac:dyDescent="0.2">
      <c r="A11">
        <v>10</v>
      </c>
      <c r="B11">
        <v>10</v>
      </c>
      <c r="C11">
        <v>59</v>
      </c>
      <c r="D11" s="7">
        <v>4.2984544443100168</v>
      </c>
      <c r="E11" s="7">
        <v>4.2984544443100168</v>
      </c>
      <c r="F11" s="7">
        <v>32.052918044137087</v>
      </c>
      <c r="G11" s="18">
        <f t="shared" si="0"/>
        <v>7.456847213203905</v>
      </c>
      <c r="H11" s="11">
        <f t="shared" si="1"/>
        <v>7.456847213203905</v>
      </c>
    </row>
    <row r="12" spans="1:8" x14ac:dyDescent="0.2">
      <c r="A12">
        <v>11</v>
      </c>
      <c r="B12">
        <v>11</v>
      </c>
      <c r="C12">
        <v>60</v>
      </c>
      <c r="D12" s="7">
        <v>9.1047335000028227</v>
      </c>
      <c r="E12" s="7">
        <v>9.1047335000028227</v>
      </c>
      <c r="F12" s="7">
        <v>56.629497121207201</v>
      </c>
      <c r="G12" s="18">
        <f t="shared" si="0"/>
        <v>6.2197863475289692</v>
      </c>
      <c r="H12" s="11">
        <f t="shared" si="1"/>
        <v>6.2197863475289692</v>
      </c>
    </row>
    <row r="13" spans="1:8" x14ac:dyDescent="0.2">
      <c r="A13">
        <v>12</v>
      </c>
      <c r="B13">
        <v>12</v>
      </c>
      <c r="C13">
        <v>61</v>
      </c>
      <c r="D13" s="7">
        <v>9.0275712625810183</v>
      </c>
      <c r="E13" s="7">
        <v>9.0275712625810183</v>
      </c>
      <c r="F13" s="7">
        <v>54.456725350319594</v>
      </c>
      <c r="G13" s="18">
        <f t="shared" si="0"/>
        <v>6.03226756858081</v>
      </c>
      <c r="H13" s="11">
        <f t="shared" si="1"/>
        <v>6.03226756858081</v>
      </c>
    </row>
    <row r="14" spans="1:8" x14ac:dyDescent="0.2">
      <c r="A14">
        <v>13</v>
      </c>
      <c r="B14">
        <v>13</v>
      </c>
      <c r="C14">
        <v>62</v>
      </c>
      <c r="D14" s="7">
        <v>8.9451424109615711</v>
      </c>
      <c r="E14" s="7">
        <v>8.9451424109615711</v>
      </c>
      <c r="F14" s="7">
        <v>52.270835248572411</v>
      </c>
      <c r="G14" s="18">
        <f t="shared" si="0"/>
        <v>5.8434883255205188</v>
      </c>
      <c r="H14" s="11">
        <f t="shared" si="1"/>
        <v>5.8434883255205188</v>
      </c>
    </row>
    <row r="15" spans="1:8" x14ac:dyDescent="0.2">
      <c r="A15">
        <v>14</v>
      </c>
      <c r="B15">
        <v>14</v>
      </c>
      <c r="C15">
        <v>63</v>
      </c>
      <c r="D15" s="7">
        <v>8.8573156743167853</v>
      </c>
      <c r="E15" s="7">
        <v>8.8573156743167853</v>
      </c>
      <c r="F15" s="7">
        <v>49.923637939285491</v>
      </c>
      <c r="G15" s="18">
        <f t="shared" si="0"/>
        <v>5.636429791482664</v>
      </c>
      <c r="H15" s="11">
        <f t="shared" si="1"/>
        <v>5.636429791482664</v>
      </c>
    </row>
    <row r="16" spans="1:8" x14ac:dyDescent="0.2">
      <c r="A16">
        <v>15</v>
      </c>
      <c r="B16">
        <v>15</v>
      </c>
      <c r="C16">
        <v>64</v>
      </c>
      <c r="D16" s="7">
        <v>8.7641433153060007</v>
      </c>
      <c r="E16" s="7">
        <v>8.7641433153060007</v>
      </c>
      <c r="F16" s="7">
        <v>47.636642880219313</v>
      </c>
      <c r="G16" s="18">
        <f t="shared" si="0"/>
        <v>5.4354020885332908</v>
      </c>
      <c r="H16" s="11">
        <f t="shared" si="1"/>
        <v>5.4354020885332908</v>
      </c>
    </row>
    <row r="17" spans="1:8" x14ac:dyDescent="0.2">
      <c r="A17">
        <v>16</v>
      </c>
      <c r="B17">
        <v>16</v>
      </c>
      <c r="C17">
        <v>65</v>
      </c>
      <c r="D17" s="7">
        <v>13.719337688855308</v>
      </c>
      <c r="E17" s="7">
        <v>13.719337688855308</v>
      </c>
      <c r="F17" s="7">
        <v>52.665490324271126</v>
      </c>
      <c r="G17" s="18">
        <f t="shared" si="0"/>
        <v>3.8387779001207267</v>
      </c>
      <c r="H17" s="11">
        <f t="shared" si="1"/>
        <v>3.8387779001207267</v>
      </c>
    </row>
    <row r="18" spans="1:8" x14ac:dyDescent="0.2">
      <c r="A18">
        <v>17</v>
      </c>
      <c r="B18">
        <v>17</v>
      </c>
      <c r="C18">
        <v>66</v>
      </c>
      <c r="D18" s="7">
        <v>13.554574716593066</v>
      </c>
      <c r="E18" s="7">
        <v>13.554574716593066</v>
      </c>
      <c r="F18" s="7">
        <v>50.348184893175898</v>
      </c>
      <c r="G18" s="18">
        <f t="shared" si="0"/>
        <v>3.714479129436743</v>
      </c>
      <c r="H18" s="11">
        <f t="shared" si="1"/>
        <v>3.714479129436743</v>
      </c>
    </row>
    <row r="19" spans="1:8" x14ac:dyDescent="0.2">
      <c r="A19">
        <v>18</v>
      </c>
      <c r="B19">
        <v>18</v>
      </c>
      <c r="C19">
        <v>67</v>
      </c>
      <c r="D19" s="7">
        <v>13.381160559728611</v>
      </c>
      <c r="E19" s="7">
        <v>13.381160559728611</v>
      </c>
      <c r="F19" s="7">
        <v>47.848227146672151</v>
      </c>
      <c r="G19" s="18">
        <f t="shared" si="0"/>
        <v>3.5757905252758269</v>
      </c>
      <c r="H19" s="11">
        <f t="shared" si="1"/>
        <v>3.5757905252758269</v>
      </c>
    </row>
    <row r="20" spans="1:8" x14ac:dyDescent="0.2">
      <c r="A20">
        <v>19</v>
      </c>
      <c r="B20">
        <v>19</v>
      </c>
      <c r="C20">
        <v>68</v>
      </c>
      <c r="D20" s="7">
        <v>13.197526064807992</v>
      </c>
      <c r="E20" s="7">
        <v>13.197526064807992</v>
      </c>
      <c r="F20" s="7">
        <v>45.414553253499314</v>
      </c>
      <c r="G20" s="18">
        <f t="shared" si="0"/>
        <v>3.4411413950225103</v>
      </c>
      <c r="H20" s="11">
        <f t="shared" si="1"/>
        <v>3.4411413950225103</v>
      </c>
    </row>
    <row r="21" spans="1:8" x14ac:dyDescent="0.2">
      <c r="A21">
        <v>20</v>
      </c>
      <c r="B21">
        <v>20</v>
      </c>
      <c r="C21">
        <v>69</v>
      </c>
      <c r="D21" s="7">
        <v>13.003134973166377</v>
      </c>
      <c r="E21" s="7">
        <v>13.003134973166377</v>
      </c>
      <c r="F21" s="7">
        <v>43.045761152583722</v>
      </c>
      <c r="G21" s="18">
        <f t="shared" si="0"/>
        <v>3.3104140840969603</v>
      </c>
      <c r="H21" s="11">
        <f t="shared" si="1"/>
        <v>3.3104140840969603</v>
      </c>
    </row>
    <row r="22" spans="1:8" x14ac:dyDescent="0.2">
      <c r="A22">
        <v>21</v>
      </c>
      <c r="B22">
        <v>21</v>
      </c>
      <c r="C22">
        <v>70</v>
      </c>
      <c r="D22" s="7">
        <v>19.538007483339051</v>
      </c>
      <c r="E22" s="7">
        <v>19.538007483339051</v>
      </c>
      <c r="F22" s="7">
        <v>48.691629743729173</v>
      </c>
      <c r="G22" s="18">
        <f t="shared" si="0"/>
        <v>2.4921492012555908</v>
      </c>
      <c r="H22" s="11">
        <f t="shared" si="1"/>
        <v>2.4921492012555908</v>
      </c>
    </row>
    <row r="23" spans="1:8" x14ac:dyDescent="0.2">
      <c r="A23">
        <v>22</v>
      </c>
      <c r="B23">
        <v>22</v>
      </c>
      <c r="C23">
        <v>71</v>
      </c>
      <c r="D23" s="7">
        <v>19.201605323612398</v>
      </c>
      <c r="E23" s="7">
        <v>19.201605323612398</v>
      </c>
      <c r="F23" s="7">
        <v>46.026102249179637</v>
      </c>
      <c r="G23" s="18">
        <f t="shared" si="0"/>
        <v>2.3969924114928505</v>
      </c>
      <c r="H23" s="11">
        <f t="shared" si="1"/>
        <v>2.3969924114928505</v>
      </c>
    </row>
    <row r="24" spans="1:8" x14ac:dyDescent="0.2">
      <c r="A24">
        <v>23</v>
      </c>
      <c r="B24">
        <v>23</v>
      </c>
      <c r="C24">
        <v>72</v>
      </c>
      <c r="D24" s="7">
        <v>18.844348718183962</v>
      </c>
      <c r="E24" s="7">
        <v>18.844348718183962</v>
      </c>
      <c r="F24" s="7">
        <v>43.428821334107148</v>
      </c>
      <c r="G24" s="18">
        <f t="shared" si="0"/>
        <v>2.3046071787134919</v>
      </c>
      <c r="H24" s="11">
        <f t="shared" si="1"/>
        <v>2.3046071787134919</v>
      </c>
    </row>
    <row r="25" spans="1:8" x14ac:dyDescent="0.2">
      <c r="A25">
        <v>24</v>
      </c>
      <c r="B25">
        <v>24</v>
      </c>
      <c r="C25">
        <v>73</v>
      </c>
      <c r="D25" s="7">
        <v>18.466518557496236</v>
      </c>
      <c r="E25" s="7">
        <v>18.466518557496236</v>
      </c>
      <c r="F25" s="7">
        <v>40.901727917375389</v>
      </c>
      <c r="G25" s="18">
        <f t="shared" si="0"/>
        <v>2.2149127779568327</v>
      </c>
      <c r="H25" s="11">
        <f t="shared" si="1"/>
        <v>2.2149127779568327</v>
      </c>
    </row>
    <row r="26" spans="1:8" x14ac:dyDescent="0.2">
      <c r="A26">
        <v>25</v>
      </c>
      <c r="B26">
        <v>25</v>
      </c>
      <c r="C26">
        <v>74</v>
      </c>
      <c r="D26" s="7">
        <v>18.057595843887864</v>
      </c>
      <c r="E26" s="7">
        <v>18.057595843887864</v>
      </c>
      <c r="F26" s="7">
        <v>38.423509251163281</v>
      </c>
      <c r="G26" s="18">
        <f t="shared" si="0"/>
        <v>2.1278308354746391</v>
      </c>
      <c r="H26" s="11">
        <f t="shared" si="1"/>
        <v>2.1278308354746391</v>
      </c>
    </row>
    <row r="27" spans="1:8" x14ac:dyDescent="0.2">
      <c r="A27">
        <v>26</v>
      </c>
      <c r="B27">
        <v>26</v>
      </c>
      <c r="C27">
        <v>75</v>
      </c>
      <c r="D27" s="7">
        <v>22.731249741364358</v>
      </c>
      <c r="E27" s="7">
        <v>22.731249741364358</v>
      </c>
      <c r="F27" s="7">
        <v>46.446427543573428</v>
      </c>
      <c r="G27" s="18">
        <f t="shared" si="0"/>
        <v>2.0432852602492084</v>
      </c>
      <c r="H27" s="11">
        <f t="shared" si="1"/>
        <v>2.0432852602492084</v>
      </c>
    </row>
    <row r="28" spans="1:8" x14ac:dyDescent="0.2">
      <c r="A28">
        <v>27</v>
      </c>
      <c r="B28">
        <v>27</v>
      </c>
      <c r="C28">
        <v>76</v>
      </c>
      <c r="D28" s="7">
        <v>22.12801683373949</v>
      </c>
      <c r="E28" s="7">
        <v>22.12801683373949</v>
      </c>
      <c r="F28" s="7">
        <v>43.896942364006073</v>
      </c>
      <c r="G28" s="18">
        <f t="shared" si="0"/>
        <v>1.9837720973293282</v>
      </c>
      <c r="H28" s="11">
        <f t="shared" si="1"/>
        <v>1.9837720973293282</v>
      </c>
    </row>
    <row r="29" spans="1:8" x14ac:dyDescent="0.2">
      <c r="A29">
        <v>28</v>
      </c>
      <c r="B29">
        <v>28</v>
      </c>
      <c r="C29">
        <v>77</v>
      </c>
      <c r="D29" s="7">
        <v>21.484744588008866</v>
      </c>
      <c r="E29" s="7">
        <v>21.484744588008866</v>
      </c>
      <c r="F29" s="7">
        <v>41.379453234892509</v>
      </c>
      <c r="G29" s="18">
        <f t="shared" si="0"/>
        <v>1.9259923275042024</v>
      </c>
      <c r="H29" s="11">
        <f t="shared" si="1"/>
        <v>1.9259923275042024</v>
      </c>
    </row>
    <row r="30" spans="1:8" x14ac:dyDescent="0.2">
      <c r="A30">
        <v>29</v>
      </c>
      <c r="B30">
        <v>29</v>
      </c>
      <c r="C30">
        <v>78</v>
      </c>
      <c r="D30" s="7">
        <v>20.792677498891628</v>
      </c>
      <c r="E30" s="7">
        <v>20.792677498891628</v>
      </c>
      <c r="F30" s="7">
        <v>38.880133331198593</v>
      </c>
      <c r="G30" s="18">
        <f t="shared" si="0"/>
        <v>1.8698954635963132</v>
      </c>
      <c r="H30" s="11">
        <f t="shared" si="1"/>
        <v>1.8698954635963132</v>
      </c>
    </row>
    <row r="31" spans="1:8" x14ac:dyDescent="0.2">
      <c r="A31">
        <v>30</v>
      </c>
      <c r="B31">
        <v>30</v>
      </c>
      <c r="C31">
        <v>79</v>
      </c>
      <c r="D31" s="7">
        <v>20.052006798667662</v>
      </c>
      <c r="E31" s="7">
        <v>20.052006798667662</v>
      </c>
      <c r="F31" s="7">
        <v>36.403064610515621</v>
      </c>
      <c r="G31" s="18">
        <f t="shared" si="0"/>
        <v>1.8154324889284592</v>
      </c>
      <c r="H31" s="11">
        <f t="shared" si="1"/>
        <v>1.8154324889284592</v>
      </c>
    </row>
    <row r="32" spans="1:8" x14ac:dyDescent="0.2">
      <c r="A32" s="4">
        <v>31</v>
      </c>
      <c r="B32" s="4">
        <v>31</v>
      </c>
      <c r="C32" s="4">
        <v>80</v>
      </c>
      <c r="D32" s="8">
        <v>19.265504244223074</v>
      </c>
      <c r="E32" s="8">
        <v>19.265504244223074</v>
      </c>
      <c r="F32" s="8">
        <v>33.956526524807472</v>
      </c>
      <c r="G32" s="19">
        <f t="shared" si="0"/>
        <v>1.7625558144936502</v>
      </c>
      <c r="H32" s="11">
        <f t="shared" si="1"/>
        <v>1.7625558144936502</v>
      </c>
    </row>
    <row r="33" spans="1:8" x14ac:dyDescent="0.2">
      <c r="A33">
        <v>32</v>
      </c>
      <c r="B33">
        <v>32</v>
      </c>
      <c r="C33">
        <v>81</v>
      </c>
      <c r="D33" s="7">
        <v>18.430062548727161</v>
      </c>
      <c r="E33" s="7"/>
      <c r="F33" s="7"/>
      <c r="G33" s="7"/>
      <c r="H33" s="7"/>
    </row>
    <row r="34" spans="1:8" x14ac:dyDescent="0.2">
      <c r="A34">
        <v>33</v>
      </c>
      <c r="B34">
        <v>33</v>
      </c>
      <c r="C34">
        <v>82</v>
      </c>
      <c r="D34" s="7">
        <v>17.546988193661363</v>
      </c>
      <c r="E34" s="7"/>
      <c r="F34" s="7"/>
      <c r="G34" s="7"/>
      <c r="H34" s="7"/>
    </row>
    <row r="35" spans="1:8" x14ac:dyDescent="0.2">
      <c r="A35">
        <v>34</v>
      </c>
      <c r="B35">
        <v>34</v>
      </c>
      <c r="C35">
        <v>83</v>
      </c>
      <c r="D35" s="7">
        <v>16.609625673637918</v>
      </c>
      <c r="E35" s="7"/>
      <c r="F35" s="7"/>
      <c r="G35" s="7"/>
      <c r="H35" s="7"/>
    </row>
    <row r="36" spans="1:8" x14ac:dyDescent="0.2">
      <c r="A36">
        <v>35</v>
      </c>
      <c r="B36">
        <v>35</v>
      </c>
      <c r="C36">
        <v>84</v>
      </c>
      <c r="D36" s="7">
        <v>15.620750172375882</v>
      </c>
      <c r="E36" s="7"/>
      <c r="F36" s="7"/>
      <c r="G36" s="7"/>
      <c r="H36" s="7"/>
    </row>
    <row r="37" spans="1:8" x14ac:dyDescent="0.2">
      <c r="A37">
        <v>36</v>
      </c>
      <c r="B37">
        <v>36</v>
      </c>
      <c r="C37">
        <v>85</v>
      </c>
      <c r="D37" s="7">
        <v>14.585919173856549</v>
      </c>
      <c r="E37" s="7"/>
      <c r="F37" s="7"/>
      <c r="G37" s="7"/>
      <c r="H37" s="7"/>
    </row>
    <row r="38" spans="1:8" x14ac:dyDescent="0.2">
      <c r="A38">
        <v>37</v>
      </c>
      <c r="B38">
        <v>37</v>
      </c>
      <c r="C38">
        <v>86</v>
      </c>
      <c r="D38" s="7">
        <v>13.495737232364474</v>
      </c>
      <c r="E38" s="7"/>
      <c r="F38" s="7"/>
      <c r="G38" s="7"/>
      <c r="H38" s="7"/>
    </row>
    <row r="39" spans="1:8" x14ac:dyDescent="0.2">
      <c r="A39">
        <v>38</v>
      </c>
      <c r="B39">
        <v>38</v>
      </c>
      <c r="C39">
        <v>87</v>
      </c>
      <c r="D39" s="7">
        <v>12.372494355817473</v>
      </c>
      <c r="E39" s="7"/>
      <c r="F39" s="7"/>
      <c r="G39" s="7"/>
      <c r="H39" s="7"/>
    </row>
    <row r="40" spans="1:8" x14ac:dyDescent="0.2">
      <c r="A40">
        <v>39</v>
      </c>
      <c r="B40">
        <v>39</v>
      </c>
      <c r="C40">
        <v>88</v>
      </c>
      <c r="D40" s="7">
        <v>11.235413335309353</v>
      </c>
      <c r="E40" s="7"/>
      <c r="F40" s="7"/>
      <c r="G40" s="7"/>
      <c r="H40" s="7"/>
    </row>
    <row r="41" spans="1:8" x14ac:dyDescent="0.2">
      <c r="A41">
        <v>40</v>
      </c>
      <c r="B41">
        <v>40</v>
      </c>
      <c r="C41">
        <v>89</v>
      </c>
      <c r="D41" s="7">
        <v>10.073302496706672</v>
      </c>
      <c r="E41" s="7"/>
      <c r="F41" s="7"/>
      <c r="G41" s="7"/>
      <c r="H41" s="7"/>
    </row>
    <row r="42" spans="1:8" x14ac:dyDescent="0.2">
      <c r="A42">
        <v>41</v>
      </c>
      <c r="B42">
        <v>41</v>
      </c>
      <c r="C42">
        <v>90</v>
      </c>
      <c r="D42" s="7">
        <v>8.9035981280475216</v>
      </c>
      <c r="E42" s="7"/>
      <c r="F42" s="7"/>
      <c r="G42" s="7"/>
      <c r="H42" s="7"/>
    </row>
    <row r="43" spans="1:8" x14ac:dyDescent="0.2">
      <c r="A43">
        <v>42</v>
      </c>
      <c r="B43">
        <v>42</v>
      </c>
      <c r="C43">
        <v>91</v>
      </c>
      <c r="D43" s="7">
        <v>7.7460785940581296</v>
      </c>
      <c r="E43" s="7"/>
      <c r="F43" s="7"/>
      <c r="G43" s="7"/>
      <c r="H43" s="7"/>
    </row>
    <row r="44" spans="1:8" x14ac:dyDescent="0.2">
      <c r="A44">
        <v>43</v>
      </c>
      <c r="B44">
        <v>43</v>
      </c>
      <c r="C44">
        <v>92</v>
      </c>
      <c r="D44" s="7">
        <v>6.6219789133569638</v>
      </c>
      <c r="E44" s="7"/>
      <c r="F44" s="7"/>
      <c r="G44" s="7"/>
      <c r="H44" s="7"/>
    </row>
    <row r="45" spans="1:8" x14ac:dyDescent="0.2">
      <c r="A45">
        <v>44</v>
      </c>
      <c r="B45">
        <v>44</v>
      </c>
      <c r="C45">
        <v>93</v>
      </c>
      <c r="D45" s="7">
        <v>5.5527757313004065</v>
      </c>
      <c r="E45" s="7"/>
      <c r="F45" s="7"/>
      <c r="G45" s="7"/>
      <c r="H45" s="7"/>
    </row>
    <row r="46" spans="1:8" x14ac:dyDescent="0.2">
      <c r="A46">
        <v>45</v>
      </c>
      <c r="B46">
        <v>45</v>
      </c>
      <c r="C46">
        <v>94</v>
      </c>
      <c r="D46" s="7">
        <v>4.5587208251216325</v>
      </c>
      <c r="E46" s="7"/>
      <c r="F46" s="7"/>
      <c r="G46" s="7"/>
      <c r="H46" s="7"/>
    </row>
    <row r="47" spans="1:8" x14ac:dyDescent="0.2">
      <c r="A47">
        <v>46</v>
      </c>
      <c r="B47">
        <v>46</v>
      </c>
      <c r="C47">
        <v>95</v>
      </c>
      <c r="D47" s="7">
        <v>3.6572714176697598</v>
      </c>
      <c r="E47" s="7"/>
      <c r="F47" s="7"/>
      <c r="G47" s="7"/>
      <c r="H47" s="7"/>
    </row>
    <row r="48" spans="1:8" x14ac:dyDescent="0.2">
      <c r="A48">
        <v>47</v>
      </c>
      <c r="B48">
        <v>47</v>
      </c>
      <c r="C48">
        <v>96</v>
      </c>
      <c r="D48" s="7">
        <v>2.8616217841015499</v>
      </c>
      <c r="E48" s="7"/>
      <c r="F48" s="7"/>
      <c r="G48" s="7"/>
      <c r="H48" s="7"/>
    </row>
    <row r="49" spans="1:8" x14ac:dyDescent="0.2">
      <c r="A49">
        <v>48</v>
      </c>
      <c r="B49">
        <v>48</v>
      </c>
      <c r="C49">
        <v>97</v>
      </c>
      <c r="D49" s="7">
        <v>2.1795693800167406</v>
      </c>
      <c r="E49" s="7"/>
      <c r="F49" s="7"/>
      <c r="G49" s="7"/>
      <c r="H49" s="7"/>
    </row>
    <row r="50" spans="1:8" x14ac:dyDescent="0.2">
      <c r="A50">
        <v>49</v>
      </c>
      <c r="B50">
        <v>49</v>
      </c>
      <c r="C50">
        <v>98</v>
      </c>
      <c r="D50" s="7">
        <v>1.6129269673912008</v>
      </c>
      <c r="E50" s="7"/>
      <c r="F50" s="7"/>
      <c r="G50" s="7"/>
      <c r="H50" s="7"/>
    </row>
    <row r="51" spans="1:8" x14ac:dyDescent="0.2">
      <c r="A51">
        <v>50</v>
      </c>
      <c r="B51">
        <v>50</v>
      </c>
      <c r="C51">
        <v>99</v>
      </c>
      <c r="D51" s="7">
        <v>1.1576149024990792</v>
      </c>
      <c r="E51" s="7"/>
      <c r="F51" s="7"/>
      <c r="G51" s="7"/>
      <c r="H51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E8398-B74C-094D-9AA7-5288DA6AA8FC}">
  <dimension ref="A1:H51"/>
  <sheetViews>
    <sheetView workbookViewId="0">
      <selection activeCell="K12" sqref="K12"/>
    </sheetView>
  </sheetViews>
  <sheetFormatPr baseColWidth="10" defaultRowHeight="16" x14ac:dyDescent="0.2"/>
  <cols>
    <col min="7" max="7" width="18.5" customWidth="1"/>
    <col min="8" max="8" width="19.33203125" customWidth="1"/>
  </cols>
  <sheetData>
    <row r="1" spans="1:8" ht="85" x14ac:dyDescent="0.2">
      <c r="A1" s="3" t="s">
        <v>0</v>
      </c>
      <c r="B1" s="3" t="s">
        <v>1</v>
      </c>
      <c r="C1" s="3" t="s">
        <v>2</v>
      </c>
      <c r="D1" s="9" t="s">
        <v>3</v>
      </c>
      <c r="E1" s="9" t="s">
        <v>31</v>
      </c>
      <c r="F1" s="9" t="s">
        <v>5</v>
      </c>
      <c r="G1" s="17" t="s">
        <v>25</v>
      </c>
      <c r="H1" s="10" t="s">
        <v>25</v>
      </c>
    </row>
    <row r="2" spans="1:8" x14ac:dyDescent="0.2">
      <c r="A2">
        <v>1</v>
      </c>
      <c r="B2">
        <v>1</v>
      </c>
      <c r="C2">
        <v>50</v>
      </c>
      <c r="D2" s="7">
        <v>17.516331000000001</v>
      </c>
      <c r="E2" s="7">
        <v>37.691799924570489</v>
      </c>
      <c r="F2" s="7">
        <v>28.525101168659887</v>
      </c>
      <c r="G2" s="18">
        <f>F2/E2</f>
        <v>0.75679859348040779</v>
      </c>
      <c r="H2" s="11">
        <f>F2/D2</f>
        <v>1.6284860778584216</v>
      </c>
    </row>
    <row r="3" spans="1:8" x14ac:dyDescent="0.2">
      <c r="A3">
        <v>2</v>
      </c>
      <c r="B3">
        <v>2</v>
      </c>
      <c r="C3">
        <v>51</v>
      </c>
      <c r="D3" s="7">
        <v>17.450387458622057</v>
      </c>
      <c r="E3" s="7">
        <v>17.410698360102071</v>
      </c>
      <c r="F3" s="7">
        <v>37.437266292998679</v>
      </c>
      <c r="G3" s="18">
        <f t="shared" ref="G3:G32" si="0">F3/E3</f>
        <v>2.1502449539180462</v>
      </c>
      <c r="H3" s="11">
        <f t="shared" ref="H3:H32" si="1">F3/D3</f>
        <v>2.1453544445227379</v>
      </c>
    </row>
    <row r="4" spans="1:8" x14ac:dyDescent="0.2">
      <c r="A4">
        <v>3</v>
      </c>
      <c r="B4">
        <v>3</v>
      </c>
      <c r="C4">
        <v>52</v>
      </c>
      <c r="D4" s="7">
        <v>17.379300072439218</v>
      </c>
      <c r="E4" s="7">
        <v>17.611303781390593</v>
      </c>
      <c r="F4" s="7">
        <v>37.278730665828228</v>
      </c>
      <c r="G4" s="18">
        <f t="shared" si="0"/>
        <v>2.1167501922952288</v>
      </c>
      <c r="H4" s="11">
        <f t="shared" si="1"/>
        <v>2.1450075958436505</v>
      </c>
    </row>
    <row r="5" spans="1:8" x14ac:dyDescent="0.2">
      <c r="A5">
        <v>4</v>
      </c>
      <c r="B5">
        <v>4</v>
      </c>
      <c r="C5">
        <v>53</v>
      </c>
      <c r="D5" s="7">
        <v>17.302531760404886</v>
      </c>
      <c r="E5" s="7">
        <v>19.584065545248627</v>
      </c>
      <c r="F5" s="7">
        <v>36.033128548255476</v>
      </c>
      <c r="G5" s="18">
        <f t="shared" si="0"/>
        <v>1.839920749090713</v>
      </c>
      <c r="H5" s="11">
        <f t="shared" si="1"/>
        <v>2.0825350328622827</v>
      </c>
    </row>
    <row r="6" spans="1:8" x14ac:dyDescent="0.2">
      <c r="A6">
        <v>5</v>
      </c>
      <c r="B6">
        <v>5</v>
      </c>
      <c r="C6">
        <v>54</v>
      </c>
      <c r="D6" s="7">
        <v>17.219041092418472</v>
      </c>
      <c r="E6" s="7">
        <v>34.694339449723415</v>
      </c>
      <c r="F6" s="7">
        <v>34.596855422903197</v>
      </c>
      <c r="G6" s="18">
        <f t="shared" si="0"/>
        <v>0.99719020369413613</v>
      </c>
      <c r="H6" s="11">
        <f t="shared" si="1"/>
        <v>2.0092207944225282</v>
      </c>
    </row>
    <row r="7" spans="1:8" x14ac:dyDescent="0.2">
      <c r="A7">
        <v>6</v>
      </c>
      <c r="B7">
        <v>6</v>
      </c>
      <c r="C7">
        <v>55</v>
      </c>
      <c r="D7" s="7">
        <v>34.726032776729298</v>
      </c>
      <c r="E7" s="7">
        <v>34.491849005521203</v>
      </c>
      <c r="F7" s="7">
        <v>56.23456390346098</v>
      </c>
      <c r="G7" s="18">
        <f t="shared" si="0"/>
        <v>1.6303725524966597</v>
      </c>
      <c r="H7" s="11">
        <f t="shared" si="1"/>
        <v>1.6193777234796898</v>
      </c>
    </row>
    <row r="8" spans="1:8" x14ac:dyDescent="0.2">
      <c r="A8">
        <v>7</v>
      </c>
      <c r="B8">
        <v>7</v>
      </c>
      <c r="C8">
        <v>56</v>
      </c>
      <c r="D8" s="7">
        <v>34.518060632627019</v>
      </c>
      <c r="E8" s="7">
        <v>34.324381449498119</v>
      </c>
      <c r="F8" s="7">
        <v>54.202469088555624</v>
      </c>
      <c r="G8" s="18">
        <f t="shared" si="0"/>
        <v>1.5791244240862541</v>
      </c>
      <c r="H8" s="11">
        <f t="shared" si="1"/>
        <v>1.5702640326589665</v>
      </c>
    </row>
    <row r="9" spans="1:8" x14ac:dyDescent="0.2">
      <c r="A9">
        <v>8</v>
      </c>
      <c r="B9">
        <v>8</v>
      </c>
      <c r="C9">
        <v>57</v>
      </c>
      <c r="D9" s="7">
        <v>34.293415382104534</v>
      </c>
      <c r="E9" s="7">
        <v>34.522225391239019</v>
      </c>
      <c r="F9" s="7">
        <v>52.272240519343171</v>
      </c>
      <c r="G9" s="18">
        <f t="shared" si="0"/>
        <v>1.5141619616622026</v>
      </c>
      <c r="H9" s="11">
        <f t="shared" si="1"/>
        <v>1.5242646419703241</v>
      </c>
    </row>
    <row r="10" spans="1:8" x14ac:dyDescent="0.2">
      <c r="A10">
        <v>9</v>
      </c>
      <c r="B10">
        <v>9</v>
      </c>
      <c r="C10">
        <v>58</v>
      </c>
      <c r="D10" s="7">
        <v>34.052456040144932</v>
      </c>
      <c r="E10" s="7">
        <v>37.523608128937568</v>
      </c>
      <c r="F10" s="7">
        <v>50.391945369571886</v>
      </c>
      <c r="G10" s="18">
        <f t="shared" si="0"/>
        <v>1.3429397619870802</v>
      </c>
      <c r="H10" s="11">
        <f t="shared" si="1"/>
        <v>1.479832917489537</v>
      </c>
    </row>
    <row r="11" spans="1:8" x14ac:dyDescent="0.2">
      <c r="A11">
        <v>10</v>
      </c>
      <c r="B11">
        <v>10</v>
      </c>
      <c r="C11">
        <v>59</v>
      </c>
      <c r="D11" s="7">
        <v>33.794982592634845</v>
      </c>
      <c r="E11" s="7">
        <v>61.346005852281301</v>
      </c>
      <c r="F11" s="7">
        <v>48.554135596560748</v>
      </c>
      <c r="G11" s="18">
        <f t="shared" si="0"/>
        <v>0.79147998181784063</v>
      </c>
      <c r="H11" s="11">
        <f t="shared" si="1"/>
        <v>1.436726160857454</v>
      </c>
    </row>
    <row r="12" spans="1:8" x14ac:dyDescent="0.2">
      <c r="A12">
        <v>11</v>
      </c>
      <c r="B12">
        <v>11</v>
      </c>
      <c r="C12">
        <v>60</v>
      </c>
      <c r="D12" s="7">
        <v>61.432238292229542</v>
      </c>
      <c r="E12" s="7">
        <v>60.795061955904444</v>
      </c>
      <c r="F12" s="7">
        <v>76.477905435481688</v>
      </c>
      <c r="G12" s="18">
        <f t="shared" si="0"/>
        <v>1.2579624557493212</v>
      </c>
      <c r="H12" s="11">
        <f t="shared" si="1"/>
        <v>1.2449148453891716</v>
      </c>
    </row>
    <row r="13" spans="1:8" x14ac:dyDescent="0.2">
      <c r="A13">
        <v>12</v>
      </c>
      <c r="B13">
        <v>12</v>
      </c>
      <c r="C13">
        <v>61</v>
      </c>
      <c r="D13" s="7">
        <v>60.877816691951367</v>
      </c>
      <c r="E13" s="7">
        <v>60.266337304848747</v>
      </c>
      <c r="F13" s="7">
        <v>73.580283700045428</v>
      </c>
      <c r="G13" s="18">
        <f t="shared" si="0"/>
        <v>1.2209184594685083</v>
      </c>
      <c r="H13" s="11">
        <f t="shared" si="1"/>
        <v>1.2086551012887006</v>
      </c>
    </row>
    <row r="14" spans="1:8" x14ac:dyDescent="0.2">
      <c r="A14">
        <v>13</v>
      </c>
      <c r="B14">
        <v>13</v>
      </c>
      <c r="C14">
        <v>62</v>
      </c>
      <c r="D14" s="7">
        <v>60.288495294479958</v>
      </c>
      <c r="E14" s="7">
        <v>60.12476866605536</v>
      </c>
      <c r="F14" s="7">
        <v>70.745627809422416</v>
      </c>
      <c r="G14" s="18">
        <f t="shared" si="0"/>
        <v>1.1766469855768988</v>
      </c>
      <c r="H14" s="11">
        <f t="shared" si="1"/>
        <v>1.1734515426842957</v>
      </c>
    </row>
    <row r="15" spans="1:8" x14ac:dyDescent="0.2">
      <c r="A15">
        <v>14</v>
      </c>
      <c r="B15">
        <v>14</v>
      </c>
      <c r="C15">
        <v>63</v>
      </c>
      <c r="D15" s="7">
        <v>59.66344842609135</v>
      </c>
      <c r="E15" s="7">
        <v>63.072169558757729</v>
      </c>
      <c r="F15" s="7">
        <v>67.674197572336112</v>
      </c>
      <c r="G15" s="18">
        <f t="shared" si="0"/>
        <v>1.0729644793539432</v>
      </c>
      <c r="H15" s="11">
        <f t="shared" si="1"/>
        <v>1.1342656074626352</v>
      </c>
    </row>
    <row r="16" spans="1:8" x14ac:dyDescent="0.2">
      <c r="A16">
        <v>15</v>
      </c>
      <c r="B16">
        <v>15</v>
      </c>
      <c r="C16">
        <v>64</v>
      </c>
      <c r="D16" s="7">
        <v>59.003087917412927</v>
      </c>
      <c r="E16" s="7">
        <v>89.069760436438656</v>
      </c>
      <c r="F16" s="7">
        <v>64.641150041505625</v>
      </c>
      <c r="G16" s="18">
        <f t="shared" si="0"/>
        <v>0.72573620637089731</v>
      </c>
      <c r="H16" s="11">
        <f t="shared" si="1"/>
        <v>1.0955553738472863</v>
      </c>
    </row>
    <row r="17" spans="1:8" x14ac:dyDescent="0.2">
      <c r="A17">
        <v>16</v>
      </c>
      <c r="B17">
        <v>16</v>
      </c>
      <c r="C17">
        <v>65</v>
      </c>
      <c r="D17" s="7">
        <v>89.24907398927094</v>
      </c>
      <c r="E17" s="7">
        <v>87.924116088094749</v>
      </c>
      <c r="F17" s="7">
        <v>81.351906379947891</v>
      </c>
      <c r="G17" s="18">
        <f t="shared" si="0"/>
        <v>0.9252513417187852</v>
      </c>
      <c r="H17" s="11">
        <f t="shared" si="1"/>
        <v>0.91151541123807733</v>
      </c>
    </row>
    <row r="18" spans="1:8" x14ac:dyDescent="0.2">
      <c r="A18">
        <v>17</v>
      </c>
      <c r="B18">
        <v>17</v>
      </c>
      <c r="C18">
        <v>66</v>
      </c>
      <c r="D18" s="7">
        <v>88.102812488717717</v>
      </c>
      <c r="E18" s="7">
        <v>86.782414759837849</v>
      </c>
      <c r="F18" s="7">
        <v>77.900394569008668</v>
      </c>
      <c r="G18" s="18">
        <f t="shared" si="0"/>
        <v>0.89765184322873093</v>
      </c>
      <c r="H18" s="11">
        <f t="shared" si="1"/>
        <v>0.88419872610746053</v>
      </c>
    </row>
    <row r="19" spans="1:8" x14ac:dyDescent="0.2">
      <c r="A19">
        <v>18</v>
      </c>
      <c r="B19">
        <v>18</v>
      </c>
      <c r="C19">
        <v>67</v>
      </c>
      <c r="D19" s="7">
        <v>86.902238272890315</v>
      </c>
      <c r="E19" s="7">
        <v>86.01685561297451</v>
      </c>
      <c r="F19" s="7">
        <v>74.591794881260114</v>
      </c>
      <c r="G19" s="18">
        <f t="shared" si="0"/>
        <v>0.86717648941830094</v>
      </c>
      <c r="H19" s="11">
        <f t="shared" si="1"/>
        <v>0.85834146926143651</v>
      </c>
    </row>
    <row r="20" spans="1:8" x14ac:dyDescent="0.2">
      <c r="A20">
        <v>19</v>
      </c>
      <c r="B20">
        <v>19</v>
      </c>
      <c r="C20">
        <v>68</v>
      </c>
      <c r="D20" s="7">
        <v>85.637309190394816</v>
      </c>
      <c r="E20" s="7">
        <v>88.441798998984609</v>
      </c>
      <c r="F20" s="7">
        <v>71.363896643595538</v>
      </c>
      <c r="G20" s="18">
        <f t="shared" si="0"/>
        <v>0.80690236349008304</v>
      </c>
      <c r="H20" s="11">
        <f t="shared" si="1"/>
        <v>0.83332717151276159</v>
      </c>
    </row>
    <row r="21" spans="1:8" x14ac:dyDescent="0.2">
      <c r="A21">
        <v>20</v>
      </c>
      <c r="B21">
        <v>20</v>
      </c>
      <c r="C21">
        <v>69</v>
      </c>
      <c r="D21" s="7">
        <v>84.304713911742894</v>
      </c>
      <c r="E21" s="7">
        <v>114.87386770742134</v>
      </c>
      <c r="F21" s="7">
        <v>68.207032574191686</v>
      </c>
      <c r="G21" s="18">
        <f t="shared" si="0"/>
        <v>0.59375586402219849</v>
      </c>
      <c r="H21" s="11">
        <f t="shared" si="1"/>
        <v>0.80905360340343979</v>
      </c>
    </row>
    <row r="22" spans="1:8" x14ac:dyDescent="0.2">
      <c r="A22">
        <v>21</v>
      </c>
      <c r="B22">
        <v>21</v>
      </c>
      <c r="C22">
        <v>70</v>
      </c>
      <c r="D22" s="7">
        <v>115.20660408915423</v>
      </c>
      <c r="E22" s="7">
        <v>112.74799629837474</v>
      </c>
      <c r="F22" s="7">
        <v>82.44875293706221</v>
      </c>
      <c r="G22" s="18">
        <f t="shared" si="0"/>
        <v>0.73126579313100137</v>
      </c>
      <c r="H22" s="11">
        <f t="shared" si="1"/>
        <v>0.71565995360177526</v>
      </c>
    </row>
    <row r="23" spans="1:8" x14ac:dyDescent="0.2">
      <c r="A23">
        <v>22</v>
      </c>
      <c r="B23">
        <v>22</v>
      </c>
      <c r="C23">
        <v>71</v>
      </c>
      <c r="D23" s="7">
        <v>113.09254731052347</v>
      </c>
      <c r="E23" s="7">
        <v>110.54664055281305</v>
      </c>
      <c r="F23" s="7">
        <v>78.578449612690108</v>
      </c>
      <c r="G23" s="18">
        <f t="shared" si="0"/>
        <v>0.71081716477082524</v>
      </c>
      <c r="H23" s="11">
        <f t="shared" si="1"/>
        <v>0.69481545408057355</v>
      </c>
    </row>
    <row r="24" spans="1:8" x14ac:dyDescent="0.2">
      <c r="A24">
        <v>23</v>
      </c>
      <c r="B24">
        <v>23</v>
      </c>
      <c r="C24">
        <v>72</v>
      </c>
      <c r="D24" s="7">
        <v>110.86052313870135</v>
      </c>
      <c r="E24" s="7">
        <v>108.54122710309538</v>
      </c>
      <c r="F24" s="7">
        <v>74.784081733616503</v>
      </c>
      <c r="G24" s="18">
        <f t="shared" si="0"/>
        <v>0.68899241080612228</v>
      </c>
      <c r="H24" s="11">
        <f t="shared" si="1"/>
        <v>0.6745781060409719</v>
      </c>
    </row>
    <row r="25" spans="1:8" x14ac:dyDescent="0.2">
      <c r="A25">
        <v>24</v>
      </c>
      <c r="B25">
        <v>24</v>
      </c>
      <c r="C25">
        <v>73</v>
      </c>
      <c r="D25" s="7">
        <v>108.51259812378912</v>
      </c>
      <c r="E25" s="7">
        <v>108.72413925793813</v>
      </c>
      <c r="F25" s="7">
        <v>70.618064092111425</v>
      </c>
      <c r="G25" s="18">
        <f t="shared" si="0"/>
        <v>0.64951596374174547</v>
      </c>
      <c r="H25" s="11">
        <f t="shared" si="1"/>
        <v>0.65078217011771922</v>
      </c>
    </row>
    <row r="26" spans="1:8" x14ac:dyDescent="0.2">
      <c r="A26">
        <v>25</v>
      </c>
      <c r="B26">
        <v>25</v>
      </c>
      <c r="C26">
        <v>74</v>
      </c>
      <c r="D26" s="7">
        <v>105.98744126855271</v>
      </c>
      <c r="E26" s="7">
        <v>126.20905623795235</v>
      </c>
      <c r="F26" s="7">
        <v>64.83187578558416</v>
      </c>
      <c r="G26" s="18">
        <f t="shared" si="0"/>
        <v>0.51368640031149015</v>
      </c>
      <c r="H26" s="11">
        <f t="shared" si="1"/>
        <v>0.6116939423163551</v>
      </c>
    </row>
    <row r="27" spans="1:8" x14ac:dyDescent="0.2">
      <c r="A27">
        <v>26</v>
      </c>
      <c r="B27">
        <v>26</v>
      </c>
      <c r="C27">
        <v>75</v>
      </c>
      <c r="D27" s="7">
        <v>126.76799831966886</v>
      </c>
      <c r="E27" s="7">
        <v>122.63794392181245</v>
      </c>
      <c r="F27" s="7">
        <v>72.732785936463117</v>
      </c>
      <c r="G27" s="18">
        <f t="shared" si="0"/>
        <v>0.59306918895210559</v>
      </c>
      <c r="H27" s="11">
        <f t="shared" si="1"/>
        <v>0.57374721460106992</v>
      </c>
    </row>
    <row r="28" spans="1:8" x14ac:dyDescent="0.2">
      <c r="A28">
        <v>27</v>
      </c>
      <c r="B28">
        <v>27</v>
      </c>
      <c r="C28">
        <v>76</v>
      </c>
      <c r="D28" s="7">
        <v>123.23122605265021</v>
      </c>
      <c r="E28" s="7">
        <v>118.84743110539685</v>
      </c>
      <c r="F28" s="7">
        <v>68.308519943187051</v>
      </c>
      <c r="G28" s="18">
        <f t="shared" si="0"/>
        <v>0.57475806845677091</v>
      </c>
      <c r="H28" s="11">
        <f t="shared" si="1"/>
        <v>0.55431177738994841</v>
      </c>
    </row>
    <row r="29" spans="1:8" x14ac:dyDescent="0.2">
      <c r="A29">
        <v>28</v>
      </c>
      <c r="B29">
        <v>28</v>
      </c>
      <c r="C29">
        <v>77</v>
      </c>
      <c r="D29" s="7">
        <v>119.48143452973792</v>
      </c>
      <c r="E29" s="7">
        <v>114.7967476603677</v>
      </c>
      <c r="F29" s="7">
        <v>64.256885254239322</v>
      </c>
      <c r="G29" s="18">
        <f t="shared" si="0"/>
        <v>0.55974482347136478</v>
      </c>
      <c r="H29" s="11">
        <f t="shared" si="1"/>
        <v>0.53779807304076455</v>
      </c>
    </row>
    <row r="30" spans="1:8" x14ac:dyDescent="0.2">
      <c r="A30">
        <v>29</v>
      </c>
      <c r="B30">
        <v>29</v>
      </c>
      <c r="C30">
        <v>78</v>
      </c>
      <c r="D30" s="7">
        <v>115.47091508812461</v>
      </c>
      <c r="E30" s="7">
        <v>110.48945414435688</v>
      </c>
      <c r="F30" s="7">
        <v>60.285534925877499</v>
      </c>
      <c r="G30" s="18">
        <f t="shared" si="0"/>
        <v>0.54562252472632489</v>
      </c>
      <c r="H30" s="11">
        <f t="shared" si="1"/>
        <v>0.52208415322481017</v>
      </c>
    </row>
    <row r="31" spans="1:8" x14ac:dyDescent="0.2">
      <c r="A31">
        <v>30</v>
      </c>
      <c r="B31">
        <v>30</v>
      </c>
      <c r="C31">
        <v>79</v>
      </c>
      <c r="D31" s="7">
        <v>111.20184426848238</v>
      </c>
      <c r="E31" s="7">
        <v>105.93795367699498</v>
      </c>
      <c r="F31" s="7">
        <v>56.364997308636518</v>
      </c>
      <c r="G31" s="18">
        <f t="shared" si="0"/>
        <v>0.53205669311390991</v>
      </c>
      <c r="H31" s="11">
        <f t="shared" si="1"/>
        <v>0.50687106566821472</v>
      </c>
    </row>
    <row r="32" spans="1:8" x14ac:dyDescent="0.2">
      <c r="A32" s="4">
        <v>31</v>
      </c>
      <c r="B32" s="4">
        <v>31</v>
      </c>
      <c r="C32" s="4">
        <v>80</v>
      </c>
      <c r="D32" s="8">
        <v>106.69068025349279</v>
      </c>
      <c r="E32" s="8">
        <v>101.12874135259455</v>
      </c>
      <c r="F32" s="8">
        <v>52.503221713735037</v>
      </c>
      <c r="G32" s="19">
        <f t="shared" si="0"/>
        <v>0.51917210687590565</v>
      </c>
      <c r="H32" s="11">
        <f t="shared" si="1"/>
        <v>0.49210691682712571</v>
      </c>
    </row>
    <row r="33" spans="1:8" x14ac:dyDescent="0.2">
      <c r="A33">
        <v>32</v>
      </c>
      <c r="B33">
        <v>32</v>
      </c>
      <c r="C33">
        <v>81</v>
      </c>
      <c r="D33" s="7">
        <v>101.92128012027615</v>
      </c>
      <c r="E33" s="7"/>
      <c r="F33" s="7"/>
      <c r="G33" s="7"/>
      <c r="H33" s="7"/>
    </row>
    <row r="34" spans="1:8" x14ac:dyDescent="0.2">
      <c r="A34">
        <v>33</v>
      </c>
      <c r="B34">
        <v>33</v>
      </c>
      <c r="C34">
        <v>82</v>
      </c>
      <c r="D34" s="7">
        <v>96.901968892488483</v>
      </c>
      <c r="E34" s="7"/>
      <c r="F34" s="7"/>
      <c r="G34" s="7"/>
      <c r="H34" s="7"/>
    </row>
    <row r="35" spans="1:8" x14ac:dyDescent="0.2">
      <c r="A35">
        <v>34</v>
      </c>
      <c r="B35">
        <v>34</v>
      </c>
      <c r="C35">
        <v>83</v>
      </c>
      <c r="D35" s="7">
        <v>91.597120108486251</v>
      </c>
      <c r="E35" s="7"/>
      <c r="F35" s="7"/>
      <c r="G35" s="7"/>
      <c r="H35" s="7"/>
    </row>
    <row r="36" spans="1:8" x14ac:dyDescent="0.2">
      <c r="A36">
        <v>35</v>
      </c>
      <c r="B36">
        <v>35</v>
      </c>
      <c r="C36">
        <v>84</v>
      </c>
      <c r="D36" s="7">
        <v>86.02324434026157</v>
      </c>
      <c r="E36" s="7"/>
      <c r="F36" s="7"/>
      <c r="G36" s="7"/>
      <c r="H36" s="7"/>
    </row>
    <row r="37" spans="1:8" x14ac:dyDescent="0.2">
      <c r="A37">
        <v>36</v>
      </c>
      <c r="B37">
        <v>36</v>
      </c>
      <c r="C37">
        <v>85</v>
      </c>
      <c r="D37" s="7">
        <v>80.212063818903744</v>
      </c>
      <c r="E37" s="7"/>
      <c r="F37" s="7"/>
      <c r="G37" s="7"/>
      <c r="H37" s="7"/>
    </row>
    <row r="38" spans="1:8" x14ac:dyDescent="0.2">
      <c r="A38">
        <v>37</v>
      </c>
      <c r="B38">
        <v>37</v>
      </c>
      <c r="C38">
        <v>86</v>
      </c>
      <c r="D38" s="7">
        <v>74.113011153774167</v>
      </c>
      <c r="E38" s="7"/>
      <c r="F38" s="7"/>
      <c r="G38" s="7"/>
      <c r="H38" s="7"/>
    </row>
    <row r="39" spans="1:8" x14ac:dyDescent="0.2">
      <c r="A39">
        <v>38</v>
      </c>
      <c r="B39">
        <v>38</v>
      </c>
      <c r="C39">
        <v>87</v>
      </c>
      <c r="D39" s="7">
        <v>67.849564764849958</v>
      </c>
      <c r="E39" s="7"/>
      <c r="F39" s="7"/>
      <c r="G39" s="7"/>
      <c r="H39" s="7"/>
    </row>
    <row r="40" spans="1:8" x14ac:dyDescent="0.2">
      <c r="A40">
        <v>39</v>
      </c>
      <c r="B40">
        <v>39</v>
      </c>
      <c r="C40">
        <v>88</v>
      </c>
      <c r="D40" s="7">
        <v>61.527718698207444</v>
      </c>
      <c r="E40" s="7"/>
      <c r="F40" s="7"/>
      <c r="G40" s="7"/>
      <c r="H40" s="7"/>
    </row>
    <row r="41" spans="1:8" x14ac:dyDescent="0.2">
      <c r="A41">
        <v>40</v>
      </c>
      <c r="B41">
        <v>40</v>
      </c>
      <c r="C41">
        <v>89</v>
      </c>
      <c r="D41" s="7">
        <v>55.086552206674412</v>
      </c>
      <c r="E41" s="7"/>
      <c r="F41" s="7"/>
      <c r="G41" s="7"/>
      <c r="H41" s="7"/>
    </row>
    <row r="42" spans="1:8" x14ac:dyDescent="0.2">
      <c r="A42">
        <v>41</v>
      </c>
      <c r="B42">
        <v>41</v>
      </c>
      <c r="C42">
        <v>90</v>
      </c>
      <c r="D42" s="7">
        <v>48.621821192141283</v>
      </c>
      <c r="E42" s="7"/>
      <c r="F42" s="7"/>
      <c r="G42" s="7"/>
      <c r="H42" s="7"/>
    </row>
    <row r="43" spans="1:8" x14ac:dyDescent="0.2">
      <c r="A43">
        <v>42</v>
      </c>
      <c r="B43">
        <v>42</v>
      </c>
      <c r="C43">
        <v>91</v>
      </c>
      <c r="D43" s="7">
        <v>42.241519136861257</v>
      </c>
      <c r="E43" s="7"/>
      <c r="F43" s="7"/>
      <c r="G43" s="7"/>
      <c r="H43" s="7"/>
    </row>
    <row r="44" spans="1:8" x14ac:dyDescent="0.2">
      <c r="A44">
        <v>43</v>
      </c>
      <c r="B44">
        <v>43</v>
      </c>
      <c r="C44">
        <v>92</v>
      </c>
      <c r="D44" s="7">
        <v>36.060967923885791</v>
      </c>
      <c r="E44" s="7"/>
      <c r="F44" s="7"/>
      <c r="G44" s="7"/>
      <c r="H44" s="7"/>
    </row>
    <row r="45" spans="1:8" x14ac:dyDescent="0.2">
      <c r="A45">
        <v>44</v>
      </c>
      <c r="B45">
        <v>44</v>
      </c>
      <c r="C45">
        <v>93</v>
      </c>
      <c r="D45" s="7">
        <v>30.196157105132578</v>
      </c>
      <c r="E45" s="7"/>
      <c r="F45" s="7"/>
      <c r="G45" s="7"/>
      <c r="H45" s="7"/>
    </row>
    <row r="46" spans="1:8" x14ac:dyDescent="0.2">
      <c r="A46">
        <v>45</v>
      </c>
      <c r="B46">
        <v>45</v>
      </c>
      <c r="C46">
        <v>94</v>
      </c>
      <c r="D46" s="7">
        <v>24.755773286686619</v>
      </c>
      <c r="E46" s="7"/>
      <c r="F46" s="7"/>
      <c r="G46" s="7"/>
      <c r="H46" s="7"/>
    </row>
    <row r="47" spans="1:8" x14ac:dyDescent="0.2">
      <c r="A47">
        <v>46</v>
      </c>
      <c r="B47">
        <v>46</v>
      </c>
      <c r="C47">
        <v>95</v>
      </c>
      <c r="D47" s="7">
        <v>19.832736809156572</v>
      </c>
      <c r="E47" s="7"/>
      <c r="F47" s="7"/>
      <c r="G47" s="7"/>
      <c r="H47" s="7"/>
    </row>
    <row r="48" spans="1:8" x14ac:dyDescent="0.2">
      <c r="A48">
        <v>47</v>
      </c>
      <c r="B48">
        <v>47</v>
      </c>
      <c r="C48">
        <v>96</v>
      </c>
      <c r="D48" s="7">
        <v>15.49635820711678</v>
      </c>
      <c r="E48" s="7"/>
      <c r="F48" s="7"/>
      <c r="G48" s="7"/>
      <c r="H48" s="7"/>
    </row>
    <row r="49" spans="1:8" x14ac:dyDescent="0.2">
      <c r="A49">
        <v>48</v>
      </c>
      <c r="B49">
        <v>48</v>
      </c>
      <c r="C49">
        <v>97</v>
      </c>
      <c r="D49" s="7">
        <v>11.786369946684639</v>
      </c>
      <c r="E49" s="7"/>
      <c r="F49" s="7"/>
      <c r="G49" s="7"/>
      <c r="H49" s="7"/>
    </row>
    <row r="50" spans="1:8" x14ac:dyDescent="0.2">
      <c r="A50">
        <v>49</v>
      </c>
      <c r="B50">
        <v>49</v>
      </c>
      <c r="C50">
        <v>98</v>
      </c>
      <c r="D50" s="7">
        <v>8.7099573915636199</v>
      </c>
      <c r="E50" s="7"/>
      <c r="F50" s="7"/>
      <c r="G50" s="7"/>
      <c r="H50" s="7"/>
    </row>
    <row r="51" spans="1:8" x14ac:dyDescent="0.2">
      <c r="A51">
        <v>50</v>
      </c>
      <c r="B51">
        <v>50</v>
      </c>
      <c r="C51">
        <v>99</v>
      </c>
      <c r="D51" s="7">
        <v>6.2424833573898333</v>
      </c>
      <c r="E51" s="7"/>
      <c r="F51" s="7"/>
      <c r="G51" s="7"/>
      <c r="H51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2C703-980E-384C-805D-45EAFE68E716}">
  <dimension ref="A1:H51"/>
  <sheetViews>
    <sheetView workbookViewId="0">
      <selection activeCell="K20" sqref="K20"/>
    </sheetView>
  </sheetViews>
  <sheetFormatPr baseColWidth="10" defaultRowHeight="16" x14ac:dyDescent="0.2"/>
  <cols>
    <col min="7" max="7" width="24.83203125" customWidth="1"/>
    <col min="8" max="8" width="25" customWidth="1"/>
  </cols>
  <sheetData>
    <row r="1" spans="1:8" ht="85" x14ac:dyDescent="0.2">
      <c r="A1" s="3" t="s">
        <v>0</v>
      </c>
      <c r="B1" s="3" t="s">
        <v>1</v>
      </c>
      <c r="C1" s="3" t="s">
        <v>2</v>
      </c>
      <c r="D1" s="9" t="s">
        <v>29</v>
      </c>
      <c r="E1" s="9" t="s">
        <v>31</v>
      </c>
      <c r="F1" s="9" t="s">
        <v>5</v>
      </c>
      <c r="G1" s="17" t="s">
        <v>25</v>
      </c>
      <c r="H1" s="10" t="s">
        <v>25</v>
      </c>
    </row>
    <row r="2" spans="1:8" x14ac:dyDescent="0.2">
      <c r="A2">
        <v>1</v>
      </c>
      <c r="B2">
        <v>1</v>
      </c>
      <c r="C2">
        <v>50</v>
      </c>
      <c r="D2" s="7">
        <v>6.715834000000001</v>
      </c>
      <c r="E2" s="7">
        <v>6.715834000000001</v>
      </c>
      <c r="F2" s="7">
        <v>43.554342799838089</v>
      </c>
      <c r="G2" s="18">
        <f>F2/E2</f>
        <v>6.4853215251952454</v>
      </c>
      <c r="H2" s="11">
        <f>F2/D2</f>
        <v>6.4853215251952454</v>
      </c>
    </row>
    <row r="3" spans="1:8" x14ac:dyDescent="0.2">
      <c r="A3">
        <v>2</v>
      </c>
      <c r="B3">
        <v>2</v>
      </c>
      <c r="C3">
        <v>51</v>
      </c>
      <c r="D3" s="7">
        <v>6.691273711917618</v>
      </c>
      <c r="E3" s="7">
        <v>6.691273711917618</v>
      </c>
      <c r="F3" s="7">
        <v>42.033033291225138</v>
      </c>
      <c r="G3" s="18">
        <f t="shared" ref="G3:G32" si="0">F3/E3</f>
        <v>6.2817686289474928</v>
      </c>
      <c r="H3" s="11">
        <f t="shared" ref="H3:H32" si="1">F3/D3</f>
        <v>6.2817686289474928</v>
      </c>
    </row>
    <row r="4" spans="1:8" x14ac:dyDescent="0.2">
      <c r="A4">
        <v>3</v>
      </c>
      <c r="B4">
        <v>3</v>
      </c>
      <c r="C4">
        <v>52</v>
      </c>
      <c r="D4" s="7">
        <v>6.6647354417193068</v>
      </c>
      <c r="E4" s="7">
        <v>6.6647354417193068</v>
      </c>
      <c r="F4" s="7">
        <v>40.549213200660816</v>
      </c>
      <c r="G4" s="18">
        <f t="shared" si="0"/>
        <v>6.0841444578331689</v>
      </c>
      <c r="H4" s="11">
        <f t="shared" si="1"/>
        <v>6.0841444578331689</v>
      </c>
    </row>
    <row r="5" spans="1:8" x14ac:dyDescent="0.2">
      <c r="A5">
        <v>4</v>
      </c>
      <c r="B5">
        <v>4</v>
      </c>
      <c r="C5">
        <v>53</v>
      </c>
      <c r="D5" s="7">
        <v>6.6360125634233817</v>
      </c>
      <c r="E5" s="7">
        <v>6.6360125634233817</v>
      </c>
      <c r="F5" s="7">
        <v>39.101219756610469</v>
      </c>
      <c r="G5" s="18">
        <f t="shared" si="0"/>
        <v>5.8922763305377099</v>
      </c>
      <c r="H5" s="11">
        <f t="shared" si="1"/>
        <v>5.8922763305377099</v>
      </c>
    </row>
    <row r="6" spans="1:8" x14ac:dyDescent="0.2">
      <c r="A6">
        <v>5</v>
      </c>
      <c r="B6">
        <v>5</v>
      </c>
      <c r="C6">
        <v>54</v>
      </c>
      <c r="D6" s="7">
        <v>6.6047049088163021</v>
      </c>
      <c r="E6" s="7">
        <v>6.6047049088163021</v>
      </c>
      <c r="F6" s="7">
        <v>37.686423722663072</v>
      </c>
      <c r="G6" s="18">
        <f t="shared" si="0"/>
        <v>5.7059965952994025</v>
      </c>
      <c r="H6" s="11">
        <f t="shared" si="1"/>
        <v>5.7059965952994025</v>
      </c>
    </row>
    <row r="7" spans="1:8" x14ac:dyDescent="0.2">
      <c r="A7">
        <v>6</v>
      </c>
      <c r="B7">
        <v>6</v>
      </c>
      <c r="C7">
        <v>55</v>
      </c>
      <c r="D7" s="7">
        <v>14.179552368652121</v>
      </c>
      <c r="E7" s="7">
        <v>14.179552368652121</v>
      </c>
      <c r="F7" s="7">
        <v>58.055104935002532</v>
      </c>
      <c r="G7" s="18">
        <f t="shared" si="0"/>
        <v>4.0942833331854418</v>
      </c>
      <c r="H7" s="11">
        <f t="shared" si="1"/>
        <v>4.0942833331854418</v>
      </c>
    </row>
    <row r="8" spans="1:8" x14ac:dyDescent="0.2">
      <c r="A8">
        <v>7</v>
      </c>
      <c r="B8">
        <v>7</v>
      </c>
      <c r="C8">
        <v>56</v>
      </c>
      <c r="D8" s="7">
        <v>14.097595671357174</v>
      </c>
      <c r="E8" s="7">
        <v>14.097595671357174</v>
      </c>
      <c r="F8" s="7">
        <v>56.038399024490211</v>
      </c>
      <c r="G8" s="18">
        <f t="shared" si="0"/>
        <v>3.9750323623159636</v>
      </c>
      <c r="H8" s="11">
        <f t="shared" si="1"/>
        <v>3.9750323623159636</v>
      </c>
    </row>
    <row r="9" spans="1:8" x14ac:dyDescent="0.2">
      <c r="A9">
        <v>8</v>
      </c>
      <c r="B9">
        <v>8</v>
      </c>
      <c r="C9">
        <v>57</v>
      </c>
      <c r="D9" s="7">
        <v>14.008792948336655</v>
      </c>
      <c r="E9" s="7">
        <v>14.008792948336655</v>
      </c>
      <c r="F9" s="7">
        <v>54.063500317108598</v>
      </c>
      <c r="G9" s="18">
        <f t="shared" si="0"/>
        <v>3.8592547206951098</v>
      </c>
      <c r="H9" s="11">
        <f t="shared" si="1"/>
        <v>3.8592547206951098</v>
      </c>
    </row>
    <row r="10" spans="1:8" x14ac:dyDescent="0.2">
      <c r="A10">
        <v>9</v>
      </c>
      <c r="B10">
        <v>9</v>
      </c>
      <c r="C10">
        <v>58</v>
      </c>
      <c r="D10" s="7">
        <v>13.91328657963334</v>
      </c>
      <c r="E10" s="7">
        <v>13.91328657963334</v>
      </c>
      <c r="F10" s="7">
        <v>52.02236247581174</v>
      </c>
      <c r="G10" s="18">
        <f t="shared" si="0"/>
        <v>3.7390419710008373</v>
      </c>
      <c r="H10" s="11">
        <f t="shared" si="1"/>
        <v>3.7390419710008373</v>
      </c>
    </row>
    <row r="11" spans="1:8" x14ac:dyDescent="0.2">
      <c r="A11">
        <v>10</v>
      </c>
      <c r="B11">
        <v>10</v>
      </c>
      <c r="C11">
        <v>59</v>
      </c>
      <c r="D11" s="7">
        <v>13.81099060852171</v>
      </c>
      <c r="E11" s="7">
        <v>13.81099060852171</v>
      </c>
      <c r="F11" s="7">
        <v>50.017100566079115</v>
      </c>
      <c r="G11" s="18">
        <f t="shared" si="0"/>
        <v>3.6215433044475009</v>
      </c>
      <c r="H11" s="11">
        <f t="shared" si="1"/>
        <v>3.6215433044475009</v>
      </c>
    </row>
    <row r="12" spans="1:8" x14ac:dyDescent="0.2">
      <c r="A12">
        <v>11</v>
      </c>
      <c r="B12">
        <v>11</v>
      </c>
      <c r="C12">
        <v>60</v>
      </c>
      <c r="D12" s="7">
        <v>25.49568312012094</v>
      </c>
      <c r="E12" s="7">
        <v>25.49568312012094</v>
      </c>
      <c r="F12" s="7">
        <v>73.760453757204772</v>
      </c>
      <c r="G12" s="18">
        <f t="shared" si="0"/>
        <v>2.8930565778405737</v>
      </c>
      <c r="H12" s="11">
        <f t="shared" si="1"/>
        <v>2.8930565778405737</v>
      </c>
    </row>
    <row r="13" spans="1:8" x14ac:dyDescent="0.2">
      <c r="A13">
        <v>12</v>
      </c>
      <c r="B13">
        <v>12</v>
      </c>
      <c r="C13">
        <v>61</v>
      </c>
      <c r="D13" s="7">
        <v>25.275223039493611</v>
      </c>
      <c r="E13" s="7">
        <v>25.275223039493611</v>
      </c>
      <c r="F13" s="7">
        <v>70.849493398599193</v>
      </c>
      <c r="G13" s="18">
        <f t="shared" si="0"/>
        <v>2.8031204032460506</v>
      </c>
      <c r="H13" s="11">
        <f t="shared" si="1"/>
        <v>2.8031204032460506</v>
      </c>
    </row>
    <row r="14" spans="1:8" x14ac:dyDescent="0.2">
      <c r="A14">
        <v>13</v>
      </c>
      <c r="B14">
        <v>13</v>
      </c>
      <c r="C14">
        <v>62</v>
      </c>
      <c r="D14" s="7">
        <v>25.040095868809214</v>
      </c>
      <c r="E14" s="7">
        <v>25.040095868809214</v>
      </c>
      <c r="F14" s="7">
        <v>68.003985732085738</v>
      </c>
      <c r="G14" s="18">
        <f t="shared" si="0"/>
        <v>2.7158037288824359</v>
      </c>
      <c r="H14" s="11">
        <f t="shared" si="1"/>
        <v>2.7158037288824359</v>
      </c>
    </row>
    <row r="15" spans="1:8" x14ac:dyDescent="0.2">
      <c r="A15">
        <v>14</v>
      </c>
      <c r="B15">
        <v>14</v>
      </c>
      <c r="C15">
        <v>63</v>
      </c>
      <c r="D15" s="7">
        <v>24.789941858613091</v>
      </c>
      <c r="E15" s="7">
        <v>24.789941858613091</v>
      </c>
      <c r="F15" s="7">
        <v>65.223087139602683</v>
      </c>
      <c r="G15" s="18">
        <f t="shared" si="0"/>
        <v>2.6310302586264993</v>
      </c>
      <c r="H15" s="11">
        <f t="shared" si="1"/>
        <v>2.6310302586264993</v>
      </c>
    </row>
    <row r="16" spans="1:8" x14ac:dyDescent="0.2">
      <c r="A16">
        <v>15</v>
      </c>
      <c r="B16">
        <v>15</v>
      </c>
      <c r="C16">
        <v>64</v>
      </c>
      <c r="D16" s="7">
        <v>24.524915097939104</v>
      </c>
      <c r="E16" s="7">
        <v>24.524915097939104</v>
      </c>
      <c r="F16" s="7">
        <v>62.507286760899881</v>
      </c>
      <c r="G16" s="18">
        <f t="shared" si="0"/>
        <v>2.5487259185721927</v>
      </c>
      <c r="H16" s="11">
        <f t="shared" si="1"/>
        <v>2.5487259185721927</v>
      </c>
    </row>
    <row r="17" spans="1:8" x14ac:dyDescent="0.2">
      <c r="A17">
        <v>16</v>
      </c>
      <c r="B17">
        <v>16</v>
      </c>
      <c r="C17">
        <v>65</v>
      </c>
      <c r="D17" s="7">
        <v>37.196491886999745</v>
      </c>
      <c r="E17" s="7">
        <v>37.196491886999745</v>
      </c>
      <c r="F17" s="7">
        <v>57.440773589982093</v>
      </c>
      <c r="G17" s="18">
        <f t="shared" si="0"/>
        <v>1.5442524462920593</v>
      </c>
      <c r="H17" s="11">
        <f t="shared" si="1"/>
        <v>1.5442524462920593</v>
      </c>
    </row>
    <row r="18" spans="1:8" x14ac:dyDescent="0.2">
      <c r="A18">
        <v>17</v>
      </c>
      <c r="B18">
        <v>17</v>
      </c>
      <c r="C18">
        <v>66</v>
      </c>
      <c r="D18" s="7">
        <v>36.7401715822227</v>
      </c>
      <c r="E18" s="7">
        <v>36.7401715822227</v>
      </c>
      <c r="F18" s="7">
        <v>55.083592080618828</v>
      </c>
      <c r="G18" s="18">
        <f t="shared" si="0"/>
        <v>1.4992742197010283</v>
      </c>
      <c r="H18" s="11">
        <f t="shared" si="1"/>
        <v>1.4992742197010283</v>
      </c>
    </row>
    <row r="19" spans="1:8" x14ac:dyDescent="0.2">
      <c r="A19">
        <v>18</v>
      </c>
      <c r="B19">
        <v>18</v>
      </c>
      <c r="C19">
        <v>67</v>
      </c>
      <c r="D19" s="7">
        <v>36.260644103053785</v>
      </c>
      <c r="E19" s="7">
        <v>36.260644103053785</v>
      </c>
      <c r="F19" s="7">
        <v>52.781212517924921</v>
      </c>
      <c r="G19" s="18">
        <f t="shared" si="0"/>
        <v>1.4556060385446881</v>
      </c>
      <c r="H19" s="11">
        <f t="shared" si="1"/>
        <v>1.4556060385446881</v>
      </c>
    </row>
    <row r="20" spans="1:8" x14ac:dyDescent="0.2">
      <c r="A20">
        <v>19</v>
      </c>
      <c r="B20">
        <v>19</v>
      </c>
      <c r="C20">
        <v>68</v>
      </c>
      <c r="D20" s="7">
        <v>35.753676719052677</v>
      </c>
      <c r="E20" s="7">
        <v>35.753676719052677</v>
      </c>
      <c r="F20" s="7">
        <v>50.527444400415241</v>
      </c>
      <c r="G20" s="18">
        <f t="shared" si="0"/>
        <v>1.4132097461598911</v>
      </c>
      <c r="H20" s="11">
        <f t="shared" si="1"/>
        <v>1.4132097461598911</v>
      </c>
    </row>
    <row r="21" spans="1:8" x14ac:dyDescent="0.2">
      <c r="A21">
        <v>20</v>
      </c>
      <c r="B21">
        <v>20</v>
      </c>
      <c r="C21">
        <v>69</v>
      </c>
      <c r="D21" s="7">
        <v>35.21783863954991</v>
      </c>
      <c r="E21" s="7">
        <v>35.21783863954991</v>
      </c>
      <c r="F21" s="7">
        <v>48.320575537959556</v>
      </c>
      <c r="G21" s="18">
        <f t="shared" si="0"/>
        <v>1.3720482972426129</v>
      </c>
      <c r="H21" s="11">
        <f t="shared" si="1"/>
        <v>1.3720482972426129</v>
      </c>
    </row>
    <row r="22" spans="1:8" x14ac:dyDescent="0.2">
      <c r="A22">
        <v>21</v>
      </c>
      <c r="B22">
        <v>21</v>
      </c>
      <c r="C22">
        <v>70</v>
      </c>
      <c r="D22" s="7">
        <v>48.925720527141479</v>
      </c>
      <c r="E22" s="7">
        <v>48.925720527141479</v>
      </c>
      <c r="F22" s="7">
        <v>51.720085271083924</v>
      </c>
      <c r="G22" s="18">
        <f t="shared" si="0"/>
        <v>1.0571144321194468</v>
      </c>
      <c r="H22" s="11">
        <f t="shared" si="1"/>
        <v>1.0571144321194468</v>
      </c>
    </row>
    <row r="23" spans="1:8" x14ac:dyDescent="0.2">
      <c r="A23">
        <v>22</v>
      </c>
      <c r="B23">
        <v>22</v>
      </c>
      <c r="C23">
        <v>71</v>
      </c>
      <c r="D23" s="7">
        <v>48.066416214143246</v>
      </c>
      <c r="E23" s="7">
        <v>48.066416214143246</v>
      </c>
      <c r="F23" s="7">
        <v>49.331749786632045</v>
      </c>
      <c r="G23" s="18">
        <f t="shared" si="0"/>
        <v>1.0263246913781037</v>
      </c>
      <c r="H23" s="11">
        <f t="shared" si="1"/>
        <v>1.0263246913781037</v>
      </c>
    </row>
    <row r="24" spans="1:8" x14ac:dyDescent="0.2">
      <c r="A24">
        <v>23</v>
      </c>
      <c r="B24">
        <v>23</v>
      </c>
      <c r="C24">
        <v>72</v>
      </c>
      <c r="D24" s="7">
        <v>47.155524701195162</v>
      </c>
      <c r="E24" s="7">
        <v>47.155524701195162</v>
      </c>
      <c r="F24" s="7">
        <v>46.443538342535227</v>
      </c>
      <c r="G24" s="18">
        <f t="shared" si="0"/>
        <v>0.98490131616239041</v>
      </c>
      <c r="H24" s="11">
        <f t="shared" si="1"/>
        <v>0.98490131616239041</v>
      </c>
    </row>
    <row r="25" spans="1:8" x14ac:dyDescent="0.2">
      <c r="A25">
        <v>24</v>
      </c>
      <c r="B25">
        <v>24</v>
      </c>
      <c r="C25">
        <v>73</v>
      </c>
      <c r="D25" s="7">
        <v>46.193803374310463</v>
      </c>
      <c r="E25" s="7">
        <v>46.193803374310463</v>
      </c>
      <c r="F25" s="7">
        <v>43.241323732517166</v>
      </c>
      <c r="G25" s="18">
        <f t="shared" si="0"/>
        <v>0.93608494156956035</v>
      </c>
      <c r="H25" s="11">
        <f t="shared" si="1"/>
        <v>0.93608494156956035</v>
      </c>
    </row>
    <row r="26" spans="1:8" x14ac:dyDescent="0.2">
      <c r="A26">
        <v>25</v>
      </c>
      <c r="B26">
        <v>25</v>
      </c>
      <c r="C26">
        <v>74</v>
      </c>
      <c r="D26" s="7">
        <v>45.155002285812586</v>
      </c>
      <c r="E26" s="7">
        <v>45.155002285812586</v>
      </c>
      <c r="F26" s="7">
        <v>40.128817184711238</v>
      </c>
      <c r="G26" s="18">
        <f t="shared" si="0"/>
        <v>0.88869040312991987</v>
      </c>
      <c r="H26" s="11">
        <f t="shared" si="1"/>
        <v>0.88869040312991987</v>
      </c>
    </row>
    <row r="27" spans="1:8" x14ac:dyDescent="0.2">
      <c r="A27">
        <v>26</v>
      </c>
      <c r="B27">
        <v>26</v>
      </c>
      <c r="C27">
        <v>75</v>
      </c>
      <c r="D27" s="7">
        <v>55.258004503287218</v>
      </c>
      <c r="E27" s="7">
        <v>55.258004503287218</v>
      </c>
      <c r="F27" s="7">
        <v>46.564610124852223</v>
      </c>
      <c r="G27" s="18">
        <f t="shared" si="0"/>
        <v>0.8426762881399773</v>
      </c>
      <c r="H27" s="11">
        <f t="shared" si="1"/>
        <v>0.8426762881399773</v>
      </c>
    </row>
    <row r="28" spans="1:8" x14ac:dyDescent="0.2">
      <c r="A28">
        <v>27</v>
      </c>
      <c r="B28">
        <v>27</v>
      </c>
      <c r="C28">
        <v>76</v>
      </c>
      <c r="D28" s="7">
        <v>53.768304019237213</v>
      </c>
      <c r="E28" s="7">
        <v>53.768304019237213</v>
      </c>
      <c r="F28" s="7">
        <v>43.989587233507422</v>
      </c>
      <c r="G28" s="18">
        <f t="shared" si="0"/>
        <v>0.81813231858250235</v>
      </c>
      <c r="H28" s="11">
        <f t="shared" si="1"/>
        <v>0.81813231858250235</v>
      </c>
    </row>
    <row r="29" spans="1:8" x14ac:dyDescent="0.2">
      <c r="A29">
        <v>28</v>
      </c>
      <c r="B29">
        <v>28</v>
      </c>
      <c r="C29">
        <v>77</v>
      </c>
      <c r="D29" s="7">
        <v>52.182634459273274</v>
      </c>
      <c r="E29" s="7">
        <v>52.182634459273274</v>
      </c>
      <c r="F29" s="7">
        <v>41.448834679522747</v>
      </c>
      <c r="G29" s="18">
        <f t="shared" si="0"/>
        <v>0.79430322192475955</v>
      </c>
      <c r="H29" s="11">
        <f t="shared" si="1"/>
        <v>0.79430322192475955</v>
      </c>
    </row>
    <row r="30" spans="1:8" x14ac:dyDescent="0.2">
      <c r="A30">
        <v>29</v>
      </c>
      <c r="B30">
        <v>29</v>
      </c>
      <c r="C30">
        <v>78</v>
      </c>
      <c r="D30" s="7">
        <v>50.479864922228373</v>
      </c>
      <c r="E30" s="7">
        <v>50.479864922228373</v>
      </c>
      <c r="F30" s="7">
        <v>38.928465388400632</v>
      </c>
      <c r="G30" s="18">
        <f t="shared" si="0"/>
        <v>0.77116817662598014</v>
      </c>
      <c r="H30" s="11">
        <f t="shared" si="1"/>
        <v>0.77116817662598014</v>
      </c>
    </row>
    <row r="31" spans="1:8" x14ac:dyDescent="0.2">
      <c r="A31">
        <v>30</v>
      </c>
      <c r="B31">
        <v>30</v>
      </c>
      <c r="C31">
        <v>79</v>
      </c>
      <c r="D31" s="7">
        <v>48.660612433972219</v>
      </c>
      <c r="E31" s="7">
        <v>48.660612433972219</v>
      </c>
      <c r="F31" s="7">
        <v>36.432539576902769</v>
      </c>
      <c r="G31" s="18">
        <f t="shared" si="0"/>
        <v>0.74870696759803901</v>
      </c>
      <c r="H31" s="11">
        <f t="shared" si="1"/>
        <v>0.74870696759803901</v>
      </c>
    </row>
    <row r="32" spans="1:8" x14ac:dyDescent="0.2">
      <c r="A32" s="4">
        <v>31</v>
      </c>
      <c r="B32" s="4">
        <v>31</v>
      </c>
      <c r="C32" s="4">
        <v>80</v>
      </c>
      <c r="D32" s="8">
        <v>46.731752584853709</v>
      </c>
      <c r="E32" s="8">
        <v>46.731752584853709</v>
      </c>
      <c r="F32" s="8">
        <v>11.855896671257483</v>
      </c>
      <c r="G32" s="19">
        <f t="shared" si="0"/>
        <v>0.25370109220128229</v>
      </c>
      <c r="H32" s="11">
        <f t="shared" si="1"/>
        <v>0.25370109220128229</v>
      </c>
    </row>
    <row r="33" spans="1:8" x14ac:dyDescent="0.2">
      <c r="A33">
        <v>32</v>
      </c>
      <c r="B33">
        <v>32</v>
      </c>
      <c r="C33">
        <v>81</v>
      </c>
      <c r="D33" s="7">
        <v>44.685894745591249</v>
      </c>
      <c r="E33" s="7"/>
      <c r="F33" s="7"/>
      <c r="G33" s="7"/>
      <c r="H33" s="7"/>
    </row>
    <row r="34" spans="1:8" x14ac:dyDescent="0.2">
      <c r="A34">
        <v>33</v>
      </c>
      <c r="B34">
        <v>33</v>
      </c>
      <c r="C34">
        <v>82</v>
      </c>
      <c r="D34" s="7">
        <v>42.526358285321926</v>
      </c>
      <c r="E34" s="7"/>
      <c r="F34" s="7"/>
      <c r="G34" s="7"/>
      <c r="H34" s="7"/>
    </row>
    <row r="35" spans="1:8" x14ac:dyDescent="0.2">
      <c r="A35">
        <v>34</v>
      </c>
      <c r="B35">
        <v>34</v>
      </c>
      <c r="C35">
        <v>83</v>
      </c>
      <c r="D35" s="7">
        <v>40.237168876470655</v>
      </c>
      <c r="E35" s="7"/>
      <c r="F35" s="7"/>
      <c r="G35" s="7"/>
      <c r="H35" s="7"/>
    </row>
    <row r="36" spans="1:8" x14ac:dyDescent="0.2">
      <c r="A36">
        <v>35</v>
      </c>
      <c r="B36">
        <v>35</v>
      </c>
      <c r="C36">
        <v>84</v>
      </c>
      <c r="D36" s="7">
        <v>37.825216133781403</v>
      </c>
      <c r="E36" s="7"/>
      <c r="F36" s="7"/>
      <c r="G36" s="7"/>
      <c r="H36" s="7"/>
    </row>
    <row r="37" spans="1:8" x14ac:dyDescent="0.2">
      <c r="A37">
        <v>36</v>
      </c>
      <c r="B37">
        <v>36</v>
      </c>
      <c r="C37">
        <v>85</v>
      </c>
      <c r="D37" s="7">
        <v>35.304112235875849</v>
      </c>
      <c r="E37" s="7"/>
      <c r="F37" s="7"/>
      <c r="G37" s="7"/>
      <c r="H37" s="7"/>
    </row>
    <row r="38" spans="1:8" x14ac:dyDescent="0.2">
      <c r="A38">
        <v>37</v>
      </c>
      <c r="B38">
        <v>37</v>
      </c>
      <c r="C38">
        <v>86</v>
      </c>
      <c r="D38" s="7">
        <v>32.651269163919842</v>
      </c>
      <c r="E38" s="7"/>
      <c r="F38" s="7"/>
      <c r="G38" s="7"/>
      <c r="H38" s="7"/>
    </row>
    <row r="39" spans="1:8" x14ac:dyDescent="0.2">
      <c r="A39">
        <v>38</v>
      </c>
      <c r="B39">
        <v>38</v>
      </c>
      <c r="C39">
        <v>87</v>
      </c>
      <c r="D39" s="7">
        <v>29.920763991154832</v>
      </c>
      <c r="E39" s="7"/>
      <c r="F39" s="7"/>
      <c r="G39" s="7"/>
      <c r="H39" s="7"/>
    </row>
    <row r="40" spans="1:8" x14ac:dyDescent="0.2">
      <c r="A40">
        <v>39</v>
      </c>
      <c r="B40">
        <v>39</v>
      </c>
      <c r="C40">
        <v>88</v>
      </c>
      <c r="D40" s="7">
        <v>27.159165974706749</v>
      </c>
      <c r="E40" s="7"/>
      <c r="F40" s="7"/>
      <c r="G40" s="7"/>
      <c r="H40" s="7"/>
    </row>
    <row r="41" spans="1:8" x14ac:dyDescent="0.2">
      <c r="A41">
        <v>40</v>
      </c>
      <c r="B41">
        <v>40</v>
      </c>
      <c r="C41">
        <v>89</v>
      </c>
      <c r="D41" s="7">
        <v>24.339475300531191</v>
      </c>
      <c r="E41" s="7"/>
      <c r="F41" s="7"/>
      <c r="G41" s="7"/>
      <c r="H41" s="7"/>
    </row>
    <row r="42" spans="1:8" x14ac:dyDescent="0.2">
      <c r="A42">
        <v>41</v>
      </c>
      <c r="B42">
        <v>41</v>
      </c>
      <c r="C42">
        <v>90</v>
      </c>
      <c r="D42" s="7">
        <v>21.503880908546922</v>
      </c>
      <c r="E42" s="7"/>
      <c r="F42" s="7"/>
      <c r="G42" s="7"/>
      <c r="H42" s="7"/>
    </row>
    <row r="43" spans="1:8" x14ac:dyDescent="0.2">
      <c r="A43">
        <v>42</v>
      </c>
      <c r="B43">
        <v>42</v>
      </c>
      <c r="C43">
        <v>91</v>
      </c>
      <c r="D43" s="7">
        <v>18.700152864983018</v>
      </c>
      <c r="E43" s="7"/>
      <c r="F43" s="7"/>
      <c r="G43" s="7"/>
      <c r="H43" s="7"/>
    </row>
    <row r="44" spans="1:8" x14ac:dyDescent="0.2">
      <c r="A44">
        <v>43</v>
      </c>
      <c r="B44">
        <v>43</v>
      </c>
      <c r="C44">
        <v>92</v>
      </c>
      <c r="D44" s="7">
        <v>15.979493590261534</v>
      </c>
      <c r="E44" s="7"/>
      <c r="F44" s="7"/>
      <c r="G44" s="7"/>
      <c r="H44" s="7"/>
    </row>
    <row r="45" spans="1:8" x14ac:dyDescent="0.2">
      <c r="A45">
        <v>44</v>
      </c>
      <c r="B45">
        <v>44</v>
      </c>
      <c r="C45">
        <v>93</v>
      </c>
      <c r="D45" s="7">
        <v>13.393599628327433</v>
      </c>
      <c r="E45" s="7"/>
      <c r="F45" s="7"/>
      <c r="G45" s="7"/>
      <c r="H45" s="7"/>
    </row>
    <row r="46" spans="1:8" x14ac:dyDescent="0.2">
      <c r="A46">
        <v>45</v>
      </c>
      <c r="B46">
        <v>45</v>
      </c>
      <c r="C46">
        <v>94</v>
      </c>
      <c r="D46" s="7">
        <v>10.991124746368971</v>
      </c>
      <c r="E46" s="7"/>
      <c r="F46" s="7"/>
      <c r="G46" s="7"/>
      <c r="H46" s="7"/>
    </row>
    <row r="47" spans="1:8" x14ac:dyDescent="0.2">
      <c r="A47">
        <v>46</v>
      </c>
      <c r="B47">
        <v>46</v>
      </c>
      <c r="C47">
        <v>95</v>
      </c>
      <c r="D47" s="7">
        <v>8.8139035315670693</v>
      </c>
      <c r="E47" s="7"/>
      <c r="F47" s="7"/>
      <c r="G47" s="7"/>
      <c r="H47" s="7"/>
    </row>
    <row r="48" spans="1:8" x14ac:dyDescent="0.2">
      <c r="A48">
        <v>47</v>
      </c>
      <c r="B48">
        <v>47</v>
      </c>
      <c r="C48">
        <v>96</v>
      </c>
      <c r="D48" s="7">
        <v>6.8934288117489428</v>
      </c>
      <c r="E48" s="7"/>
      <c r="F48" s="7"/>
      <c r="G48" s="7"/>
      <c r="H48" s="7"/>
    </row>
    <row r="49" spans="1:8" x14ac:dyDescent="0.2">
      <c r="A49">
        <v>48</v>
      </c>
      <c r="B49">
        <v>48</v>
      </c>
      <c r="C49">
        <v>97</v>
      </c>
      <c r="D49" s="7">
        <v>5.2481437321398632</v>
      </c>
      <c r="E49" s="7"/>
      <c r="F49" s="7"/>
      <c r="G49" s="7"/>
      <c r="H49" s="7"/>
    </row>
    <row r="50" spans="1:8" x14ac:dyDescent="0.2">
      <c r="A50">
        <v>49</v>
      </c>
      <c r="B50">
        <v>49</v>
      </c>
      <c r="C50">
        <v>98</v>
      </c>
      <c r="D50" s="7">
        <v>3.8820550230123505</v>
      </c>
      <c r="E50" s="7"/>
      <c r="F50" s="7"/>
      <c r="G50" s="7"/>
      <c r="H50" s="7"/>
    </row>
    <row r="51" spans="1:8" x14ac:dyDescent="0.2">
      <c r="A51">
        <v>50</v>
      </c>
      <c r="B51">
        <v>50</v>
      </c>
      <c r="C51">
        <v>99</v>
      </c>
      <c r="D51" s="7">
        <v>2.7849862372587779</v>
      </c>
      <c r="E51" s="7"/>
      <c r="F51" s="7"/>
      <c r="G51" s="7"/>
      <c r="H51" s="7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18387-01E3-824E-9911-14BE9B30540D}">
  <dimension ref="A1:H51"/>
  <sheetViews>
    <sheetView workbookViewId="0">
      <selection activeCell="H11" sqref="H11"/>
    </sheetView>
  </sheetViews>
  <sheetFormatPr baseColWidth="10" defaultRowHeight="16" x14ac:dyDescent="0.2"/>
  <sheetData>
    <row r="1" spans="1:8" ht="85" x14ac:dyDescent="0.2">
      <c r="A1" s="3" t="s">
        <v>0</v>
      </c>
      <c r="B1" s="3" t="s">
        <v>1</v>
      </c>
      <c r="C1" s="3" t="s">
        <v>2</v>
      </c>
      <c r="D1" s="9" t="s">
        <v>29</v>
      </c>
      <c r="E1" s="9" t="s">
        <v>31</v>
      </c>
      <c r="F1" s="9" t="s">
        <v>5</v>
      </c>
      <c r="G1" s="10" t="s">
        <v>25</v>
      </c>
      <c r="H1" s="1"/>
    </row>
    <row r="2" spans="1:8" x14ac:dyDescent="0.2">
      <c r="A2">
        <v>1</v>
      </c>
      <c r="B2">
        <v>1</v>
      </c>
      <c r="C2">
        <v>50</v>
      </c>
      <c r="D2" s="7">
        <v>17.516331000000001</v>
      </c>
      <c r="E2" s="7">
        <v>17.516331000000001</v>
      </c>
      <c r="F2" s="7">
        <v>25.374374085030638</v>
      </c>
      <c r="G2" s="7">
        <f>F2/E2</f>
        <v>1.4486123883495143</v>
      </c>
      <c r="H2" s="11">
        <f>F2/D2</f>
        <v>1.4486123883495143</v>
      </c>
    </row>
    <row r="3" spans="1:8" x14ac:dyDescent="0.2">
      <c r="A3">
        <v>2</v>
      </c>
      <c r="B3">
        <v>2</v>
      </c>
      <c r="C3">
        <v>51</v>
      </c>
      <c r="D3" s="7">
        <v>17.450387458622057</v>
      </c>
      <c r="E3" s="7">
        <v>17.450387458622057</v>
      </c>
      <c r="F3" s="7">
        <v>24.542570343746515</v>
      </c>
      <c r="G3" s="7">
        <f t="shared" ref="G3:G32" si="0">F3/E3</f>
        <v>1.4064197945140917</v>
      </c>
      <c r="H3" s="11">
        <f t="shared" ref="H3:H32" si="1">F3/D3</f>
        <v>1.4064197945140917</v>
      </c>
    </row>
    <row r="4" spans="1:8" x14ac:dyDescent="0.2">
      <c r="A4">
        <v>3</v>
      </c>
      <c r="B4">
        <v>3</v>
      </c>
      <c r="C4">
        <v>52</v>
      </c>
      <c r="D4" s="7">
        <v>17.379300072439218</v>
      </c>
      <c r="E4" s="7">
        <v>17.379300072439218</v>
      </c>
      <c r="F4" s="7">
        <v>23.730671491921072</v>
      </c>
      <c r="G4" s="7">
        <f t="shared" si="0"/>
        <v>1.3654561111787298</v>
      </c>
      <c r="H4" s="11">
        <f t="shared" si="1"/>
        <v>1.3654561111787298</v>
      </c>
    </row>
    <row r="5" spans="1:8" x14ac:dyDescent="0.2">
      <c r="A5">
        <v>4</v>
      </c>
      <c r="B5">
        <v>4</v>
      </c>
      <c r="C5">
        <v>53</v>
      </c>
      <c r="D5" s="7">
        <v>17.302531760404886</v>
      </c>
      <c r="E5" s="7">
        <v>17.302531760404886</v>
      </c>
      <c r="F5" s="7">
        <v>22.725068563131856</v>
      </c>
      <c r="G5" s="7">
        <f t="shared" si="0"/>
        <v>1.3133955699556006</v>
      </c>
      <c r="H5" s="11">
        <f t="shared" si="1"/>
        <v>1.3133955699556006</v>
      </c>
    </row>
    <row r="6" spans="1:8" x14ac:dyDescent="0.2">
      <c r="A6">
        <v>5</v>
      </c>
      <c r="B6">
        <v>5</v>
      </c>
      <c r="C6">
        <v>54</v>
      </c>
      <c r="D6" s="7">
        <v>17.219041092418472</v>
      </c>
      <c r="E6" s="7">
        <v>17.219041092418472</v>
      </c>
      <c r="F6" s="7">
        <v>21.738701707259629</v>
      </c>
      <c r="G6" s="7">
        <f t="shared" si="0"/>
        <v>1.2624803896211827</v>
      </c>
      <c r="H6" s="11">
        <f t="shared" si="1"/>
        <v>1.2624803896211827</v>
      </c>
    </row>
    <row r="7" spans="1:8" x14ac:dyDescent="0.2">
      <c r="A7">
        <v>6</v>
      </c>
      <c r="B7">
        <v>6</v>
      </c>
      <c r="C7">
        <v>55</v>
      </c>
      <c r="D7" s="7">
        <v>34.726032776729298</v>
      </c>
      <c r="E7" s="7">
        <v>34.726032776729298</v>
      </c>
      <c r="F7" s="7">
        <v>32.425678506829392</v>
      </c>
      <c r="G7" s="7">
        <f t="shared" si="0"/>
        <v>0.93375706678934467</v>
      </c>
      <c r="H7" s="11">
        <f t="shared" si="1"/>
        <v>0.93375706678934467</v>
      </c>
    </row>
    <row r="8" spans="1:8" x14ac:dyDescent="0.2">
      <c r="A8">
        <v>7</v>
      </c>
      <c r="B8">
        <v>7</v>
      </c>
      <c r="C8">
        <v>56</v>
      </c>
      <c r="D8" s="7">
        <v>34.518060632627019</v>
      </c>
      <c r="E8" s="7">
        <v>34.518060632627019</v>
      </c>
      <c r="F8" s="7">
        <v>31.292701987940347</v>
      </c>
      <c r="G8" s="7">
        <f t="shared" si="0"/>
        <v>0.90656025901878123</v>
      </c>
      <c r="H8" s="11">
        <f t="shared" si="1"/>
        <v>0.90656025901878123</v>
      </c>
    </row>
    <row r="9" spans="1:8" x14ac:dyDescent="0.2">
      <c r="A9">
        <v>8</v>
      </c>
      <c r="B9">
        <v>8</v>
      </c>
      <c r="C9">
        <v>57</v>
      </c>
      <c r="D9" s="7">
        <v>34.293415382104534</v>
      </c>
      <c r="E9" s="7">
        <v>34.293415382104534</v>
      </c>
      <c r="F9" s="7">
        <v>30.183541292659559</v>
      </c>
      <c r="G9" s="7">
        <f t="shared" si="0"/>
        <v>0.88015559128037024</v>
      </c>
      <c r="H9" s="11">
        <f t="shared" si="1"/>
        <v>0.88015559128037024</v>
      </c>
    </row>
    <row r="10" spans="1:8" x14ac:dyDescent="0.2">
      <c r="A10">
        <v>9</v>
      </c>
      <c r="B10">
        <v>9</v>
      </c>
      <c r="C10">
        <v>58</v>
      </c>
      <c r="D10" s="7">
        <v>34.052456040144932</v>
      </c>
      <c r="E10" s="7">
        <v>34.052456040144932</v>
      </c>
      <c r="F10" s="7">
        <v>29.098504447148127</v>
      </c>
      <c r="G10" s="7">
        <f t="shared" si="0"/>
        <v>0.85451999153433988</v>
      </c>
      <c r="H10" s="11">
        <f t="shared" si="1"/>
        <v>0.85451999153433988</v>
      </c>
    </row>
    <row r="11" spans="1:8" x14ac:dyDescent="0.2">
      <c r="A11">
        <v>10</v>
      </c>
      <c r="B11">
        <v>10</v>
      </c>
      <c r="C11">
        <v>59</v>
      </c>
      <c r="D11" s="7">
        <v>33.794982592634845</v>
      </c>
      <c r="E11" s="7">
        <v>33.794982592634845</v>
      </c>
      <c r="F11" s="7">
        <v>28.037367222292712</v>
      </c>
      <c r="G11" s="7">
        <f t="shared" si="0"/>
        <v>0.82963105974207763</v>
      </c>
      <c r="H11" s="11">
        <f t="shared" si="1"/>
        <v>0.82963105974207763</v>
      </c>
    </row>
    <row r="12" spans="1:8" x14ac:dyDescent="0.2">
      <c r="A12">
        <v>11</v>
      </c>
      <c r="B12">
        <v>11</v>
      </c>
      <c r="C12">
        <v>60</v>
      </c>
      <c r="D12" s="7">
        <v>61.432238292229542</v>
      </c>
      <c r="E12" s="7">
        <v>61.432238292229542</v>
      </c>
      <c r="F12" s="7">
        <v>41.342504309136906</v>
      </c>
      <c r="G12" s="7">
        <f t="shared" si="0"/>
        <v>0.67297733988582753</v>
      </c>
      <c r="H12" s="11">
        <f t="shared" si="1"/>
        <v>0.67297733988582753</v>
      </c>
    </row>
    <row r="13" spans="1:8" x14ac:dyDescent="0.2">
      <c r="A13">
        <v>12</v>
      </c>
      <c r="B13">
        <v>12</v>
      </c>
      <c r="C13">
        <v>61</v>
      </c>
      <c r="D13" s="7">
        <v>60.877816691951367</v>
      </c>
      <c r="E13" s="7">
        <v>60.877816691951367</v>
      </c>
      <c r="F13" s="7">
        <v>39.776107898452878</v>
      </c>
      <c r="G13" s="7">
        <f t="shared" si="0"/>
        <v>0.65337605814158017</v>
      </c>
      <c r="H13" s="11">
        <f t="shared" si="1"/>
        <v>0.65337605814158017</v>
      </c>
    </row>
    <row r="14" spans="1:8" x14ac:dyDescent="0.2">
      <c r="A14">
        <v>13</v>
      </c>
      <c r="B14">
        <v>13</v>
      </c>
      <c r="C14">
        <v>62</v>
      </c>
      <c r="D14" s="7">
        <v>60.288495294479958</v>
      </c>
      <c r="E14" s="7">
        <v>60.288495294479958</v>
      </c>
      <c r="F14" s="7">
        <v>38.243746996887886</v>
      </c>
      <c r="G14" s="7">
        <f t="shared" si="0"/>
        <v>0.63434568751609732</v>
      </c>
      <c r="H14" s="11">
        <f t="shared" si="1"/>
        <v>0.63434568751609732</v>
      </c>
    </row>
    <row r="15" spans="1:8" x14ac:dyDescent="0.2">
      <c r="A15">
        <v>14</v>
      </c>
      <c r="B15">
        <v>14</v>
      </c>
      <c r="C15">
        <v>63</v>
      </c>
      <c r="D15" s="7">
        <v>59.66344842609135</v>
      </c>
      <c r="E15" s="7">
        <v>59.66344842609135</v>
      </c>
      <c r="F15" s="7">
        <v>36.744904088767115</v>
      </c>
      <c r="G15" s="7">
        <f t="shared" si="0"/>
        <v>0.61586959953019149</v>
      </c>
      <c r="H15" s="11">
        <f t="shared" si="1"/>
        <v>0.61586959953019149</v>
      </c>
    </row>
    <row r="16" spans="1:8" x14ac:dyDescent="0.2">
      <c r="A16">
        <v>15</v>
      </c>
      <c r="B16">
        <v>15</v>
      </c>
      <c r="C16">
        <v>64</v>
      </c>
      <c r="D16" s="7">
        <v>59.003087917412927</v>
      </c>
      <c r="E16" s="7">
        <v>59.003087917412927</v>
      </c>
      <c r="F16" s="7">
        <v>35.02495901724064</v>
      </c>
      <c r="G16" s="7">
        <f t="shared" si="0"/>
        <v>0.59361230494013029</v>
      </c>
      <c r="H16" s="11">
        <f t="shared" si="1"/>
        <v>0.59361230494013029</v>
      </c>
    </row>
    <row r="17" spans="1:8" x14ac:dyDescent="0.2">
      <c r="A17">
        <v>16</v>
      </c>
      <c r="B17">
        <v>16</v>
      </c>
      <c r="C17">
        <v>65</v>
      </c>
      <c r="D17" s="7">
        <v>89.24907398927094</v>
      </c>
      <c r="E17" s="7">
        <v>89.24907398927094</v>
      </c>
      <c r="F17" s="7">
        <v>39.386400880642249</v>
      </c>
      <c r="G17" s="7">
        <f t="shared" si="0"/>
        <v>0.44130879033408321</v>
      </c>
      <c r="H17" s="11">
        <f t="shared" si="1"/>
        <v>0.44130879033408321</v>
      </c>
    </row>
    <row r="18" spans="1:8" x14ac:dyDescent="0.2">
      <c r="A18">
        <v>17</v>
      </c>
      <c r="B18">
        <v>17</v>
      </c>
      <c r="C18">
        <v>66</v>
      </c>
      <c r="D18" s="7">
        <v>88.102812488717717</v>
      </c>
      <c r="E18" s="7">
        <v>88.102812488717717</v>
      </c>
      <c r="F18" s="7">
        <v>37.74810252856949</v>
      </c>
      <c r="G18" s="7">
        <f t="shared" si="0"/>
        <v>0.42845513624668274</v>
      </c>
      <c r="H18" s="11">
        <f t="shared" si="1"/>
        <v>0.42845513624668274</v>
      </c>
    </row>
    <row r="19" spans="1:8" x14ac:dyDescent="0.2">
      <c r="A19">
        <v>18</v>
      </c>
      <c r="B19">
        <v>18</v>
      </c>
      <c r="C19">
        <v>67</v>
      </c>
      <c r="D19" s="7">
        <v>86.902238272890315</v>
      </c>
      <c r="E19" s="7">
        <v>86.902238272890315</v>
      </c>
      <c r="F19" s="7">
        <v>36.149233339177584</v>
      </c>
      <c r="G19" s="7">
        <f t="shared" si="0"/>
        <v>0.41597586043367263</v>
      </c>
      <c r="H19" s="11">
        <f t="shared" si="1"/>
        <v>0.41597586043367263</v>
      </c>
    </row>
    <row r="20" spans="1:8" x14ac:dyDescent="0.2">
      <c r="A20">
        <v>19</v>
      </c>
      <c r="B20">
        <v>19</v>
      </c>
      <c r="C20">
        <v>68</v>
      </c>
      <c r="D20" s="7">
        <v>85.637309190394816</v>
      </c>
      <c r="E20" s="7">
        <v>85.637309190394816</v>
      </c>
      <c r="F20" s="7">
        <v>34.585488714270817</v>
      </c>
      <c r="G20" s="7">
        <f t="shared" si="0"/>
        <v>0.40386005867346852</v>
      </c>
      <c r="H20" s="11">
        <f t="shared" si="1"/>
        <v>0.40386005867346852</v>
      </c>
    </row>
    <row r="21" spans="1:8" x14ac:dyDescent="0.2">
      <c r="A21">
        <v>20</v>
      </c>
      <c r="B21">
        <v>20</v>
      </c>
      <c r="C21">
        <v>69</v>
      </c>
      <c r="D21" s="7">
        <v>84.304713911742894</v>
      </c>
      <c r="E21" s="7">
        <v>84.304713911742894</v>
      </c>
      <c r="F21" s="7">
        <v>33.055637579462584</v>
      </c>
      <c r="G21" s="7">
        <f t="shared" si="0"/>
        <v>0.39209714434317328</v>
      </c>
      <c r="H21" s="11">
        <f t="shared" si="1"/>
        <v>0.39209714434317328</v>
      </c>
    </row>
    <row r="22" spans="1:8" x14ac:dyDescent="0.2">
      <c r="A22">
        <v>21</v>
      </c>
      <c r="B22">
        <v>21</v>
      </c>
      <c r="C22">
        <v>70</v>
      </c>
      <c r="D22" s="7">
        <v>115.20660408915423</v>
      </c>
      <c r="E22" s="7">
        <v>115.20660408915423</v>
      </c>
      <c r="F22" s="7">
        <v>36.709459001773986</v>
      </c>
      <c r="G22" s="7">
        <f t="shared" si="0"/>
        <v>0.31864023153886095</v>
      </c>
      <c r="H22" s="11">
        <f t="shared" si="1"/>
        <v>0.31864023153886095</v>
      </c>
    </row>
    <row r="23" spans="1:8" x14ac:dyDescent="0.2">
      <c r="A23">
        <v>22</v>
      </c>
      <c r="B23">
        <v>22</v>
      </c>
      <c r="C23">
        <v>71</v>
      </c>
      <c r="D23" s="7">
        <v>113.09254731052347</v>
      </c>
      <c r="E23" s="7">
        <v>113.09254731052347</v>
      </c>
      <c r="F23" s="7">
        <v>34.986248019752217</v>
      </c>
      <c r="G23" s="7">
        <f t="shared" si="0"/>
        <v>0.30935944809598148</v>
      </c>
      <c r="H23" s="11">
        <f t="shared" si="1"/>
        <v>0.30935944809598148</v>
      </c>
    </row>
    <row r="24" spans="1:8" x14ac:dyDescent="0.2">
      <c r="A24">
        <v>23</v>
      </c>
      <c r="B24">
        <v>23</v>
      </c>
      <c r="C24">
        <v>72</v>
      </c>
      <c r="D24" s="7">
        <v>110.86052313870135</v>
      </c>
      <c r="E24" s="7">
        <v>110.86052313870135</v>
      </c>
      <c r="F24" s="7">
        <v>33.296844906621786</v>
      </c>
      <c r="G24" s="7">
        <f t="shared" si="0"/>
        <v>0.30034897873396266</v>
      </c>
      <c r="H24" s="11">
        <f t="shared" si="1"/>
        <v>0.30034897873396266</v>
      </c>
    </row>
    <row r="25" spans="1:8" x14ac:dyDescent="0.2">
      <c r="A25">
        <v>24</v>
      </c>
      <c r="B25">
        <v>24</v>
      </c>
      <c r="C25">
        <v>73</v>
      </c>
      <c r="D25" s="7">
        <v>108.51259812378912</v>
      </c>
      <c r="E25" s="7">
        <v>108.51259812378912</v>
      </c>
      <c r="F25" s="7">
        <v>31.642376724513568</v>
      </c>
      <c r="G25" s="7">
        <f t="shared" si="0"/>
        <v>0.29160095022714821</v>
      </c>
      <c r="H25" s="11">
        <f t="shared" si="1"/>
        <v>0.29160095022714821</v>
      </c>
    </row>
    <row r="26" spans="1:8" x14ac:dyDescent="0.2">
      <c r="A26">
        <v>25</v>
      </c>
      <c r="B26">
        <v>25</v>
      </c>
      <c r="C26">
        <v>74</v>
      </c>
      <c r="D26" s="7">
        <v>105.98744126855271</v>
      </c>
      <c r="E26" s="7">
        <v>105.98744126855271</v>
      </c>
      <c r="F26" s="7">
        <v>29.626658687024246</v>
      </c>
      <c r="G26" s="7">
        <f t="shared" si="0"/>
        <v>0.27952989837688158</v>
      </c>
      <c r="H26" s="11">
        <f t="shared" si="1"/>
        <v>0.27952989837688158</v>
      </c>
    </row>
    <row r="27" spans="1:8" x14ac:dyDescent="0.2">
      <c r="A27">
        <v>26</v>
      </c>
      <c r="B27">
        <v>26</v>
      </c>
      <c r="C27">
        <v>75</v>
      </c>
      <c r="D27" s="7">
        <v>126.76799831966886</v>
      </c>
      <c r="E27" s="7">
        <v>126.76799831966886</v>
      </c>
      <c r="F27" s="7">
        <v>32.199491506021104</v>
      </c>
      <c r="G27" s="7">
        <f t="shared" si="0"/>
        <v>0.25400331260910308</v>
      </c>
      <c r="H27" s="11">
        <f t="shared" si="1"/>
        <v>0.25400331260910308</v>
      </c>
    </row>
    <row r="28" spans="1:8" x14ac:dyDescent="0.2">
      <c r="A28">
        <v>27</v>
      </c>
      <c r="B28">
        <v>27</v>
      </c>
      <c r="C28">
        <v>76</v>
      </c>
      <c r="D28" s="7">
        <v>123.23122605265021</v>
      </c>
      <c r="E28" s="7">
        <v>123.23122605265021</v>
      </c>
      <c r="F28" s="7">
        <v>30.389455955586754</v>
      </c>
      <c r="G28" s="7">
        <f t="shared" si="0"/>
        <v>0.24660515787291559</v>
      </c>
      <c r="H28" s="11">
        <f t="shared" si="1"/>
        <v>0.24660515787291559</v>
      </c>
    </row>
    <row r="29" spans="1:8" x14ac:dyDescent="0.2">
      <c r="A29">
        <v>28</v>
      </c>
      <c r="B29">
        <v>28</v>
      </c>
      <c r="C29">
        <v>77</v>
      </c>
      <c r="D29" s="7">
        <v>119.48143452973792</v>
      </c>
      <c r="E29" s="7">
        <v>119.48143452973792</v>
      </c>
      <c r="F29" s="7">
        <v>28.606541771930534</v>
      </c>
      <c r="G29" s="7">
        <f t="shared" si="0"/>
        <v>0.23942248337176272</v>
      </c>
      <c r="H29" s="11">
        <f t="shared" si="1"/>
        <v>0.23942248337176272</v>
      </c>
    </row>
    <row r="30" spans="1:8" x14ac:dyDescent="0.2">
      <c r="A30">
        <v>29</v>
      </c>
      <c r="B30">
        <v>29</v>
      </c>
      <c r="C30">
        <v>78</v>
      </c>
      <c r="D30" s="7">
        <v>115.47091508812461</v>
      </c>
      <c r="E30" s="7">
        <v>115.47091508812461</v>
      </c>
      <c r="F30" s="7">
        <v>26.841100240396834</v>
      </c>
      <c r="G30" s="7">
        <f t="shared" si="0"/>
        <v>0.2324490129822939</v>
      </c>
      <c r="H30" s="11">
        <f t="shared" si="1"/>
        <v>0.2324490129822939</v>
      </c>
    </row>
    <row r="31" spans="1:8" x14ac:dyDescent="0.2">
      <c r="A31">
        <v>30</v>
      </c>
      <c r="B31">
        <v>30</v>
      </c>
      <c r="C31">
        <v>79</v>
      </c>
      <c r="D31" s="7">
        <v>111.20184426848238</v>
      </c>
      <c r="E31" s="7">
        <v>111.20184426848238</v>
      </c>
      <c r="F31" s="7">
        <v>25.095882467980083</v>
      </c>
      <c r="G31" s="7">
        <f t="shared" si="0"/>
        <v>0.22567865338086787</v>
      </c>
      <c r="H31" s="11">
        <f t="shared" si="1"/>
        <v>0.22567865338086787</v>
      </c>
    </row>
    <row r="32" spans="1:8" x14ac:dyDescent="0.2">
      <c r="A32" s="4">
        <v>31</v>
      </c>
      <c r="B32" s="4">
        <v>31</v>
      </c>
      <c r="C32" s="4">
        <v>80</v>
      </c>
      <c r="D32" s="8">
        <v>106.69068025349279</v>
      </c>
      <c r="E32" s="8">
        <v>106.69068025349279</v>
      </c>
      <c r="F32" s="8">
        <v>23.376513638734959</v>
      </c>
      <c r="G32" s="8">
        <f t="shared" si="0"/>
        <v>0.21910548871928925</v>
      </c>
      <c r="H32" s="11">
        <f t="shared" si="1"/>
        <v>0.21910548871928925</v>
      </c>
    </row>
    <row r="33" spans="1:8" x14ac:dyDescent="0.2">
      <c r="A33">
        <v>32</v>
      </c>
      <c r="B33">
        <v>32</v>
      </c>
      <c r="C33">
        <v>81</v>
      </c>
      <c r="D33" s="7">
        <v>101.92128012027615</v>
      </c>
      <c r="E33" s="7"/>
      <c r="F33" s="7"/>
      <c r="G33" s="7"/>
      <c r="H33" s="7"/>
    </row>
    <row r="34" spans="1:8" x14ac:dyDescent="0.2">
      <c r="A34">
        <v>33</v>
      </c>
      <c r="B34">
        <v>33</v>
      </c>
      <c r="C34">
        <v>82</v>
      </c>
      <c r="D34" s="7">
        <v>96.901968892488483</v>
      </c>
      <c r="E34" s="7"/>
      <c r="F34" s="7"/>
      <c r="G34" s="7"/>
      <c r="H34" s="7"/>
    </row>
    <row r="35" spans="1:8" x14ac:dyDescent="0.2">
      <c r="A35">
        <v>34</v>
      </c>
      <c r="B35">
        <v>34</v>
      </c>
      <c r="C35">
        <v>83</v>
      </c>
      <c r="D35" s="7">
        <v>91.597120108486251</v>
      </c>
      <c r="E35" s="7"/>
      <c r="F35" s="7"/>
      <c r="G35" s="7"/>
      <c r="H35" s="7"/>
    </row>
    <row r="36" spans="1:8" x14ac:dyDescent="0.2">
      <c r="A36">
        <v>35</v>
      </c>
      <c r="B36">
        <v>35</v>
      </c>
      <c r="C36">
        <v>84</v>
      </c>
      <c r="D36" s="7">
        <v>86.02324434026157</v>
      </c>
      <c r="E36" s="7"/>
      <c r="F36" s="7"/>
      <c r="G36" s="7"/>
      <c r="H36" s="7"/>
    </row>
    <row r="37" spans="1:8" x14ac:dyDescent="0.2">
      <c r="A37">
        <v>36</v>
      </c>
      <c r="B37">
        <v>36</v>
      </c>
      <c r="C37">
        <v>85</v>
      </c>
      <c r="D37" s="7">
        <v>80.212063818903744</v>
      </c>
      <c r="E37" s="7"/>
      <c r="F37" s="7"/>
      <c r="G37" s="7"/>
      <c r="H37" s="7"/>
    </row>
    <row r="38" spans="1:8" x14ac:dyDescent="0.2">
      <c r="A38">
        <v>37</v>
      </c>
      <c r="B38">
        <v>37</v>
      </c>
      <c r="C38">
        <v>86</v>
      </c>
      <c r="D38" s="7">
        <v>74.113011153774167</v>
      </c>
      <c r="E38" s="7"/>
      <c r="F38" s="7"/>
      <c r="G38" s="7"/>
      <c r="H38" s="7"/>
    </row>
    <row r="39" spans="1:8" x14ac:dyDescent="0.2">
      <c r="A39">
        <v>38</v>
      </c>
      <c r="B39">
        <v>38</v>
      </c>
      <c r="C39">
        <v>87</v>
      </c>
      <c r="D39" s="7">
        <v>67.849564764849958</v>
      </c>
      <c r="E39" s="7"/>
      <c r="F39" s="7"/>
      <c r="G39" s="7"/>
      <c r="H39" s="7"/>
    </row>
    <row r="40" spans="1:8" x14ac:dyDescent="0.2">
      <c r="A40">
        <v>39</v>
      </c>
      <c r="B40">
        <v>39</v>
      </c>
      <c r="C40">
        <v>88</v>
      </c>
      <c r="D40" s="7">
        <v>61.527718698207444</v>
      </c>
      <c r="E40" s="7"/>
      <c r="F40" s="7"/>
      <c r="G40" s="7"/>
      <c r="H40" s="7"/>
    </row>
    <row r="41" spans="1:8" x14ac:dyDescent="0.2">
      <c r="A41">
        <v>40</v>
      </c>
      <c r="B41">
        <v>40</v>
      </c>
      <c r="C41">
        <v>89</v>
      </c>
      <c r="D41" s="7">
        <v>55.086552206674412</v>
      </c>
      <c r="E41" s="7"/>
      <c r="F41" s="7"/>
      <c r="G41" s="7"/>
      <c r="H41" s="7"/>
    </row>
    <row r="42" spans="1:8" x14ac:dyDescent="0.2">
      <c r="A42">
        <v>41</v>
      </c>
      <c r="B42">
        <v>41</v>
      </c>
      <c r="C42">
        <v>90</v>
      </c>
      <c r="D42" s="7">
        <v>48.621821192141283</v>
      </c>
      <c r="E42" s="7"/>
      <c r="F42" s="7"/>
      <c r="G42" s="7"/>
      <c r="H42" s="7"/>
    </row>
    <row r="43" spans="1:8" x14ac:dyDescent="0.2">
      <c r="A43">
        <v>42</v>
      </c>
      <c r="B43">
        <v>42</v>
      </c>
      <c r="C43">
        <v>91</v>
      </c>
      <c r="D43" s="7">
        <v>42.241519136861257</v>
      </c>
      <c r="E43" s="7"/>
      <c r="F43" s="7"/>
      <c r="G43" s="7"/>
      <c r="H43" s="7"/>
    </row>
    <row r="44" spans="1:8" x14ac:dyDescent="0.2">
      <c r="A44">
        <v>43</v>
      </c>
      <c r="B44">
        <v>43</v>
      </c>
      <c r="C44">
        <v>92</v>
      </c>
      <c r="D44" s="7">
        <v>36.060967923885791</v>
      </c>
      <c r="E44" s="7"/>
      <c r="F44" s="7"/>
      <c r="G44" s="7"/>
      <c r="H44" s="7"/>
    </row>
    <row r="45" spans="1:8" x14ac:dyDescent="0.2">
      <c r="A45">
        <v>44</v>
      </c>
      <c r="B45">
        <v>44</v>
      </c>
      <c r="C45">
        <v>93</v>
      </c>
      <c r="D45" s="7">
        <v>30.196157105132578</v>
      </c>
      <c r="E45" s="7"/>
      <c r="F45" s="7"/>
      <c r="G45" s="7"/>
      <c r="H45" s="7"/>
    </row>
    <row r="46" spans="1:8" x14ac:dyDescent="0.2">
      <c r="A46">
        <v>45</v>
      </c>
      <c r="B46">
        <v>45</v>
      </c>
      <c r="C46">
        <v>94</v>
      </c>
      <c r="D46" s="7">
        <v>24.755773286686619</v>
      </c>
      <c r="E46" s="7"/>
      <c r="F46" s="7"/>
      <c r="G46" s="7"/>
      <c r="H46" s="7"/>
    </row>
    <row r="47" spans="1:8" x14ac:dyDescent="0.2">
      <c r="A47">
        <v>46</v>
      </c>
      <c r="B47">
        <v>46</v>
      </c>
      <c r="C47">
        <v>95</v>
      </c>
      <c r="D47" s="7">
        <v>19.832736809156572</v>
      </c>
      <c r="E47" s="7"/>
      <c r="F47" s="7"/>
      <c r="G47" s="7"/>
      <c r="H47" s="7"/>
    </row>
    <row r="48" spans="1:8" x14ac:dyDescent="0.2">
      <c r="A48">
        <v>47</v>
      </c>
      <c r="B48">
        <v>47</v>
      </c>
      <c r="C48">
        <v>96</v>
      </c>
      <c r="D48" s="7">
        <v>15.49635820711678</v>
      </c>
      <c r="E48" s="7"/>
      <c r="F48" s="7"/>
      <c r="G48" s="7"/>
      <c r="H48" s="7"/>
    </row>
    <row r="49" spans="1:8" x14ac:dyDescent="0.2">
      <c r="A49">
        <v>48</v>
      </c>
      <c r="B49">
        <v>48</v>
      </c>
      <c r="C49">
        <v>97</v>
      </c>
      <c r="D49" s="7">
        <v>11.786369946684639</v>
      </c>
      <c r="E49" s="7"/>
      <c r="F49" s="7"/>
      <c r="G49" s="7"/>
      <c r="H49" s="7"/>
    </row>
    <row r="50" spans="1:8" x14ac:dyDescent="0.2">
      <c r="A50">
        <v>49</v>
      </c>
      <c r="B50">
        <v>49</v>
      </c>
      <c r="C50">
        <v>98</v>
      </c>
      <c r="D50" s="7">
        <v>8.7099573915636199</v>
      </c>
      <c r="E50" s="7"/>
      <c r="F50" s="7"/>
      <c r="G50" s="7"/>
      <c r="H50" s="7"/>
    </row>
    <row r="51" spans="1:8" x14ac:dyDescent="0.2">
      <c r="A51">
        <v>50</v>
      </c>
      <c r="B51">
        <v>50</v>
      </c>
      <c r="C51">
        <v>99</v>
      </c>
      <c r="D51" s="7">
        <v>6.2424833573898333</v>
      </c>
      <c r="E51" s="7"/>
      <c r="F51" s="7"/>
      <c r="G51" s="7"/>
      <c r="H5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Raw Lung Inc&amp;Surv</vt:lpstr>
      <vt:lpstr>Corrected Inc&amp;Surv</vt:lpstr>
      <vt:lpstr>AW calculator</vt:lpstr>
      <vt:lpstr>QALYsForUndiagnosedCancer</vt:lpstr>
      <vt:lpstr>Stage4to1</vt:lpstr>
      <vt:lpstr>Stage3to1</vt:lpstr>
      <vt:lpstr>Stage2to1</vt:lpstr>
      <vt:lpstr>Stage1to1</vt:lpstr>
      <vt:lpstr>Stage4to2</vt:lpstr>
      <vt:lpstr>Stage3to2</vt:lpstr>
      <vt:lpstr>Stage2to2</vt:lpstr>
      <vt:lpstr>Stage4to3</vt:lpstr>
      <vt:lpstr>Stage3to3</vt:lpstr>
      <vt:lpstr>Stage4to4</vt:lpstr>
      <vt:lpstr>'AW calculator'!Age</vt:lpstr>
      <vt:lpstr>'AW calculator'!Disc</vt:lpstr>
      <vt:lpstr>'AW calculator'!Female</vt:lpstr>
      <vt:lpstr>'AW calculator'!lifetable</vt:lpstr>
      <vt:lpstr>'AW calculator'!util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Jones</dc:creator>
  <cp:lastModifiedBy>David Jones</cp:lastModifiedBy>
  <dcterms:created xsi:type="dcterms:W3CDTF">2024-05-23T11:57:00Z</dcterms:created>
  <dcterms:modified xsi:type="dcterms:W3CDTF">2024-06-05T11:09:42Z</dcterms:modified>
</cp:coreProperties>
</file>