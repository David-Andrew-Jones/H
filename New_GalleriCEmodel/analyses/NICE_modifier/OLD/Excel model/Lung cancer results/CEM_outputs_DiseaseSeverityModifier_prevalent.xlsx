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13_ncr:1_{2AC65872-4EC5-3249-8DE2-F5D03DC802C9}" xr6:coauthVersionLast="47" xr6:coauthVersionMax="47" xr10:uidLastSave="{00000000-0000-0000-0000-000000000000}"/>
  <bookViews>
    <workbookView xWindow="-35940" yWindow="-1200" windowWidth="28140" windowHeight="18380" firstSheet="2" activeTab="3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" sheetId="13" r:id="rId4"/>
    <sheet name="Stage4to1" sheetId="1" r:id="rId5"/>
    <sheet name="Stage3to1" sheetId="2" r:id="rId6"/>
    <sheet name="Stage2to1" sheetId="3" r:id="rId7"/>
    <sheet name="Stage1to1" sheetId="4" r:id="rId8"/>
    <sheet name="Stage4to2" sheetId="5" r:id="rId9"/>
    <sheet name="Stage3to2" sheetId="6" r:id="rId10"/>
    <sheet name="Stage2to2" sheetId="7" r:id="rId11"/>
    <sheet name="Stage4to3" sheetId="8" r:id="rId12"/>
    <sheet name="Stage3to3" sheetId="9" r:id="rId13"/>
    <sheet name="Stage4to4" sheetId="10" r:id="rId14"/>
  </sheets>
  <externalReferences>
    <externalReference r:id="rId15"/>
    <externalReference r:id="rId16"/>
  </externalReferences>
  <definedNames>
    <definedName name="Age" localSheetId="2">'AW calculator'!$B$5</definedName>
    <definedName name="Age">'[1]AW calculator'!$B$5</definedName>
    <definedName name="cohortSize">[2]Parameters!$E$15</definedName>
    <definedName name="compliance">[2]Parameters!$E$112:$E$117</definedName>
    <definedName name="compliance.PostDiag">[2]Parameters!$E$118:$E$123</definedName>
    <definedName name="Disc" localSheetId="2">'AW calculator'!$B$3</definedName>
    <definedName name="Disc">'[1]AW calculator'!$B$3</definedName>
    <definedName name="discCost">[2]Parameters!$E$9</definedName>
    <definedName name="discHealth">[2]Parameters!$E$8</definedName>
    <definedName name="endAge">[2]Parameters!$E$12</definedName>
    <definedName name="Female" localSheetId="2">'AW calculator'!$B$4</definedName>
    <definedName name="Female">'[1]AW calculator'!$B$4</definedName>
    <definedName name="genPopUtility">[2]Parameters!$E$1783:$E$1792</definedName>
    <definedName name="iatrogenicHarmUtility">[2]Parameters!$E$1793</definedName>
    <definedName name="incidenceStage1">'[2]Intermediate Calcs'!$F$18:$AA$68</definedName>
    <definedName name="incidenceStage2">'[2]Intermediate Calcs'!$F$76:$AA$126</definedName>
    <definedName name="incidenceStage3">'[2]Intermediate Calcs'!$F$134:$AA$184</definedName>
    <definedName name="incidenceStage4">'[2]Intermediate Calcs'!$F$192:$AA$242</definedName>
    <definedName name="IncludeCancer">[2]Settings!$F$38:$F$59</definedName>
    <definedName name="lifetable" localSheetId="2">'AW calculator'!$A$9:$E$109</definedName>
    <definedName name="lifetable">'[1]AW calculator'!$A$9:$E$109</definedName>
    <definedName name="minAgeBand">[2]Parameters!$E$92:$E$101</definedName>
    <definedName name="percFemale">[2]Parameters!$E$14</definedName>
    <definedName name="rngPercIatrogenic">'[2]Survival Table'!$F$106:$CO$115</definedName>
    <definedName name="socCompliance">[2]Parameters!$E$46:$E$67</definedName>
    <definedName name="socSpecificity">[2]Parameters!$E$68:$E$89</definedName>
    <definedName name="socTestCosts">[2]Parameters!$E$24:$E$45</definedName>
    <definedName name="socTestEligibility">'[2]Intermediate Calcs'!$G$248:$G$269</definedName>
    <definedName name="startAge">[2]Parameters!$E$11</definedName>
    <definedName name="tblDeaths5y">'[2]Survival Table'!$F$25:$CO$34</definedName>
    <definedName name="tblSurvival">'[2]Survival Table'!$F$10:$CO$19</definedName>
    <definedName name="testCosts">[2]Parameters!$E$1118:$E$1121</definedName>
    <definedName name="testSpecificity">[2]Parameters!$E$90</definedName>
    <definedName name="timeHorizon">[2]Parameters!$E$13</definedName>
    <definedName name="timeIatrogenicHarm">[2]Parameters!$E$19</definedName>
    <definedName name="timeShift3To1">'[2]Time Shift Lookup'!$F$29:$Y$50</definedName>
    <definedName name="timeShift4To1">'[2]Time Shift Lookup'!$F$55:$Y$76</definedName>
    <definedName name="timeShift4To2">'[2]Time Shift Lookup'!$F$81:$Y$102</definedName>
    <definedName name="timeShiftDist">'[2]Time Shift Lookup'!$F$10:$Y$21</definedName>
    <definedName name="timeShiftDistMean">'[2]Time Shift Lookup'!$E$10:$E$21</definedName>
    <definedName name="util" localSheetId="2">'AW calculator'!$E$3</definedName>
    <definedName name="util">'[1]AW calculator'!$E$3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0" l="1"/>
  <c r="E31" i="10"/>
  <c r="E31" i="9"/>
  <c r="F31" i="9"/>
  <c r="F31" i="8"/>
  <c r="E31" i="8"/>
  <c r="E32" i="8"/>
  <c r="E2" i="8"/>
  <c r="F2" i="8"/>
  <c r="E31" i="7"/>
  <c r="F31" i="7"/>
  <c r="F3" i="6"/>
  <c r="E3" i="6"/>
  <c r="E7" i="5"/>
  <c r="F6" i="4"/>
  <c r="B8" i="13" s="1"/>
  <c r="E6" i="4"/>
  <c r="B4" i="13"/>
  <c r="G4" i="13" s="1"/>
  <c r="B5" i="13"/>
  <c r="G5" i="13" s="1"/>
  <c r="B6" i="13"/>
  <c r="B7" i="13"/>
  <c r="F3" i="4"/>
  <c r="E3" i="4"/>
  <c r="E2" i="3"/>
  <c r="F2" i="3"/>
  <c r="F30" i="2"/>
  <c r="F19" i="2" l="1"/>
  <c r="F31" i="2"/>
  <c r="E31" i="2"/>
  <c r="E18" i="2"/>
  <c r="E17" i="2"/>
  <c r="F31" i="1" l="1"/>
  <c r="F9" i="1"/>
  <c r="F8" i="1"/>
  <c r="F7" i="1"/>
  <c r="F6" i="1"/>
  <c r="F4" i="1"/>
  <c r="E3" i="1"/>
  <c r="F3" i="1"/>
  <c r="F2" i="1" l="1"/>
  <c r="D9" i="15"/>
  <c r="E9" i="15"/>
  <c r="L9" i="15"/>
  <c r="H15" i="15" s="1"/>
  <c r="M9" i="15"/>
  <c r="I13" i="15" s="1"/>
  <c r="O9" i="15"/>
  <c r="D10" i="15"/>
  <c r="E10" i="15"/>
  <c r="O10" i="15"/>
  <c r="D11" i="15"/>
  <c r="E11" i="15"/>
  <c r="H11" i="15"/>
  <c r="O11" i="15"/>
  <c r="D12" i="15"/>
  <c r="E12" i="15"/>
  <c r="O12" i="15"/>
  <c r="D13" i="15"/>
  <c r="E13" i="15"/>
  <c r="O13" i="15"/>
  <c r="D14" i="15"/>
  <c r="E14" i="15"/>
  <c r="O14" i="15"/>
  <c r="D15" i="15"/>
  <c r="E15" i="15"/>
  <c r="O15" i="15"/>
  <c r="D16" i="15"/>
  <c r="E16" i="15"/>
  <c r="O16" i="15"/>
  <c r="D17" i="15"/>
  <c r="E17" i="15"/>
  <c r="O17" i="15"/>
  <c r="D18" i="15"/>
  <c r="E18" i="15"/>
  <c r="O18" i="15"/>
  <c r="D19" i="15"/>
  <c r="E19" i="15"/>
  <c r="O19" i="15"/>
  <c r="D20" i="15"/>
  <c r="E20" i="15"/>
  <c r="O20" i="15"/>
  <c r="D21" i="15"/>
  <c r="E21" i="15"/>
  <c r="O21" i="15"/>
  <c r="D22" i="15"/>
  <c r="E22" i="15"/>
  <c r="O22" i="15"/>
  <c r="D23" i="15"/>
  <c r="E23" i="15"/>
  <c r="O23" i="15"/>
  <c r="D24" i="15"/>
  <c r="E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G22" i="12"/>
  <c r="G21" i="12"/>
  <c r="G20" i="12"/>
  <c r="G16" i="12"/>
  <c r="G15" i="12"/>
  <c r="G14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" i="12"/>
  <c r="Q10" i="15" l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I21" i="15"/>
  <c r="I11" i="15"/>
  <c r="I110" i="15"/>
  <c r="I18" i="15"/>
  <c r="I9" i="15"/>
  <c r="I20" i="15"/>
  <c r="I23" i="15"/>
  <c r="H21" i="15"/>
  <c r="I19" i="15"/>
  <c r="I12" i="15"/>
  <c r="I14" i="15"/>
  <c r="I16" i="15"/>
  <c r="H12" i="15"/>
  <c r="H19" i="15"/>
  <c r="I17" i="15"/>
  <c r="I10" i="15"/>
  <c r="I24" i="15"/>
  <c r="I22" i="15"/>
  <c r="H17" i="15"/>
  <c r="I15" i="15"/>
  <c r="H22" i="15"/>
  <c r="H16" i="15"/>
  <c r="H10" i="15"/>
  <c r="H13" i="15"/>
  <c r="H23" i="15"/>
  <c r="H18" i="15"/>
  <c r="H20" i="15"/>
  <c r="H9" i="15"/>
  <c r="H14" i="15"/>
  <c r="H24" i="15"/>
  <c r="R9" i="15" l="1"/>
  <c r="S9" i="15"/>
  <c r="R10" i="15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Q41" i="15" s="1"/>
  <c r="R39" i="15"/>
  <c r="T39" i="15" s="1"/>
  <c r="V39" i="15" s="1"/>
  <c r="Q42" i="15" l="1"/>
  <c r="S39" i="15"/>
  <c r="U39" i="15" s="1"/>
  <c r="W39" i="15" s="1"/>
  <c r="R40" i="15"/>
  <c r="T40" i="15" s="1"/>
  <c r="V40" i="15" s="1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F32" i="10" l="1"/>
  <c r="E34" i="13" s="1"/>
  <c r="S34" i="13" s="1"/>
  <c r="E33" i="13"/>
  <c r="S33" i="13" s="1"/>
  <c r="U33" i="13" s="1"/>
  <c r="F30" i="10"/>
  <c r="E32" i="13" s="1"/>
  <c r="S32" i="13" s="1"/>
  <c r="F29" i="10"/>
  <c r="E31" i="13" s="1"/>
  <c r="S31" i="13" s="1"/>
  <c r="F28" i="10"/>
  <c r="E30" i="13" s="1"/>
  <c r="S30" i="13" s="1"/>
  <c r="F27" i="10"/>
  <c r="E29" i="13" s="1"/>
  <c r="S29" i="13" s="1"/>
  <c r="F26" i="10"/>
  <c r="E28" i="13" s="1"/>
  <c r="S28" i="13" s="1"/>
  <c r="F25" i="10"/>
  <c r="E27" i="13" s="1"/>
  <c r="S27" i="13" s="1"/>
  <c r="F24" i="10"/>
  <c r="E26" i="13" s="1"/>
  <c r="S26" i="13" s="1"/>
  <c r="F23" i="10"/>
  <c r="E25" i="13" s="1"/>
  <c r="S25" i="13" s="1"/>
  <c r="F22" i="10"/>
  <c r="E24" i="13" s="1"/>
  <c r="S24" i="13" s="1"/>
  <c r="F21" i="10"/>
  <c r="E23" i="13" s="1"/>
  <c r="S23" i="13" s="1"/>
  <c r="F20" i="10"/>
  <c r="E22" i="13" s="1"/>
  <c r="S22" i="13" s="1"/>
  <c r="F19" i="10"/>
  <c r="E21" i="13" s="1"/>
  <c r="S21" i="13" s="1"/>
  <c r="F18" i="10"/>
  <c r="E20" i="13" s="1"/>
  <c r="S20" i="13" s="1"/>
  <c r="F17" i="10"/>
  <c r="E19" i="13" s="1"/>
  <c r="S19" i="13" s="1"/>
  <c r="F16" i="10"/>
  <c r="E18" i="13" s="1"/>
  <c r="S18" i="13" s="1"/>
  <c r="F15" i="10"/>
  <c r="E17" i="13" s="1"/>
  <c r="S17" i="13" s="1"/>
  <c r="F14" i="10"/>
  <c r="E16" i="13" s="1"/>
  <c r="S16" i="13" s="1"/>
  <c r="F13" i="10"/>
  <c r="E15" i="13" s="1"/>
  <c r="S15" i="13" s="1"/>
  <c r="F12" i="10"/>
  <c r="E14" i="13" s="1"/>
  <c r="S14" i="13" s="1"/>
  <c r="F11" i="10"/>
  <c r="E13" i="13" s="1"/>
  <c r="S13" i="13" s="1"/>
  <c r="F10" i="10"/>
  <c r="E12" i="13" s="1"/>
  <c r="S12" i="13" s="1"/>
  <c r="F9" i="10"/>
  <c r="E11" i="13" s="1"/>
  <c r="S11" i="13" s="1"/>
  <c r="F8" i="10"/>
  <c r="E10" i="13" s="1"/>
  <c r="S10" i="13" s="1"/>
  <c r="F7" i="10"/>
  <c r="E9" i="13" s="1"/>
  <c r="S9" i="13" s="1"/>
  <c r="F6" i="10"/>
  <c r="E8" i="13" s="1"/>
  <c r="S8" i="13" s="1"/>
  <c r="F5" i="10"/>
  <c r="E7" i="13" s="1"/>
  <c r="S7" i="13" s="1"/>
  <c r="F4" i="10"/>
  <c r="E6" i="13" s="1"/>
  <c r="S6" i="13" s="1"/>
  <c r="F3" i="10"/>
  <c r="E5" i="13" s="1"/>
  <c r="S5" i="13" s="1"/>
  <c r="F2" i="10"/>
  <c r="E4" i="13" s="1"/>
  <c r="S4" i="13" s="1"/>
  <c r="F32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32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32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C5" i="13" s="1"/>
  <c r="F2" i="7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" i="6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5" i="4"/>
  <c r="F4" i="4"/>
  <c r="F2" i="4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B20" i="13" s="1"/>
  <c r="G20" i="13" s="1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32" i="2"/>
  <c r="F29" i="2"/>
  <c r="F28" i="2"/>
  <c r="F27" i="2"/>
  <c r="F26" i="2"/>
  <c r="F25" i="2"/>
  <c r="F24" i="2"/>
  <c r="F23" i="2"/>
  <c r="F22" i="2"/>
  <c r="F21" i="2"/>
  <c r="F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H20" i="13" l="1"/>
  <c r="I20" i="13"/>
  <c r="J20" i="13" s="1"/>
  <c r="D9" i="13"/>
  <c r="O9" i="13" s="1"/>
  <c r="Q9" i="13" s="1"/>
  <c r="R9" i="13" s="1"/>
  <c r="D17" i="13"/>
  <c r="O17" i="13" s="1"/>
  <c r="Q17" i="13" s="1"/>
  <c r="R17" i="13" s="1"/>
  <c r="D25" i="13"/>
  <c r="O25" i="13" s="1"/>
  <c r="Q25" i="13" s="1"/>
  <c r="R25" i="13" s="1"/>
  <c r="D33" i="13"/>
  <c r="O33" i="13" s="1"/>
  <c r="Q33" i="13" s="1"/>
  <c r="R33" i="13" s="1"/>
  <c r="D5" i="13"/>
  <c r="O5" i="13" s="1"/>
  <c r="Q5" i="13" s="1"/>
  <c r="R5" i="13" s="1"/>
  <c r="D18" i="13"/>
  <c r="O18" i="13" s="1"/>
  <c r="P18" i="13" s="1"/>
  <c r="D34" i="13"/>
  <c r="O34" i="13" s="1"/>
  <c r="Q34" i="13" s="1"/>
  <c r="R34" i="13" s="1"/>
  <c r="C11" i="13"/>
  <c r="K11" i="13" s="1"/>
  <c r="L11" i="13" s="1"/>
  <c r="C19" i="13"/>
  <c r="K19" i="13" s="1"/>
  <c r="L19" i="13" s="1"/>
  <c r="C27" i="13"/>
  <c r="K27" i="13" s="1"/>
  <c r="L27" i="13" s="1"/>
  <c r="C12" i="13"/>
  <c r="K12" i="13" s="1"/>
  <c r="M12" i="13" s="1"/>
  <c r="N12" i="13" s="1"/>
  <c r="C28" i="13"/>
  <c r="K28" i="13" s="1"/>
  <c r="L28" i="13" s="1"/>
  <c r="D8" i="13"/>
  <c r="O8" i="13" s="1"/>
  <c r="P8" i="13" s="1"/>
  <c r="D16" i="13"/>
  <c r="O16" i="13" s="1"/>
  <c r="P16" i="13" s="1"/>
  <c r="D10" i="13"/>
  <c r="O10" i="13" s="1"/>
  <c r="Q10" i="13" s="1"/>
  <c r="R10" i="13" s="1"/>
  <c r="D26" i="13"/>
  <c r="O26" i="13" s="1"/>
  <c r="P26" i="13" s="1"/>
  <c r="D6" i="13"/>
  <c r="O6" i="13" s="1"/>
  <c r="P6" i="13" s="1"/>
  <c r="D14" i="13"/>
  <c r="O14" i="13" s="1"/>
  <c r="P14" i="13" s="1"/>
  <c r="D22" i="13"/>
  <c r="O22" i="13" s="1"/>
  <c r="D30" i="13"/>
  <c r="O30" i="13" s="1"/>
  <c r="Q30" i="13" s="1"/>
  <c r="R30" i="13" s="1"/>
  <c r="C20" i="13"/>
  <c r="K20" i="13" s="1"/>
  <c r="L20" i="13" s="1"/>
  <c r="D24" i="13"/>
  <c r="O24" i="13" s="1"/>
  <c r="Q24" i="13" s="1"/>
  <c r="R24" i="13" s="1"/>
  <c r="D32" i="13"/>
  <c r="O32" i="13" s="1"/>
  <c r="P32" i="13" s="1"/>
  <c r="C33" i="13"/>
  <c r="K33" i="13" s="1"/>
  <c r="M33" i="13" s="1"/>
  <c r="N33" i="13" s="1"/>
  <c r="D13" i="13"/>
  <c r="O13" i="13" s="1"/>
  <c r="P13" i="13" s="1"/>
  <c r="D21" i="13"/>
  <c r="O21" i="13" s="1"/>
  <c r="P21" i="13" s="1"/>
  <c r="D29" i="13"/>
  <c r="O29" i="13" s="1"/>
  <c r="P29" i="13" s="1"/>
  <c r="C6" i="13"/>
  <c r="K6" i="13" s="1"/>
  <c r="L6" i="13" s="1"/>
  <c r="C14" i="13"/>
  <c r="K14" i="13" s="1"/>
  <c r="L14" i="13" s="1"/>
  <c r="C22" i="13"/>
  <c r="K22" i="13" s="1"/>
  <c r="L22" i="13" s="1"/>
  <c r="C30" i="13"/>
  <c r="K30" i="13" s="1"/>
  <c r="L30" i="13" s="1"/>
  <c r="C13" i="13"/>
  <c r="K13" i="13" s="1"/>
  <c r="M13" i="13" s="1"/>
  <c r="N13" i="13" s="1"/>
  <c r="C16" i="13"/>
  <c r="K16" i="13" s="1"/>
  <c r="L16" i="13" s="1"/>
  <c r="C24" i="13"/>
  <c r="K24" i="13" s="1"/>
  <c r="M24" i="13" s="1"/>
  <c r="N24" i="13" s="1"/>
  <c r="C32" i="13"/>
  <c r="K32" i="13" s="1"/>
  <c r="M32" i="13" s="1"/>
  <c r="N32" i="13" s="1"/>
  <c r="C4" i="13"/>
  <c r="K4" i="13" s="1"/>
  <c r="M4" i="13" s="1"/>
  <c r="N4" i="13" s="1"/>
  <c r="K5" i="13"/>
  <c r="L5" i="13" s="1"/>
  <c r="D4" i="13"/>
  <c r="O4" i="13" s="1"/>
  <c r="P4" i="13" s="1"/>
  <c r="C10" i="13"/>
  <c r="K10" i="13" s="1"/>
  <c r="L10" i="13" s="1"/>
  <c r="C18" i="13"/>
  <c r="K18" i="13" s="1"/>
  <c r="L18" i="13" s="1"/>
  <c r="C26" i="13"/>
  <c r="K26" i="13" s="1"/>
  <c r="M26" i="13" s="1"/>
  <c r="N26" i="13" s="1"/>
  <c r="C34" i="13"/>
  <c r="K34" i="13" s="1"/>
  <c r="L34" i="13" s="1"/>
  <c r="D7" i="13"/>
  <c r="O7" i="13" s="1"/>
  <c r="P7" i="13" s="1"/>
  <c r="D15" i="13"/>
  <c r="O15" i="13" s="1"/>
  <c r="P15" i="13" s="1"/>
  <c r="D23" i="13"/>
  <c r="O23" i="13" s="1"/>
  <c r="P23" i="13" s="1"/>
  <c r="D31" i="13"/>
  <c r="O31" i="13" s="1"/>
  <c r="Q31" i="13" s="1"/>
  <c r="R31" i="13" s="1"/>
  <c r="C21" i="13"/>
  <c r="K21" i="13" s="1"/>
  <c r="L21" i="13" s="1"/>
  <c r="C29" i="13"/>
  <c r="K29" i="13" s="1"/>
  <c r="M29" i="13" s="1"/>
  <c r="N29" i="13" s="1"/>
  <c r="C7" i="13"/>
  <c r="K7" i="13" s="1"/>
  <c r="L7" i="13" s="1"/>
  <c r="C31" i="13"/>
  <c r="K31" i="13" s="1"/>
  <c r="L31" i="13" s="1"/>
  <c r="I4" i="13"/>
  <c r="C8" i="13"/>
  <c r="K8" i="13" s="1"/>
  <c r="L8" i="13" s="1"/>
  <c r="D11" i="13"/>
  <c r="O11" i="13" s="1"/>
  <c r="P11" i="13" s="1"/>
  <c r="D27" i="13"/>
  <c r="O27" i="13" s="1"/>
  <c r="P27" i="13" s="1"/>
  <c r="C15" i="13"/>
  <c r="K15" i="13" s="1"/>
  <c r="L15" i="13" s="1"/>
  <c r="C23" i="13"/>
  <c r="K23" i="13" s="1"/>
  <c r="M23" i="13" s="1"/>
  <c r="N23" i="13" s="1"/>
  <c r="D19" i="13"/>
  <c r="O19" i="13" s="1"/>
  <c r="P19" i="13" s="1"/>
  <c r="C9" i="13"/>
  <c r="K9" i="13" s="1"/>
  <c r="L9" i="13" s="1"/>
  <c r="C17" i="13"/>
  <c r="K17" i="13" s="1"/>
  <c r="M17" i="13" s="1"/>
  <c r="N17" i="13" s="1"/>
  <c r="C25" i="13"/>
  <c r="K25" i="13" s="1"/>
  <c r="L25" i="13" s="1"/>
  <c r="D12" i="13"/>
  <c r="O12" i="13" s="1"/>
  <c r="P12" i="13" s="1"/>
  <c r="D20" i="13"/>
  <c r="O20" i="13" s="1"/>
  <c r="P20" i="13" s="1"/>
  <c r="D28" i="13"/>
  <c r="O28" i="13" s="1"/>
  <c r="P28" i="13" s="1"/>
  <c r="T19" i="13"/>
  <c r="U19" i="13"/>
  <c r="V19" i="13" s="1"/>
  <c r="U30" i="13"/>
  <c r="V30" i="13" s="1"/>
  <c r="T30" i="13"/>
  <c r="U22" i="13"/>
  <c r="V22" i="13" s="1"/>
  <c r="T22" i="13"/>
  <c r="U14" i="13"/>
  <c r="V14" i="13" s="1"/>
  <c r="T14" i="13"/>
  <c r="U6" i="13"/>
  <c r="V6" i="13" s="1"/>
  <c r="T6" i="13"/>
  <c r="T29" i="13"/>
  <c r="U29" i="13"/>
  <c r="V29" i="13" s="1"/>
  <c r="T21" i="13"/>
  <c r="U21" i="13"/>
  <c r="V21" i="13" s="1"/>
  <c r="U13" i="13"/>
  <c r="V13" i="13" s="1"/>
  <c r="T13" i="13"/>
  <c r="U5" i="13"/>
  <c r="V5" i="13" s="1"/>
  <c r="T5" i="13"/>
  <c r="T20" i="13"/>
  <c r="U20" i="13"/>
  <c r="V20" i="13" s="1"/>
  <c r="T27" i="13"/>
  <c r="U27" i="13"/>
  <c r="V27" i="13" s="1"/>
  <c r="T33" i="13"/>
  <c r="V33" i="13"/>
  <c r="T25" i="13"/>
  <c r="U25" i="13"/>
  <c r="V25" i="13" s="1"/>
  <c r="T17" i="13"/>
  <c r="U17" i="13"/>
  <c r="V17" i="13" s="1"/>
  <c r="T9" i="13"/>
  <c r="U9" i="13"/>
  <c r="V9" i="13" s="1"/>
  <c r="T12" i="13"/>
  <c r="U12" i="13"/>
  <c r="V12" i="13" s="1"/>
  <c r="T4" i="13"/>
  <c r="U4" i="13"/>
  <c r="V4" i="13" s="1"/>
  <c r="T11" i="13"/>
  <c r="U11" i="13"/>
  <c r="V11" i="13" s="1"/>
  <c r="T26" i="13"/>
  <c r="U26" i="13"/>
  <c r="V26" i="13" s="1"/>
  <c r="T18" i="13"/>
  <c r="U18" i="13"/>
  <c r="V18" i="13" s="1"/>
  <c r="T32" i="13"/>
  <c r="U32" i="13"/>
  <c r="V32" i="13" s="1"/>
  <c r="T24" i="13"/>
  <c r="U24" i="13"/>
  <c r="V24" i="13" s="1"/>
  <c r="T16" i="13"/>
  <c r="U16" i="13"/>
  <c r="V16" i="13" s="1"/>
  <c r="T8" i="13"/>
  <c r="U8" i="13"/>
  <c r="V8" i="13" s="1"/>
  <c r="T28" i="13"/>
  <c r="U28" i="13"/>
  <c r="V28" i="13" s="1"/>
  <c r="T34" i="13"/>
  <c r="U34" i="13"/>
  <c r="V34" i="13" s="1"/>
  <c r="T10" i="13"/>
  <c r="U10" i="13"/>
  <c r="V10" i="13" s="1"/>
  <c r="T31" i="13"/>
  <c r="U31" i="13"/>
  <c r="V31" i="13" s="1"/>
  <c r="T23" i="13"/>
  <c r="U23" i="13"/>
  <c r="V23" i="13" s="1"/>
  <c r="T15" i="13"/>
  <c r="U15" i="13"/>
  <c r="V15" i="13" s="1"/>
  <c r="T7" i="13"/>
  <c r="U7" i="13"/>
  <c r="V7" i="13" s="1"/>
  <c r="G6" i="13"/>
  <c r="F5" i="1"/>
  <c r="G7" i="13" s="1"/>
  <c r="G8" i="13"/>
  <c r="B9" i="13"/>
  <c r="G9" i="13" s="1"/>
  <c r="B10" i="13"/>
  <c r="G10" i="13" s="1"/>
  <c r="B11" i="13"/>
  <c r="G11" i="13" s="1"/>
  <c r="F10" i="1"/>
  <c r="B12" i="13" s="1"/>
  <c r="G12" i="13" s="1"/>
  <c r="F11" i="1"/>
  <c r="B13" i="13" s="1"/>
  <c r="G13" i="13" s="1"/>
  <c r="F12" i="1"/>
  <c r="B14" i="13" s="1"/>
  <c r="G14" i="13" s="1"/>
  <c r="F13" i="1"/>
  <c r="B15" i="13" s="1"/>
  <c r="G15" i="13" s="1"/>
  <c r="F14" i="1"/>
  <c r="B16" i="13" s="1"/>
  <c r="G16" i="13" s="1"/>
  <c r="F15" i="1"/>
  <c r="B17" i="13" s="1"/>
  <c r="G17" i="13" s="1"/>
  <c r="F16" i="1"/>
  <c r="B18" i="13" s="1"/>
  <c r="G18" i="13" s="1"/>
  <c r="F17" i="1"/>
  <c r="B19" i="13" s="1"/>
  <c r="G19" i="13" s="1"/>
  <c r="F18" i="1"/>
  <c r="F19" i="1"/>
  <c r="B21" i="13" s="1"/>
  <c r="G21" i="13" s="1"/>
  <c r="F20" i="1"/>
  <c r="B22" i="13" s="1"/>
  <c r="G22" i="13" s="1"/>
  <c r="F21" i="1"/>
  <c r="B23" i="13" s="1"/>
  <c r="G23" i="13" s="1"/>
  <c r="F22" i="1"/>
  <c r="B24" i="13" s="1"/>
  <c r="G24" i="13" s="1"/>
  <c r="F23" i="1"/>
  <c r="B25" i="13" s="1"/>
  <c r="G25" i="13" s="1"/>
  <c r="F24" i="1"/>
  <c r="B26" i="13" s="1"/>
  <c r="G26" i="13" s="1"/>
  <c r="F25" i="1"/>
  <c r="B27" i="13" s="1"/>
  <c r="G27" i="13" s="1"/>
  <c r="F26" i="1"/>
  <c r="B28" i="13" s="1"/>
  <c r="G28" i="13" s="1"/>
  <c r="F27" i="1"/>
  <c r="B29" i="13" s="1"/>
  <c r="G29" i="13" s="1"/>
  <c r="F28" i="1"/>
  <c r="B30" i="13" s="1"/>
  <c r="G30" i="13" s="1"/>
  <c r="F29" i="1"/>
  <c r="B31" i="13" s="1"/>
  <c r="G31" i="13" s="1"/>
  <c r="F30" i="1"/>
  <c r="B32" i="13" s="1"/>
  <c r="G32" i="13" s="1"/>
  <c r="B33" i="13"/>
  <c r="G33" i="13" s="1"/>
  <c r="F32" i="1"/>
  <c r="B34" i="13" s="1"/>
  <c r="G34" i="13" s="1"/>
  <c r="Q13" i="13" l="1"/>
  <c r="R13" i="13" s="1"/>
  <c r="P22" i="13"/>
  <c r="Q22" i="13"/>
  <c r="L29" i="13"/>
  <c r="P30" i="13"/>
  <c r="P9" i="13"/>
  <c r="P25" i="13"/>
  <c r="P17" i="13"/>
  <c r="P33" i="13"/>
  <c r="Q32" i="13"/>
  <c r="R32" i="13" s="1"/>
  <c r="Q27" i="13"/>
  <c r="R27" i="13" s="1"/>
  <c r="M28" i="13"/>
  <c r="N28" i="13" s="1"/>
  <c r="M15" i="13"/>
  <c r="N15" i="13" s="1"/>
  <c r="Q16" i="13"/>
  <c r="R16" i="13" s="1"/>
  <c r="P5" i="13"/>
  <c r="L33" i="13"/>
  <c r="P34" i="13"/>
  <c r="L23" i="13"/>
  <c r="P10" i="13"/>
  <c r="L13" i="13"/>
  <c r="M30" i="13"/>
  <c r="N30" i="13" s="1"/>
  <c r="Q18" i="13"/>
  <c r="R18" i="13" s="1"/>
  <c r="M21" i="13"/>
  <c r="N21" i="13" s="1"/>
  <c r="P24" i="13"/>
  <c r="P31" i="13"/>
  <c r="M10" i="13"/>
  <c r="N10" i="13" s="1"/>
  <c r="M11" i="13"/>
  <c r="N11" i="13" s="1"/>
  <c r="R22" i="13"/>
  <c r="Q26" i="13"/>
  <c r="R26" i="13" s="1"/>
  <c r="M16" i="13"/>
  <c r="N16" i="13" s="1"/>
  <c r="Q6" i="13"/>
  <c r="R6" i="13" s="1"/>
  <c r="L26" i="13"/>
  <c r="M7" i="13"/>
  <c r="N7" i="13" s="1"/>
  <c r="M19" i="13"/>
  <c r="N19" i="13" s="1"/>
  <c r="M27" i="13"/>
  <c r="N27" i="13" s="1"/>
  <c r="Q7" i="13"/>
  <c r="R7" i="13" s="1"/>
  <c r="Q21" i="13"/>
  <c r="R21" i="13" s="1"/>
  <c r="Q8" i="13"/>
  <c r="R8" i="13" s="1"/>
  <c r="L24" i="13"/>
  <c r="M20" i="13"/>
  <c r="N20" i="13" s="1"/>
  <c r="L32" i="13"/>
  <c r="L12" i="13"/>
  <c r="Q29" i="13"/>
  <c r="R29" i="13" s="1"/>
  <c r="M31" i="13"/>
  <c r="N31" i="13" s="1"/>
  <c r="Q14" i="13"/>
  <c r="R14" i="13" s="1"/>
  <c r="Q15" i="13"/>
  <c r="R15" i="13" s="1"/>
  <c r="M34" i="13"/>
  <c r="N34" i="13" s="1"/>
  <c r="Q11" i="13"/>
  <c r="R11" i="13" s="1"/>
  <c r="M6" i="13"/>
  <c r="N6" i="13" s="1"/>
  <c r="M25" i="13"/>
  <c r="N25" i="13" s="1"/>
  <c r="M5" i="13"/>
  <c r="N5" i="13" s="1"/>
  <c r="M14" i="13"/>
  <c r="N14" i="13" s="1"/>
  <c r="Q23" i="13"/>
  <c r="R23" i="13" s="1"/>
  <c r="Q12" i="13"/>
  <c r="R12" i="13" s="1"/>
  <c r="M8" i="13"/>
  <c r="N8" i="13" s="1"/>
  <c r="Q28" i="13"/>
  <c r="R28" i="13" s="1"/>
  <c r="M22" i="13"/>
  <c r="N22" i="13" s="1"/>
  <c r="Q20" i="13"/>
  <c r="R20" i="13" s="1"/>
  <c r="Q4" i="13"/>
  <c r="R4" i="13" s="1"/>
  <c r="L4" i="13"/>
  <c r="M9" i="13"/>
  <c r="N9" i="13" s="1"/>
  <c r="L17" i="13"/>
  <c r="M18" i="13"/>
  <c r="N18" i="13" s="1"/>
  <c r="Q19" i="13"/>
  <c r="R19" i="13" s="1"/>
  <c r="H16" i="13"/>
  <c r="I16" i="13"/>
  <c r="J16" i="13" s="1"/>
  <c r="I31" i="13"/>
  <c r="J31" i="13" s="1"/>
  <c r="H31" i="13"/>
  <c r="H23" i="13"/>
  <c r="I23" i="13"/>
  <c r="J23" i="13" s="1"/>
  <c r="H15" i="13"/>
  <c r="I15" i="13"/>
  <c r="J15" i="13" s="1"/>
  <c r="I7" i="13"/>
  <c r="J7" i="13" s="1"/>
  <c r="H7" i="13"/>
  <c r="I30" i="13"/>
  <c r="J30" i="13" s="1"/>
  <c r="H30" i="13"/>
  <c r="I22" i="13"/>
  <c r="J22" i="13" s="1"/>
  <c r="H22" i="13"/>
  <c r="I14" i="13"/>
  <c r="J14" i="13" s="1"/>
  <c r="H14" i="13"/>
  <c r="I6" i="13"/>
  <c r="J6" i="13" s="1"/>
  <c r="H6" i="13"/>
  <c r="I32" i="13"/>
  <c r="J32" i="13" s="1"/>
  <c r="H32" i="13"/>
  <c r="H21" i="13"/>
  <c r="I21" i="13"/>
  <c r="J21" i="13" s="1"/>
  <c r="I5" i="13"/>
  <c r="J5" i="13" s="1"/>
  <c r="H5" i="13"/>
  <c r="H28" i="13"/>
  <c r="I28" i="13"/>
  <c r="J28" i="13" s="1"/>
  <c r="I12" i="13"/>
  <c r="J12" i="13" s="1"/>
  <c r="H12" i="13"/>
  <c r="J4" i="13"/>
  <c r="H4" i="13"/>
  <c r="I27" i="13"/>
  <c r="J27" i="13" s="1"/>
  <c r="H27" i="13"/>
  <c r="I19" i="13"/>
  <c r="J19" i="13" s="1"/>
  <c r="H19" i="13"/>
  <c r="I11" i="13"/>
  <c r="J11" i="13" s="1"/>
  <c r="H11" i="13"/>
  <c r="H8" i="13"/>
  <c r="I8" i="13"/>
  <c r="J8" i="13" s="1"/>
  <c r="I10" i="13"/>
  <c r="J10" i="13" s="1"/>
  <c r="H10" i="13"/>
  <c r="I24" i="13"/>
  <c r="J24" i="13" s="1"/>
  <c r="H24" i="13"/>
  <c r="H29" i="13"/>
  <c r="I29" i="13"/>
  <c r="J29" i="13" s="1"/>
  <c r="H13" i="13"/>
  <c r="I13" i="13"/>
  <c r="J13" i="13" s="1"/>
  <c r="I34" i="13"/>
  <c r="J34" i="13" s="1"/>
  <c r="H34" i="13"/>
  <c r="I26" i="13"/>
  <c r="J26" i="13" s="1"/>
  <c r="H26" i="13"/>
  <c r="I18" i="13"/>
  <c r="J18" i="13" s="1"/>
  <c r="H18" i="13"/>
  <c r="I33" i="13"/>
  <c r="J33" i="13" s="1"/>
  <c r="H33" i="13"/>
  <c r="H25" i="13"/>
  <c r="I25" i="13"/>
  <c r="J25" i="13" s="1"/>
  <c r="I17" i="13"/>
  <c r="J17" i="13" s="1"/>
  <c r="H17" i="13"/>
  <c r="I9" i="13"/>
  <c r="J9" i="13" s="1"/>
  <c r="H9" i="13"/>
  <c r="E32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2" i="6"/>
  <c r="E3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E4" i="4"/>
  <c r="E5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E2" i="10" l="1"/>
  <c r="E10" i="10"/>
  <c r="E18" i="10"/>
  <c r="E26" i="10"/>
  <c r="E6" i="10"/>
  <c r="E14" i="10"/>
  <c r="E22" i="10"/>
  <c r="E30" i="10"/>
  <c r="E7" i="10"/>
  <c r="E15" i="10"/>
  <c r="E23" i="10"/>
  <c r="E8" i="10"/>
  <c r="E16" i="10"/>
  <c r="E32" i="10"/>
  <c r="E17" i="10"/>
  <c r="E11" i="10"/>
  <c r="E27" i="10"/>
  <c r="E4" i="10"/>
  <c r="E12" i="10"/>
  <c r="E20" i="10"/>
  <c r="E28" i="10"/>
  <c r="E24" i="10"/>
  <c r="E9" i="10"/>
  <c r="E25" i="10"/>
  <c r="E3" i="10"/>
  <c r="E19" i="10"/>
  <c r="E5" i="10"/>
  <c r="E13" i="10"/>
  <c r="E21" i="10"/>
  <c r="E29" i="10"/>
  <c r="E21" i="7"/>
  <c r="E4" i="7"/>
  <c r="E12" i="7"/>
  <c r="E20" i="7"/>
  <c r="E28" i="7"/>
  <c r="E9" i="7"/>
  <c r="E17" i="7"/>
  <c r="E13" i="7"/>
  <c r="E14" i="7"/>
  <c r="E22" i="7"/>
  <c r="E7" i="7"/>
  <c r="E15" i="7"/>
  <c r="E8" i="7"/>
  <c r="E16" i="7"/>
  <c r="E24" i="7"/>
  <c r="E2" i="7"/>
  <c r="E10" i="7"/>
  <c r="E18" i="7"/>
  <c r="E26" i="7"/>
  <c r="E5" i="7"/>
  <c r="E29" i="7"/>
  <c r="E6" i="7"/>
  <c r="E30" i="7"/>
  <c r="E23" i="7"/>
  <c r="E32" i="7"/>
  <c r="E25" i="7"/>
  <c r="E3" i="7"/>
  <c r="E11" i="7"/>
  <c r="E19" i="7"/>
  <c r="E27" i="7"/>
  <c r="F13" i="12" l="1"/>
  <c r="F19" i="12"/>
  <c r="F25" i="12"/>
  <c r="E25" i="12"/>
  <c r="E19" i="12"/>
  <c r="E13" i="12"/>
  <c r="G13" i="12" s="1"/>
  <c r="G19" i="12" l="1"/>
  <c r="G25" i="12"/>
</calcChain>
</file>

<file path=xl/sharedStrings.xml><?xml version="1.0" encoding="utf-8"?>
<sst xmlns="http://schemas.openxmlformats.org/spreadsheetml/2006/main" count="271" uniqueCount="94">
  <si>
    <t>Age</t>
  </si>
  <si>
    <t>Engine - SoC Markov trace - Stage 4</t>
  </si>
  <si>
    <t>Engine - Galleri Markov trace - Stage 1</t>
  </si>
  <si>
    <t>Post-diagnosis calculation - QALYs Galleri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</si>
  <si>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</si>
  <si>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</si>
  <si>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</si>
  <si>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</si>
  <si>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</si>
  <si>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</si>
  <si>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</si>
  <si>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</si>
  <si>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</si>
  <si>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</si>
  <si>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</si>
  <si>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</si>
  <si>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</si>
  <si>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</si>
  <si>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</si>
  <si>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</si>
  <si>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</si>
  <si>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</si>
  <si>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</si>
  <si>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Per patient QALYs</t>
  </si>
  <si>
    <t xml:space="preserve">Engine - SoC Markov trace - Stage 3 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</si>
  <si>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</si>
  <si>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</si>
  <si>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</si>
  <si>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</si>
  <si>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</si>
  <si>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</si>
  <si>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</si>
  <si>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</si>
  <si>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</si>
  <si>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</si>
  <si>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</si>
  <si>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</si>
  <si>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</si>
  <si>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</si>
  <si>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</si>
  <si>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</si>
  <si>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</si>
  <si>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</si>
  <si>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</si>
  <si>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</si>
  <si>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</si>
  <si>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</si>
  <si>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</si>
  <si>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</si>
  <si>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</si>
  <si>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</si>
  <si>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</si>
  <si>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</si>
  <si>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</si>
  <si>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</si>
  <si>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</si>
  <si>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</si>
  <si>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</si>
  <si>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</si>
  <si>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</si>
  <si>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</si>
  <si>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</si>
  <si>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</si>
  <si>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</si>
  <si>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</si>
  <si>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</si>
  <si>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</si>
  <si>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</si>
  <si>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</si>
  <si>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</si>
  <si>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</si>
  <si>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</si>
  <si>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</si>
  <si>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</si>
  <si>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</si>
  <si>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</si>
  <si>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</si>
  <si>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</si>
  <si>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</si>
  <si>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</si>
  <si>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</si>
  <si>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</si>
  <si>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</si>
  <si>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</si>
  <si>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</si>
  <si>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</si>
  <si>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</si>
  <si>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</si>
  <si>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</si>
  <si>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</si>
  <si>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Absolute shortfall</t>
  </si>
  <si>
    <t>Proportional shortfall</t>
  </si>
  <si>
    <t>Modifier</t>
  </si>
  <si>
    <t>Gen pop QALYs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</si>
</sst>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0" xfId="1"/>
    <xf numFmtId="0" fontId="5" fillId="4" borderId="0" xfId="1" applyFill="1"/>
    <xf numFmtId="164" fontId="6" fillId="0" borderId="0" xfId="2" applyNumberFormat="1"/>
    <xf numFmtId="165" fontId="6" fillId="0" borderId="0" xfId="2" applyNumberFormat="1"/>
    <xf numFmtId="164" fontId="5" fillId="0" borderId="0" xfId="1" applyNumberFormat="1"/>
    <xf numFmtId="0" fontId="7" fillId="0" borderId="0" xfId="1" applyFont="1"/>
    <xf numFmtId="0" fontId="6" fillId="0" borderId="0" xfId="2"/>
    <xf numFmtId="165" fontId="5" fillId="0" borderId="0" xfId="1" applyNumberFormat="1"/>
    <xf numFmtId="164" fontId="6" fillId="0" borderId="2" xfId="2" applyNumberFormat="1" applyBorder="1"/>
    <xf numFmtId="164" fontId="6" fillId="0" borderId="1" xfId="2" applyNumberFormat="1" applyBorder="1"/>
    <xf numFmtId="0" fontId="5" fillId="0" borderId="1" xfId="1" applyBorder="1"/>
    <xf numFmtId="0" fontId="5" fillId="0" borderId="3" xfId="1" applyBorder="1"/>
    <xf numFmtId="164" fontId="6" fillId="0" borderId="4" xfId="2" applyNumberFormat="1" applyBorder="1"/>
    <xf numFmtId="0" fontId="5" fillId="0" borderId="5" xfId="1" applyBorder="1"/>
    <xf numFmtId="0" fontId="5" fillId="0" borderId="6" xfId="1" applyBorder="1"/>
    <xf numFmtId="0" fontId="8" fillId="0" borderId="7" xfId="1" applyFont="1" applyBorder="1"/>
    <xf numFmtId="0" fontId="5" fillId="0" borderId="8" xfId="1" applyBorder="1"/>
    <xf numFmtId="0" fontId="8" fillId="0" borderId="9" xfId="1" applyFont="1" applyBorder="1"/>
    <xf numFmtId="0" fontId="8" fillId="0" borderId="0" xfId="1" applyFont="1"/>
    <xf numFmtId="0" fontId="5" fillId="0" borderId="4" xfId="1" applyBorder="1"/>
    <xf numFmtId="0" fontId="9" fillId="0" borderId="0" xfId="2" applyFont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right" vertical="top"/>
    </xf>
    <xf numFmtId="166" fontId="5" fillId="0" borderId="0" xfId="1" applyNumberFormat="1"/>
    <xf numFmtId="0" fontId="5" fillId="0" borderId="13" xfId="1" applyBorder="1"/>
    <xf numFmtId="0" fontId="5" fillId="0" borderId="14" xfId="1" applyBorder="1"/>
    <xf numFmtId="0" fontId="8" fillId="0" borderId="14" xfId="1" applyFont="1" applyBorder="1"/>
    <xf numFmtId="0" fontId="8" fillId="0" borderId="15" xfId="1" applyFont="1" applyBorder="1"/>
    <xf numFmtId="0" fontId="5" fillId="0" borderId="2" xfId="1" applyBorder="1"/>
    <xf numFmtId="0" fontId="5" fillId="0" borderId="16" xfId="1" applyBorder="1"/>
    <xf numFmtId="0" fontId="5" fillId="0" borderId="17" xfId="1" applyBorder="1"/>
    <xf numFmtId="0" fontId="8" fillId="0" borderId="18" xfId="1" applyFont="1" applyBorder="1"/>
    <xf numFmtId="2" fontId="8" fillId="0" borderId="6" xfId="1" applyNumberFormat="1" applyFont="1" applyBorder="1"/>
    <xf numFmtId="0" fontId="5" fillId="0" borderId="19" xfId="1" applyBorder="1"/>
    <xf numFmtId="0" fontId="8" fillId="0" borderId="20" xfId="1" applyFont="1" applyBorder="1"/>
    <xf numFmtId="2" fontId="8" fillId="0" borderId="21" xfId="1" applyNumberFormat="1" applyFont="1" applyBorder="1"/>
    <xf numFmtId="0" fontId="8" fillId="0" borderId="22" xfId="1" applyFont="1" applyBorder="1"/>
    <xf numFmtId="0" fontId="5" fillId="0" borderId="23" xfId="1" applyBorder="1"/>
    <xf numFmtId="0" fontId="8" fillId="0" borderId="24" xfId="1" applyFont="1" applyBorder="1"/>
    <xf numFmtId="0" fontId="8" fillId="0" borderId="8" xfId="1" applyFont="1" applyBorder="1"/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11" fillId="0" borderId="0" xfId="1" applyFont="1"/>
    <xf numFmtId="0" fontId="5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0" fillId="5" borderId="4" xfId="0" applyFill="1" applyBorder="1"/>
    <xf numFmtId="2" fontId="0" fillId="5" borderId="0" xfId="0" applyNumberFormat="1" applyFill="1"/>
    <xf numFmtId="0" fontId="0" fillId="5" borderId="0" xfId="0" applyFill="1"/>
    <xf numFmtId="0" fontId="10" fillId="0" borderId="0" xfId="2" applyFont="1" applyAlignment="1">
      <alignment wrapText="1"/>
    </xf>
    <xf numFmtId="0" fontId="5" fillId="0" borderId="0" xfId="1" applyAlignment="1">
      <alignment wrapText="1"/>
    </xf>
    <xf numFmtId="0" fontId="5" fillId="0" borderId="4" xfId="1" applyBorder="1" applyAlignment="1">
      <alignment wrapText="1"/>
    </xf>
    <xf numFmtId="0" fontId="8" fillId="0" borderId="0" xfId="1" applyFont="1" applyAlignment="1">
      <alignment wrapText="1"/>
    </xf>
    <xf numFmtId="0" fontId="8" fillId="0" borderId="0" xfId="1" applyFont="1"/>
    <xf numFmtId="0" fontId="1" fillId="2" borderId="0" xfId="0" applyFont="1" applyFill="1" applyAlignment="1">
      <alignment horizontal="center" wrapText="1"/>
    </xf>
    <xf numFmtId="2" fontId="0" fillId="0" borderId="0" xfId="0" applyNumberFormat="1" applyFill="1"/>
    <xf numFmtId="2" fontId="0" fillId="0" borderId="0" xfId="0" applyNumberFormat="1" applyAlignment="1">
      <alignment horizontal="center" wrapText="1"/>
    </xf>
    <xf numFmtId="0" fontId="0" fillId="0" borderId="4" xfId="0" applyFill="1" applyBorder="1"/>
  </cellXfs>
  <cellStyles count="3"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Setting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13"/>
      <sheetData sheetId="14"/>
      <sheetData sheetId="15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79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1.7516331E-4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1.7516331E-4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1.7516331E-4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1.7516331E-4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1.7516331E-4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3.5513751999999998E-4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3.5513751999999998E-4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3.5513751999999998E-4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3.5513751999999998E-4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3.5513751999999998E-4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6.5085517999999992E-4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6.5085517999999992E-4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6.5085517999999992E-4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6.5085517999999992E-4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6.5085517999999992E-4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9.9622283999999985E-4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9.9622283999999985E-4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9.9622283999999985E-4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9.9622283999999985E-4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9.9622283999999985E-4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1.3844875E-3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1.3844875E-3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1.3844875E-3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1.3844875E-3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1.3844875E-3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1.6987109000000001E-3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1.6987109000000001E-3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1.6987109000000001E-3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1.6987109000000001E-3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1.6987109000000001E-3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1.6987109000000001E-3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1.6987109000000001E-3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1.6987109000000001E-3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1.6987109000000001E-3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1.6987109000000001E-3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1.6987109000000001E-3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1.6987109000000001E-3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1.6987109000000001E-3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1.6987109000000001E-3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1.6987109000000001E-3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1.6987109000000001E-3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1.6987109000000001E-3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1.6987109000000001E-3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1.6987109000000001E-3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1.6987109000000001E-3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1.6987109000000001E-3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1.6987109000000001E-3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1.6987109000000001E-3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1.6987109000000001E-3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1.6987109000000001E-3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1.6987109000000001E-3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10.4634</v>
          </cell>
          <cell r="G10">
            <v>19.316099999999999</v>
          </cell>
          <cell r="H10">
            <v>2.9592999999999998</v>
          </cell>
          <cell r="I10">
            <v>2.9592999999999998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7.9516</v>
          </cell>
          <cell r="G11">
            <v>15.8109</v>
          </cell>
          <cell r="H11">
            <v>2.2742</v>
          </cell>
          <cell r="I11">
            <v>2.2742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6.7397</v>
          </cell>
          <cell r="G12">
            <v>13.239599999999999</v>
          </cell>
          <cell r="H12">
            <v>1.8883000000000001</v>
          </cell>
          <cell r="I12">
            <v>1.8883000000000001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4.5735999999999999</v>
          </cell>
          <cell r="G13">
            <v>9.4604999999999997</v>
          </cell>
          <cell r="H13">
            <v>1.4535999999999998</v>
          </cell>
          <cell r="I13">
            <v>1.4535999999999998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3.5872000000000002</v>
          </cell>
          <cell r="G14">
            <v>7.4078999999999997</v>
          </cell>
          <cell r="H14">
            <v>1.2141999999999999</v>
          </cell>
          <cell r="I14">
            <v>1.2141999999999999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3.5872000000000002</v>
          </cell>
          <cell r="G15">
            <v>7.4078999999999997</v>
          </cell>
          <cell r="H15">
            <v>1.2141999999999999</v>
          </cell>
          <cell r="I15">
            <v>1.2141999999999999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3.5872000000000002</v>
          </cell>
          <cell r="G16">
            <v>7.4078999999999997</v>
          </cell>
          <cell r="H16">
            <v>1.2141999999999999</v>
          </cell>
          <cell r="I16">
            <v>1.2141999999999999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3.5872000000000002</v>
          </cell>
          <cell r="G17">
            <v>7.4078999999999997</v>
          </cell>
          <cell r="H17">
            <v>1.2141999999999999</v>
          </cell>
          <cell r="I17">
            <v>1.2141999999999999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3.5872000000000002</v>
          </cell>
          <cell r="G18">
            <v>7.4078999999999997</v>
          </cell>
          <cell r="H18">
            <v>1.2141999999999999</v>
          </cell>
          <cell r="I18">
            <v>1.2141999999999999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3.5872000000000002</v>
          </cell>
          <cell r="G19">
            <v>7.4078999999999997</v>
          </cell>
          <cell r="H19">
            <v>1.2141999999999999</v>
          </cell>
          <cell r="I19">
            <v>1.2141999999999999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J28" sqref="J28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16</v>
      </c>
      <c r="B1" t="s">
        <v>4</v>
      </c>
      <c r="C1" t="s">
        <v>8</v>
      </c>
      <c r="E1" t="s">
        <v>9</v>
      </c>
      <c r="F1" t="s">
        <v>6</v>
      </c>
      <c r="G1" t="s">
        <v>7</v>
      </c>
    </row>
    <row r="2" spans="1:7" x14ac:dyDescent="0.2">
      <c r="A2" t="s">
        <v>17</v>
      </c>
      <c r="B2" t="s">
        <v>10</v>
      </c>
      <c r="C2" s="2">
        <v>4.4349020000000001</v>
      </c>
      <c r="D2" s="2">
        <v>0.77200000000000002</v>
      </c>
      <c r="E2">
        <v>26.24</v>
      </c>
      <c r="F2" s="2">
        <v>4.4349020000000001</v>
      </c>
      <c r="G2">
        <v>28.64</v>
      </c>
    </row>
    <row r="3" spans="1:7" x14ac:dyDescent="0.2">
      <c r="A3" t="s">
        <v>17</v>
      </c>
      <c r="B3" t="s">
        <v>11</v>
      </c>
      <c r="C3" s="2">
        <v>10.150356</v>
      </c>
      <c r="D3" s="2">
        <v>0.69</v>
      </c>
      <c r="E3">
        <v>21.42</v>
      </c>
      <c r="F3" s="2">
        <v>10.150356</v>
      </c>
      <c r="G3">
        <v>23.38</v>
      </c>
    </row>
    <row r="4" spans="1:7" x14ac:dyDescent="0.2">
      <c r="A4" t="s">
        <v>17</v>
      </c>
      <c r="B4" t="s">
        <v>12</v>
      </c>
      <c r="C4" s="2">
        <v>20.912485</v>
      </c>
      <c r="D4" s="2">
        <v>0.67400000000000004</v>
      </c>
      <c r="E4">
        <v>17.7</v>
      </c>
      <c r="F4" s="2">
        <v>20.912485</v>
      </c>
      <c r="G4">
        <v>19.41</v>
      </c>
    </row>
    <row r="5" spans="1:7" x14ac:dyDescent="0.2">
      <c r="A5" t="s">
        <v>17</v>
      </c>
      <c r="B5" t="s">
        <v>13</v>
      </c>
      <c r="C5" s="2">
        <v>35.535290000000003</v>
      </c>
      <c r="D5" s="2">
        <v>0.64300000000000002</v>
      </c>
      <c r="E5">
        <v>13.55</v>
      </c>
      <c r="F5" s="2">
        <v>35.535290000000003</v>
      </c>
      <c r="G5">
        <v>14.89</v>
      </c>
    </row>
    <row r="6" spans="1:7" x14ac:dyDescent="0.2">
      <c r="A6" t="s">
        <v>17</v>
      </c>
      <c r="B6" t="s">
        <v>14</v>
      </c>
      <c r="C6" s="2">
        <v>56.038108999999999</v>
      </c>
      <c r="D6" s="2">
        <v>0.54900000000000004</v>
      </c>
      <c r="E6">
        <v>10.08</v>
      </c>
      <c r="F6" s="2">
        <v>56.038108999999999</v>
      </c>
      <c r="G6">
        <v>11.06</v>
      </c>
    </row>
    <row r="7" spans="1:7" x14ac:dyDescent="0.2">
      <c r="A7" t="s">
        <v>17</v>
      </c>
      <c r="B7" t="s">
        <v>15</v>
      </c>
      <c r="C7" s="2">
        <v>71.974258000000006</v>
      </c>
      <c r="D7" s="2">
        <v>0.47899999999999998</v>
      </c>
      <c r="E7">
        <v>9.18</v>
      </c>
      <c r="F7" s="2">
        <v>71.974258000000006</v>
      </c>
      <c r="G7">
        <v>10.17</v>
      </c>
    </row>
    <row r="8" spans="1:7" x14ac:dyDescent="0.2">
      <c r="A8" t="s">
        <v>18</v>
      </c>
      <c r="B8" t="s">
        <v>10</v>
      </c>
      <c r="C8" s="2">
        <v>1.8562669999999999</v>
      </c>
      <c r="D8" s="2">
        <v>0.46899999999999997</v>
      </c>
      <c r="E8">
        <v>18.059999999999999</v>
      </c>
      <c r="F8" s="2">
        <v>1.8562669999999999</v>
      </c>
      <c r="G8">
        <v>20.43</v>
      </c>
    </row>
    <row r="9" spans="1:7" x14ac:dyDescent="0.2">
      <c r="A9" t="s">
        <v>18</v>
      </c>
      <c r="B9" t="s">
        <v>11</v>
      </c>
      <c r="C9" s="2">
        <v>4.5079370000000001</v>
      </c>
      <c r="D9" s="2">
        <v>0.52500000000000002</v>
      </c>
      <c r="E9">
        <v>14.47</v>
      </c>
      <c r="F9" s="2">
        <v>4.5079370000000001</v>
      </c>
      <c r="G9">
        <v>17</v>
      </c>
    </row>
    <row r="10" spans="1:7" x14ac:dyDescent="0.2">
      <c r="A10" t="s">
        <v>18</v>
      </c>
      <c r="B10" t="s">
        <v>12</v>
      </c>
      <c r="C10" s="2">
        <v>9.6236929999999994</v>
      </c>
      <c r="D10" s="2">
        <v>0.48399999999999999</v>
      </c>
      <c r="E10">
        <v>13.07</v>
      </c>
      <c r="F10" s="2">
        <v>9.6236929999999994</v>
      </c>
      <c r="G10">
        <v>13.39</v>
      </c>
    </row>
    <row r="11" spans="1:7" x14ac:dyDescent="0.2">
      <c r="A11" t="s">
        <v>18</v>
      </c>
      <c r="B11" t="s">
        <v>13</v>
      </c>
      <c r="C11" s="2">
        <v>15.235882999999999</v>
      </c>
      <c r="D11" s="2">
        <v>0.39</v>
      </c>
      <c r="E11">
        <v>9.01</v>
      </c>
      <c r="F11" s="2">
        <v>15.235882999999999</v>
      </c>
      <c r="G11">
        <v>9.86</v>
      </c>
    </row>
    <row r="12" spans="1:7" x14ac:dyDescent="0.2">
      <c r="A12" t="s">
        <v>18</v>
      </c>
      <c r="B12" t="s">
        <v>14</v>
      </c>
      <c r="C12" s="2">
        <v>23.261631000000001</v>
      </c>
      <c r="D12" s="2">
        <v>0.312</v>
      </c>
      <c r="E12">
        <v>7.18</v>
      </c>
      <c r="F12" s="2">
        <v>23.261631000000001</v>
      </c>
      <c r="G12">
        <v>7.61</v>
      </c>
    </row>
    <row r="13" spans="1:7" x14ac:dyDescent="0.2">
      <c r="A13" t="s">
        <v>18</v>
      </c>
      <c r="B13" t="s">
        <v>15</v>
      </c>
      <c r="C13" s="2">
        <v>30.003927000000001</v>
      </c>
      <c r="D13" s="2">
        <v>0.27</v>
      </c>
      <c r="E13">
        <v>7.25</v>
      </c>
      <c r="F13" s="2">
        <v>30.003927000000001</v>
      </c>
      <c r="G13">
        <v>8.2200000000000006</v>
      </c>
    </row>
    <row r="14" spans="1:7" x14ac:dyDescent="0.2">
      <c r="A14" t="s">
        <v>19</v>
      </c>
      <c r="B14" t="s">
        <v>10</v>
      </c>
      <c r="C14" s="2">
        <v>6.7158340000000001</v>
      </c>
      <c r="D14" s="2">
        <v>0.23499999999999999</v>
      </c>
      <c r="E14">
        <v>10.050000000000001</v>
      </c>
      <c r="F14" s="2">
        <v>6.7158340000000001</v>
      </c>
      <c r="G14">
        <v>10.83</v>
      </c>
    </row>
    <row r="15" spans="1:7" x14ac:dyDescent="0.2">
      <c r="A15" t="s">
        <v>19</v>
      </c>
      <c r="B15" t="s">
        <v>11</v>
      </c>
      <c r="C15" s="2">
        <v>14.493369</v>
      </c>
      <c r="D15" s="2">
        <v>0.18</v>
      </c>
      <c r="E15">
        <v>7.57</v>
      </c>
      <c r="F15" s="2">
        <v>14.493369</v>
      </c>
      <c r="G15">
        <v>8.2899999999999991</v>
      </c>
    </row>
    <row r="16" spans="1:7" x14ac:dyDescent="0.2">
      <c r="A16" t="s">
        <v>19</v>
      </c>
      <c r="B16" t="s">
        <v>12</v>
      </c>
      <c r="C16" s="2">
        <v>26.968920000000001</v>
      </c>
      <c r="D16" s="2">
        <v>0.17499999999999999</v>
      </c>
      <c r="E16">
        <v>6.48</v>
      </c>
      <c r="F16" s="2">
        <v>26.968920000000001</v>
      </c>
      <c r="G16">
        <v>6.97</v>
      </c>
    </row>
    <row r="17" spans="1:7" x14ac:dyDescent="0.2">
      <c r="A17" t="s">
        <v>19</v>
      </c>
      <c r="B17" t="s">
        <v>13</v>
      </c>
      <c r="C17" s="2">
        <v>41.374766999999999</v>
      </c>
      <c r="D17" s="2">
        <v>0.13800000000000001</v>
      </c>
      <c r="E17">
        <v>4.51</v>
      </c>
      <c r="F17" s="2">
        <v>41.374766999999999</v>
      </c>
      <c r="G17">
        <v>4.63</v>
      </c>
    </row>
    <row r="18" spans="1:7" x14ac:dyDescent="0.2">
      <c r="A18" t="s">
        <v>19</v>
      </c>
      <c r="B18" t="s">
        <v>14</v>
      </c>
      <c r="C18" s="2">
        <v>58.420326000000003</v>
      </c>
      <c r="D18" s="2">
        <v>0.112</v>
      </c>
      <c r="E18">
        <v>3.46</v>
      </c>
      <c r="F18" s="2">
        <v>58.420326000000003</v>
      </c>
      <c r="G18">
        <v>3.7</v>
      </c>
    </row>
    <row r="19" spans="1:7" x14ac:dyDescent="0.2">
      <c r="A19" t="s">
        <v>19</v>
      </c>
      <c r="B19" t="s">
        <v>15</v>
      </c>
      <c r="C19" s="2">
        <v>73.279182000000006</v>
      </c>
      <c r="D19" s="2">
        <v>9.6000000000000002E-2</v>
      </c>
      <c r="E19">
        <v>4.55</v>
      </c>
      <c r="F19" s="2">
        <v>73.279182000000006</v>
      </c>
      <c r="G19">
        <v>4.97</v>
      </c>
    </row>
    <row r="20" spans="1:7" x14ac:dyDescent="0.2">
      <c r="A20" t="s">
        <v>20</v>
      </c>
      <c r="B20" t="s">
        <v>10</v>
      </c>
      <c r="C20" s="2">
        <v>17.516331000000001</v>
      </c>
      <c r="D20" s="2">
        <v>5.5E-2</v>
      </c>
      <c r="E20">
        <v>3.06</v>
      </c>
      <c r="F20" s="2">
        <v>17.516331000000001</v>
      </c>
      <c r="G20">
        <v>2.87</v>
      </c>
    </row>
    <row r="21" spans="1:7" x14ac:dyDescent="0.2">
      <c r="A21" t="s">
        <v>20</v>
      </c>
      <c r="B21" t="s">
        <v>11</v>
      </c>
      <c r="C21" s="2">
        <v>35.513751999999997</v>
      </c>
      <c r="D21" s="2">
        <v>4.4999999999999998E-2</v>
      </c>
      <c r="E21">
        <v>2.2000000000000002</v>
      </c>
      <c r="F21" s="2">
        <v>35.513751999999997</v>
      </c>
      <c r="G21">
        <v>2.34</v>
      </c>
    </row>
    <row r="22" spans="1:7" x14ac:dyDescent="0.2">
      <c r="A22" t="s">
        <v>20</v>
      </c>
      <c r="B22" t="s">
        <v>12</v>
      </c>
      <c r="C22" s="2">
        <v>65.085517999999993</v>
      </c>
      <c r="D22" s="2">
        <v>3.5000000000000003E-2</v>
      </c>
      <c r="E22">
        <v>1.83</v>
      </c>
      <c r="F22" s="2">
        <v>65.085517999999993</v>
      </c>
      <c r="G22">
        <v>1.94</v>
      </c>
    </row>
    <row r="23" spans="1:7" x14ac:dyDescent="0.2">
      <c r="A23" t="s">
        <v>20</v>
      </c>
      <c r="B23" t="s">
        <v>13</v>
      </c>
      <c r="C23" s="2">
        <v>99.622283999999993</v>
      </c>
      <c r="D23" s="2">
        <v>2.7E-2</v>
      </c>
      <c r="E23">
        <v>1.39</v>
      </c>
      <c r="F23" s="2">
        <v>99.622283999999993</v>
      </c>
      <c r="G23">
        <v>1.51</v>
      </c>
    </row>
    <row r="24" spans="1:7" x14ac:dyDescent="0.2">
      <c r="A24" t="s">
        <v>20</v>
      </c>
      <c r="B24" t="s">
        <v>14</v>
      </c>
      <c r="C24" s="2">
        <v>138.44874999999999</v>
      </c>
      <c r="D24" s="2">
        <v>2.3E-2</v>
      </c>
      <c r="E24">
        <v>1.1399999999999999</v>
      </c>
      <c r="F24" s="2">
        <v>138.44874999999999</v>
      </c>
      <c r="G24">
        <v>1.28</v>
      </c>
    </row>
    <row r="25" spans="1:7" x14ac:dyDescent="0.2">
      <c r="A25" t="s">
        <v>20</v>
      </c>
      <c r="B25" t="s">
        <v>15</v>
      </c>
      <c r="C25" s="2">
        <v>169.87109000000001</v>
      </c>
      <c r="D25" s="2">
        <v>1.7999999999999999E-2</v>
      </c>
      <c r="E25">
        <v>4.12</v>
      </c>
      <c r="F25" s="2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K10" sqref="K10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5" t="s">
        <v>16</v>
      </c>
      <c r="B1" s="5" t="s">
        <v>4</v>
      </c>
      <c r="C1" s="5" t="s">
        <v>5</v>
      </c>
      <c r="D1" s="5" t="s">
        <v>21</v>
      </c>
      <c r="E1" s="5" t="s">
        <v>9</v>
      </c>
      <c r="F1" s="5" t="s">
        <v>7</v>
      </c>
      <c r="G1" s="5" t="s">
        <v>22</v>
      </c>
    </row>
    <row r="2" spans="1:7" x14ac:dyDescent="0.2">
      <c r="A2" t="s">
        <v>17</v>
      </c>
      <c r="B2" t="s">
        <v>10</v>
      </c>
      <c r="C2">
        <v>4.4349020000000001</v>
      </c>
      <c r="D2">
        <v>0.77200000000000002</v>
      </c>
      <c r="E2">
        <v>26.24</v>
      </c>
      <c r="F2">
        <v>28.64</v>
      </c>
      <c r="G2">
        <f t="shared" ref="G2:G16" si="0">SUM(E2*(1-0.53) + F2*0.53)</f>
        <v>27.512</v>
      </c>
    </row>
    <row r="3" spans="1:7" x14ac:dyDescent="0.2">
      <c r="A3" t="s">
        <v>17</v>
      </c>
      <c r="B3" t="s">
        <v>11</v>
      </c>
      <c r="C3">
        <v>10.150356</v>
      </c>
      <c r="D3">
        <v>0.69</v>
      </c>
      <c r="E3">
        <v>21.42</v>
      </c>
      <c r="F3">
        <v>23.38</v>
      </c>
      <c r="G3">
        <f t="shared" si="0"/>
        <v>22.458800000000004</v>
      </c>
    </row>
    <row r="4" spans="1:7" x14ac:dyDescent="0.2">
      <c r="A4" t="s">
        <v>17</v>
      </c>
      <c r="B4" t="s">
        <v>12</v>
      </c>
      <c r="C4">
        <v>20.912485</v>
      </c>
      <c r="D4">
        <v>0.67400000000000004</v>
      </c>
      <c r="E4">
        <v>17.7</v>
      </c>
      <c r="F4">
        <v>19.41</v>
      </c>
      <c r="G4">
        <f t="shared" si="0"/>
        <v>18.606299999999997</v>
      </c>
    </row>
    <row r="5" spans="1:7" x14ac:dyDescent="0.2">
      <c r="A5" t="s">
        <v>17</v>
      </c>
      <c r="B5" t="s">
        <v>13</v>
      </c>
      <c r="C5">
        <v>35.535290000000003</v>
      </c>
      <c r="D5">
        <v>0.64300000000000002</v>
      </c>
      <c r="E5">
        <v>13.55</v>
      </c>
      <c r="F5">
        <v>14.89</v>
      </c>
      <c r="G5">
        <f t="shared" si="0"/>
        <v>14.260200000000001</v>
      </c>
    </row>
    <row r="6" spans="1:7" x14ac:dyDescent="0.2">
      <c r="A6" t="s">
        <v>17</v>
      </c>
      <c r="B6" t="s">
        <v>14</v>
      </c>
      <c r="C6">
        <v>56.038108999999999</v>
      </c>
      <c r="D6">
        <v>0.54900000000000004</v>
      </c>
      <c r="E6">
        <v>10.08</v>
      </c>
      <c r="F6">
        <v>11.06</v>
      </c>
      <c r="G6">
        <f t="shared" si="0"/>
        <v>10.599399999999999</v>
      </c>
    </row>
    <row r="7" spans="1:7" x14ac:dyDescent="0.2">
      <c r="A7" s="4" t="s">
        <v>17</v>
      </c>
      <c r="B7" s="4" t="s">
        <v>15</v>
      </c>
      <c r="C7" s="4">
        <v>71.974258000000006</v>
      </c>
      <c r="D7" s="4">
        <v>0.47899999999999998</v>
      </c>
      <c r="E7" s="4">
        <v>9.18</v>
      </c>
      <c r="F7" s="4">
        <v>10.17</v>
      </c>
      <c r="G7">
        <f t="shared" si="0"/>
        <v>9.704699999999999</v>
      </c>
    </row>
    <row r="8" spans="1:7" x14ac:dyDescent="0.2">
      <c r="A8" t="s">
        <v>18</v>
      </c>
      <c r="B8" t="s">
        <v>10</v>
      </c>
      <c r="C8">
        <v>1.8562669999999999</v>
      </c>
      <c r="D8">
        <v>0.46899999999999997</v>
      </c>
      <c r="E8">
        <v>18.059999999999999</v>
      </c>
      <c r="F8">
        <v>20.43</v>
      </c>
      <c r="G8">
        <f t="shared" si="0"/>
        <v>19.316099999999999</v>
      </c>
    </row>
    <row r="9" spans="1:7" x14ac:dyDescent="0.2">
      <c r="A9" t="s">
        <v>18</v>
      </c>
      <c r="B9" t="s">
        <v>11</v>
      </c>
      <c r="C9">
        <v>4.5079370000000001</v>
      </c>
      <c r="D9">
        <v>0.52500000000000002</v>
      </c>
      <c r="E9">
        <v>14.47</v>
      </c>
      <c r="F9">
        <v>17</v>
      </c>
      <c r="G9">
        <f t="shared" si="0"/>
        <v>15.8109</v>
      </c>
    </row>
    <row r="10" spans="1:7" x14ac:dyDescent="0.2">
      <c r="A10" t="s">
        <v>18</v>
      </c>
      <c r="B10" t="s">
        <v>12</v>
      </c>
      <c r="C10">
        <v>9.6236929999999994</v>
      </c>
      <c r="D10">
        <v>0.48399999999999999</v>
      </c>
      <c r="E10">
        <v>13.07</v>
      </c>
      <c r="F10">
        <v>13.39</v>
      </c>
      <c r="G10">
        <f t="shared" si="0"/>
        <v>13.239599999999999</v>
      </c>
    </row>
    <row r="11" spans="1:7" x14ac:dyDescent="0.2">
      <c r="A11" t="s">
        <v>18</v>
      </c>
      <c r="B11" t="s">
        <v>13</v>
      </c>
      <c r="C11">
        <v>15.235882999999999</v>
      </c>
      <c r="D11">
        <v>0.39</v>
      </c>
      <c r="E11">
        <v>9.01</v>
      </c>
      <c r="F11">
        <v>9.86</v>
      </c>
      <c r="G11">
        <f t="shared" si="0"/>
        <v>9.4604999999999997</v>
      </c>
    </row>
    <row r="12" spans="1:7" x14ac:dyDescent="0.2">
      <c r="A12" t="s">
        <v>18</v>
      </c>
      <c r="B12" t="s">
        <v>14</v>
      </c>
      <c r="C12">
        <v>23.261631000000001</v>
      </c>
      <c r="D12">
        <v>0.312</v>
      </c>
      <c r="E12">
        <v>7.18</v>
      </c>
      <c r="F12">
        <v>7.61</v>
      </c>
      <c r="G12">
        <f t="shared" si="0"/>
        <v>7.4078999999999997</v>
      </c>
    </row>
    <row r="13" spans="1:7" x14ac:dyDescent="0.2">
      <c r="A13" s="4" t="s">
        <v>18</v>
      </c>
      <c r="B13" s="4" t="s">
        <v>15</v>
      </c>
      <c r="C13" s="4">
        <v>30.003927000000001</v>
      </c>
      <c r="D13" s="4">
        <v>0.27</v>
      </c>
      <c r="E13" s="4">
        <f>E12</f>
        <v>7.18</v>
      </c>
      <c r="F13" s="4">
        <f>F12</f>
        <v>7.61</v>
      </c>
      <c r="G13">
        <f t="shared" si="0"/>
        <v>7.4078999999999997</v>
      </c>
    </row>
    <row r="14" spans="1:7" x14ac:dyDescent="0.2">
      <c r="A14" t="s">
        <v>19</v>
      </c>
      <c r="B14" t="s">
        <v>10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 t="shared" si="0"/>
        <v>10.4634</v>
      </c>
    </row>
    <row r="15" spans="1:7" x14ac:dyDescent="0.2">
      <c r="A15" t="s">
        <v>19</v>
      </c>
      <c r="B15" t="s">
        <v>11</v>
      </c>
      <c r="C15">
        <v>14.493369</v>
      </c>
      <c r="D15">
        <v>0.18</v>
      </c>
      <c r="E15">
        <v>7.57</v>
      </c>
      <c r="F15">
        <v>8.2899999999999991</v>
      </c>
      <c r="G15">
        <f t="shared" si="0"/>
        <v>7.9516</v>
      </c>
    </row>
    <row r="16" spans="1:7" x14ac:dyDescent="0.2">
      <c r="A16" t="s">
        <v>19</v>
      </c>
      <c r="B16" t="s">
        <v>12</v>
      </c>
      <c r="C16">
        <v>26.968920000000001</v>
      </c>
      <c r="D16">
        <v>0.17499999999999999</v>
      </c>
      <c r="E16">
        <v>6.48</v>
      </c>
      <c r="F16">
        <v>6.97</v>
      </c>
      <c r="G16">
        <f t="shared" si="0"/>
        <v>6.7397</v>
      </c>
    </row>
    <row r="17" spans="1:7" x14ac:dyDescent="0.2">
      <c r="A17" t="s">
        <v>19</v>
      </c>
      <c r="B17" t="s">
        <v>13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ref="G17:G25" si="1">SUM(E17*(1-0.53) + F17*0.53)</f>
        <v>4.5735999999999999</v>
      </c>
    </row>
    <row r="18" spans="1:7" x14ac:dyDescent="0.2">
      <c r="A18" t="s">
        <v>19</v>
      </c>
      <c r="B18" t="s">
        <v>14</v>
      </c>
      <c r="C18">
        <v>58.420326000000003</v>
      </c>
      <c r="D18">
        <v>0.112</v>
      </c>
      <c r="E18">
        <v>3.46</v>
      </c>
      <c r="F18">
        <v>3.7</v>
      </c>
      <c r="G18">
        <f t="shared" si="1"/>
        <v>3.5872000000000002</v>
      </c>
    </row>
    <row r="19" spans="1:7" x14ac:dyDescent="0.2">
      <c r="A19" s="4" t="s">
        <v>19</v>
      </c>
      <c r="B19" s="4" t="s">
        <v>15</v>
      </c>
      <c r="C19" s="4">
        <v>73.279182000000006</v>
      </c>
      <c r="D19" s="4">
        <v>9.6000000000000002E-2</v>
      </c>
      <c r="E19" s="4">
        <f>E18</f>
        <v>3.46</v>
      </c>
      <c r="F19" s="4">
        <f>F18</f>
        <v>3.7</v>
      </c>
      <c r="G19">
        <f>SUM(E19*(1-0.53) + F19*0.53)</f>
        <v>3.5872000000000002</v>
      </c>
    </row>
    <row r="20" spans="1:7" x14ac:dyDescent="0.2">
      <c r="A20" t="s">
        <v>20</v>
      </c>
      <c r="B20" t="s">
        <v>10</v>
      </c>
      <c r="C20">
        <v>17.516331000000001</v>
      </c>
      <c r="D20">
        <v>5.5E-2</v>
      </c>
      <c r="E20">
        <v>3.06</v>
      </c>
      <c r="F20">
        <v>2.87</v>
      </c>
      <c r="G20">
        <f>SUM(E20*(1-0.53) + F20*0.53)</f>
        <v>2.9592999999999998</v>
      </c>
    </row>
    <row r="21" spans="1:7" x14ac:dyDescent="0.2">
      <c r="A21" t="s">
        <v>20</v>
      </c>
      <c r="B21" t="s">
        <v>11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>SUM(E21*(1-0.53) + F21*0.53)</f>
        <v>2.2742</v>
      </c>
    </row>
    <row r="22" spans="1:7" x14ac:dyDescent="0.2">
      <c r="A22" t="s">
        <v>20</v>
      </c>
      <c r="B22" t="s">
        <v>12</v>
      </c>
      <c r="C22">
        <v>65.085517999999993</v>
      </c>
      <c r="D22">
        <v>3.5000000000000003E-2</v>
      </c>
      <c r="E22">
        <v>1.83</v>
      </c>
      <c r="F22">
        <v>1.94</v>
      </c>
      <c r="G22">
        <f>SUM(E22*(1-0.53) + F22*0.53)</f>
        <v>1.8883000000000001</v>
      </c>
    </row>
    <row r="23" spans="1:7" x14ac:dyDescent="0.2">
      <c r="A23" t="s">
        <v>20</v>
      </c>
      <c r="B23" t="s">
        <v>13</v>
      </c>
      <c r="C23">
        <v>99.622283999999993</v>
      </c>
      <c r="D23">
        <v>2.7E-2</v>
      </c>
      <c r="E23">
        <v>1.39</v>
      </c>
      <c r="F23">
        <v>1.51</v>
      </c>
      <c r="G23">
        <f t="shared" si="1"/>
        <v>1.4535999999999998</v>
      </c>
    </row>
    <row r="24" spans="1:7" x14ac:dyDescent="0.2">
      <c r="A24" t="s">
        <v>20</v>
      </c>
      <c r="B24" t="s">
        <v>14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1"/>
        <v>1.2141999999999999</v>
      </c>
    </row>
    <row r="25" spans="1:7" x14ac:dyDescent="0.2">
      <c r="A25" s="4" t="s">
        <v>20</v>
      </c>
      <c r="B25" s="4" t="s">
        <v>15</v>
      </c>
      <c r="C25" s="4">
        <v>169.87109000000001</v>
      </c>
      <c r="D25" s="4">
        <v>1.7999999999999999E-2</v>
      </c>
      <c r="E25" s="4">
        <f>E24</f>
        <v>1.1399999999999999</v>
      </c>
      <c r="F25" s="4">
        <f>F24</f>
        <v>1.28</v>
      </c>
      <c r="G25">
        <f t="shared" si="1"/>
        <v>1.2141999999999999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opLeftCell="A6" zoomScale="110" zoomScaleNormal="110" workbookViewId="0">
      <selection activeCell="P17" sqref="P17"/>
    </sheetView>
  </sheetViews>
  <sheetFormatPr baseColWidth="10" defaultColWidth="8.83203125" defaultRowHeight="15" x14ac:dyDescent="0.2"/>
  <cols>
    <col min="1" max="1" width="18.1640625" style="18" customWidth="1"/>
    <col min="2" max="3" width="8.83203125" style="18"/>
    <col min="4" max="4" width="15.83203125" style="18" bestFit="1" customWidth="1"/>
    <col min="5" max="15" width="8.83203125" style="18"/>
    <col min="16" max="16" width="12" style="18" customWidth="1"/>
    <col min="17" max="17" width="11.83203125" style="18" bestFit="1" customWidth="1"/>
    <col min="18" max="23" width="8.83203125" style="18"/>
    <col min="24" max="24" width="2.5" style="19" customWidth="1"/>
    <col min="25" max="25" width="16" style="18" bestFit="1" customWidth="1"/>
    <col min="26" max="16384" width="8.83203125" style="18"/>
  </cols>
  <sheetData>
    <row r="1" spans="1:28" ht="20" thickBot="1" x14ac:dyDescent="0.3">
      <c r="A1" s="62" t="s">
        <v>89</v>
      </c>
      <c r="N1" s="36" t="s">
        <v>88</v>
      </c>
      <c r="Y1" s="36" t="s">
        <v>86</v>
      </c>
    </row>
    <row r="2" spans="1:28" ht="16" thickTop="1" x14ac:dyDescent="0.2">
      <c r="A2" s="61" t="s">
        <v>87</v>
      </c>
      <c r="B2" s="60"/>
      <c r="C2" s="60"/>
      <c r="D2" s="60"/>
      <c r="E2" s="59"/>
      <c r="J2" s="35" t="s">
        <v>86</v>
      </c>
      <c r="K2" s="58"/>
      <c r="Y2" s="36"/>
      <c r="Z2" s="36" t="s">
        <v>55</v>
      </c>
      <c r="AA2" s="36" t="s">
        <v>54</v>
      </c>
      <c r="AB2" s="36" t="s">
        <v>85</v>
      </c>
    </row>
    <row r="3" spans="1:28" x14ac:dyDescent="0.2">
      <c r="A3" s="57" t="s">
        <v>84</v>
      </c>
      <c r="B3" s="44">
        <v>3.5000000000000003E-2</v>
      </c>
      <c r="C3" s="44"/>
      <c r="D3" s="45" t="s">
        <v>83</v>
      </c>
      <c r="E3" s="56">
        <v>1</v>
      </c>
      <c r="F3" s="44" t="s">
        <v>82</v>
      </c>
      <c r="G3" s="44"/>
      <c r="H3" s="44"/>
      <c r="I3" s="44"/>
      <c r="J3" s="55" t="s">
        <v>47</v>
      </c>
      <c r="K3" s="54">
        <f>Z9</f>
        <v>-0.48098125671132408</v>
      </c>
      <c r="Y3" s="36" t="s">
        <v>81</v>
      </c>
      <c r="Z3" s="18">
        <f>SUMIF(P9:P109,"&lt;&gt;#N/A")</f>
        <v>9.0301057007384316</v>
      </c>
      <c r="AA3" s="18">
        <f>SUMIF(Q9:Q109,"&lt;&gt;#N/A")</f>
        <v>10.319695006126206</v>
      </c>
      <c r="AB3" s="18">
        <f>(Z3*(1-Female))+(AA3*Female)</f>
        <v>9.7135880325939521</v>
      </c>
    </row>
    <row r="4" spans="1:28" ht="16" thickBot="1" x14ac:dyDescent="0.25">
      <c r="A4" s="53" t="s">
        <v>80</v>
      </c>
      <c r="B4" s="18">
        <v>0.53</v>
      </c>
      <c r="D4" s="36" t="s">
        <v>79</v>
      </c>
      <c r="E4" s="52">
        <v>6.03</v>
      </c>
      <c r="J4" s="33" t="s">
        <v>45</v>
      </c>
      <c r="K4" s="51">
        <f>Z10</f>
        <v>-8.6678614537579704E-2</v>
      </c>
      <c r="Y4" s="36" t="s">
        <v>78</v>
      </c>
      <c r="Z4" s="18">
        <f>SUMIF(R9:R109,"&lt;&gt;#N/A")</f>
        <v>8.5241602070232254</v>
      </c>
      <c r="AA4" s="18">
        <f>SUMIF(S9:S109,"&lt;&gt;#N/A")</f>
        <v>9.8069132005465711</v>
      </c>
      <c r="AB4" s="18">
        <f>(Z4*(1-Female))+(AA4*Female)</f>
        <v>9.2040192935905978</v>
      </c>
    </row>
    <row r="5" spans="1:28" ht="17" thickTop="1" thickBot="1" x14ac:dyDescent="0.25">
      <c r="A5" s="50" t="s">
        <v>77</v>
      </c>
      <c r="B5" s="49">
        <v>80</v>
      </c>
      <c r="C5" s="49"/>
      <c r="D5" s="49"/>
      <c r="E5" s="48"/>
      <c r="F5" s="28"/>
      <c r="G5" s="28"/>
      <c r="H5" s="28"/>
      <c r="I5" s="47"/>
      <c r="J5" s="36"/>
      <c r="Y5" s="36" t="s">
        <v>76</v>
      </c>
      <c r="Z5" s="18">
        <f>SUMIF(T9:T109,"&lt;&gt;#N/A")</f>
        <v>6.4574922011759215</v>
      </c>
      <c r="AA5" s="18">
        <f>SUMIF(U9:U109,"&lt;&gt;#N/A")</f>
        <v>6.7805384616554676</v>
      </c>
      <c r="AB5" s="18">
        <f>(Z5*(1-Female))+(AA5*Female)</f>
        <v>6.628706719230081</v>
      </c>
    </row>
    <row r="6" spans="1:28" ht="43.5" customHeight="1" thickTop="1" thickBot="1" x14ac:dyDescent="0.3">
      <c r="A6" s="72" t="s">
        <v>75</v>
      </c>
      <c r="B6" s="73"/>
      <c r="C6" s="73"/>
      <c r="D6" s="73"/>
      <c r="E6" s="73"/>
      <c r="F6" s="73"/>
      <c r="G6" s="73"/>
      <c r="H6" s="73"/>
      <c r="I6" s="74"/>
      <c r="J6" s="46" t="s">
        <v>74</v>
      </c>
      <c r="K6" s="45"/>
      <c r="L6" s="44"/>
      <c r="M6" s="43"/>
      <c r="Y6" s="36" t="s">
        <v>73</v>
      </c>
      <c r="Z6" s="18">
        <f>SUMIF(V9:V109,"&lt;&gt;#N/A")</f>
        <v>5.4506503367972394</v>
      </c>
      <c r="AA6" s="18">
        <f>SUMIF(W9:W109,"&lt;&gt;#N/A")</f>
        <v>5.6362511037622145</v>
      </c>
      <c r="AB6" s="63">
        <f>(Z6*(1-Female))+(AA6*Female)</f>
        <v>5.5490187432886762</v>
      </c>
    </row>
    <row r="7" spans="1:28" ht="30" customHeight="1" x14ac:dyDescent="0.2">
      <c r="B7" s="18" t="s">
        <v>71</v>
      </c>
      <c r="C7" s="18" t="s">
        <v>62</v>
      </c>
      <c r="D7" s="18" t="s">
        <v>72</v>
      </c>
      <c r="F7" s="18" t="s">
        <v>71</v>
      </c>
      <c r="G7" s="18" t="s">
        <v>62</v>
      </c>
      <c r="H7" s="18" t="s">
        <v>70</v>
      </c>
      <c r="J7" s="31"/>
      <c r="M7" s="37"/>
      <c r="P7" s="75" t="s">
        <v>69</v>
      </c>
      <c r="Q7" s="75"/>
      <c r="R7" s="76" t="s">
        <v>68</v>
      </c>
      <c r="S7" s="76"/>
      <c r="T7" s="36" t="s">
        <v>67</v>
      </c>
      <c r="V7" s="36" t="s">
        <v>66</v>
      </c>
      <c r="Y7" s="36" t="s">
        <v>65</v>
      </c>
      <c r="Z7" s="42" t="e">
        <f>SUM(P9:P47)</f>
        <v>#N/A</v>
      </c>
      <c r="AA7" s="42" t="e">
        <f>SUM(Q9:Q47)</f>
        <v>#N/A</v>
      </c>
      <c r="AB7" s="18" t="e">
        <f>Z7*(1-Female)+AA7*Female</f>
        <v>#N/A</v>
      </c>
    </row>
    <row r="8" spans="1:28" ht="16" thickBot="1" x14ac:dyDescent="0.25">
      <c r="A8" s="41" t="s">
        <v>64</v>
      </c>
      <c r="B8" s="40" t="s">
        <v>63</v>
      </c>
      <c r="C8" s="39" t="s">
        <v>63</v>
      </c>
      <c r="D8" s="38" t="s">
        <v>59</v>
      </c>
      <c r="E8" s="38" t="s">
        <v>62</v>
      </c>
      <c r="F8" s="36" t="s">
        <v>61</v>
      </c>
      <c r="G8" s="18" t="s">
        <v>60</v>
      </c>
      <c r="H8" s="38" t="s">
        <v>59</v>
      </c>
      <c r="I8" s="38" t="s">
        <v>58</v>
      </c>
      <c r="J8" s="31" t="s">
        <v>57</v>
      </c>
      <c r="K8" s="18" t="s">
        <v>56</v>
      </c>
      <c r="L8" s="18" t="s">
        <v>55</v>
      </c>
      <c r="M8" s="37" t="s">
        <v>54</v>
      </c>
      <c r="N8" s="18" t="s">
        <v>53</v>
      </c>
      <c r="O8" s="18" t="s">
        <v>0</v>
      </c>
      <c r="P8" s="18" t="s">
        <v>52</v>
      </c>
      <c r="Q8" s="18" t="s">
        <v>51</v>
      </c>
      <c r="R8" s="18" t="s">
        <v>50</v>
      </c>
      <c r="S8" s="18" t="s">
        <v>49</v>
      </c>
      <c r="T8" s="18" t="s">
        <v>50</v>
      </c>
      <c r="U8" s="18" t="s">
        <v>49</v>
      </c>
      <c r="V8" s="18" t="s">
        <v>50</v>
      </c>
      <c r="W8" s="18" t="s">
        <v>49</v>
      </c>
      <c r="Y8" s="36"/>
    </row>
    <row r="9" spans="1:28" ht="16" thickTop="1" x14ac:dyDescent="0.2">
      <c r="A9" s="23">
        <v>0</v>
      </c>
      <c r="B9" s="25">
        <v>4.3119999999999999E-3</v>
      </c>
      <c r="C9" s="21">
        <v>3.5760000000000002E-3</v>
      </c>
      <c r="D9" s="21">
        <f t="shared" ref="D9:D40" si="0">IF(util=1,F9,IF(util=2,H9,"err"))</f>
        <v>0.94464086000000003</v>
      </c>
      <c r="E9" s="21">
        <f t="shared" ref="E9:E40" si="1">IF(util=1,G9,IF(util=2,I9,"err"))</f>
        <v>0.91032568000000003</v>
      </c>
      <c r="F9" s="18">
        <v>0.94464086000000003</v>
      </c>
      <c r="G9" s="18">
        <v>0.91032568000000003</v>
      </c>
      <c r="H9" s="20">
        <f t="shared" ref="H9:H40" si="2">VLOOKUP($A9,$K$9:$M$26,2)</f>
        <v>0.91600000000000004</v>
      </c>
      <c r="I9" s="20">
        <f t="shared" ref="I9:I40" si="3">VLOOKUP($A9,$K$9:$M$26,3)</f>
        <v>0.88100000000000001</v>
      </c>
      <c r="J9" s="31" t="s">
        <v>48</v>
      </c>
      <c r="K9" s="18">
        <v>0</v>
      </c>
      <c r="L9" s="20">
        <f>L10</f>
        <v>0.91600000000000004</v>
      </c>
      <c r="M9" s="30">
        <f>M10</f>
        <v>0.88100000000000001</v>
      </c>
      <c r="N9" s="23">
        <v>0</v>
      </c>
      <c r="O9" s="18">
        <f t="shared" ref="O9:O40" si="4">Age+N9</f>
        <v>80</v>
      </c>
      <c r="P9" s="22">
        <v>1</v>
      </c>
      <c r="Q9" s="22">
        <v>1</v>
      </c>
      <c r="R9" s="18">
        <f t="shared" ref="R9:R40" si="5">(P9+P10)/2</f>
        <v>0.97355400000000003</v>
      </c>
      <c r="S9" s="18">
        <f t="shared" ref="S9:S40" si="6">(Q9+Q10)/2</f>
        <v>0.98117500000000002</v>
      </c>
      <c r="T9" s="18">
        <f t="shared" ref="T9:T40" si="7">R9*VLOOKUP(O9,lifetable,4,FALSE)</f>
        <v>0.75894717341453999</v>
      </c>
      <c r="U9" s="18">
        <f t="shared" ref="U9:U40" si="8">S9*VLOOKUP(O9,lifetable,5,FALSE)</f>
        <v>0.71476395030950002</v>
      </c>
      <c r="V9" s="18">
        <f t="shared" ref="V9:V40" si="9">T9/(1+Disc)^N9</f>
        <v>0.75894717341453999</v>
      </c>
      <c r="W9" s="18">
        <f t="shared" ref="W9:W40" si="10">U9/(1+Disc)^N9</f>
        <v>0.71476395030950002</v>
      </c>
      <c r="Y9" s="35" t="s">
        <v>47</v>
      </c>
      <c r="Z9" s="34">
        <f>AB6-E4</f>
        <v>-0.48098125671132408</v>
      </c>
    </row>
    <row r="10" spans="1:28" ht="16" thickBot="1" x14ac:dyDescent="0.25">
      <c r="A10" s="23">
        <v>1</v>
      </c>
      <c r="B10" s="25">
        <v>2.42E-4</v>
      </c>
      <c r="C10" s="21">
        <v>2.13E-4</v>
      </c>
      <c r="D10" s="21">
        <f t="shared" si="0"/>
        <v>0.94464086000000003</v>
      </c>
      <c r="E10" s="21">
        <f t="shared" si="1"/>
        <v>0.91032568000000003</v>
      </c>
      <c r="F10" s="18">
        <v>0.94464086000000003</v>
      </c>
      <c r="G10" s="18">
        <v>0.91032568000000003</v>
      </c>
      <c r="H10" s="20">
        <f t="shared" si="2"/>
        <v>0.91600000000000004</v>
      </c>
      <c r="I10" s="20">
        <f t="shared" si="3"/>
        <v>0.88100000000000001</v>
      </c>
      <c r="J10" s="31" t="s">
        <v>46</v>
      </c>
      <c r="K10" s="18">
        <v>16</v>
      </c>
      <c r="L10" s="20">
        <v>0.91600000000000004</v>
      </c>
      <c r="M10" s="30">
        <v>0.88100000000000001</v>
      </c>
      <c r="N10" s="23">
        <v>1</v>
      </c>
      <c r="O10" s="18">
        <f t="shared" si="4"/>
        <v>81</v>
      </c>
      <c r="P10" s="22">
        <f>P9-P9*VLOOKUP(O9,lifetable,2,FALSE)</f>
        <v>0.94710799999999995</v>
      </c>
      <c r="Q10" s="22">
        <f t="shared" ref="Q10:Q39" si="11">Q9-Q9*VLOOKUP(O9,lifetable,3,FALSE)</f>
        <v>0.96235000000000004</v>
      </c>
      <c r="R10" s="18">
        <f t="shared" si="5"/>
        <v>0.91922466692600002</v>
      </c>
      <c r="S10" s="18">
        <f t="shared" si="6"/>
        <v>0.94196790817500009</v>
      </c>
      <c r="T10" s="18">
        <f t="shared" si="7"/>
        <v>0.71291686096904938</v>
      </c>
      <c r="U10" s="18">
        <f t="shared" si="8"/>
        <v>0.68071507755559191</v>
      </c>
      <c r="V10" s="18">
        <f t="shared" si="9"/>
        <v>0.68880856132275303</v>
      </c>
      <c r="W10" s="18">
        <f t="shared" si="10"/>
        <v>0.65769572710685209</v>
      </c>
      <c r="Y10" s="33" t="s">
        <v>45</v>
      </c>
      <c r="Z10" s="32">
        <f>Z9/AB6</f>
        <v>-8.6678614537579704E-2</v>
      </c>
    </row>
    <row r="11" spans="1:28" ht="16" thickTop="1" x14ac:dyDescent="0.2">
      <c r="A11" s="23">
        <v>2</v>
      </c>
      <c r="B11" s="25">
        <v>1.3200000000000001E-4</v>
      </c>
      <c r="C11" s="21">
        <v>1.25E-4</v>
      </c>
      <c r="D11" s="21">
        <f t="shared" si="0"/>
        <v>0.94464086000000003</v>
      </c>
      <c r="E11" s="21">
        <f t="shared" si="1"/>
        <v>0.91032568000000003</v>
      </c>
      <c r="F11" s="18">
        <v>0.94464086000000003</v>
      </c>
      <c r="G11" s="18">
        <v>0.91032568000000003</v>
      </c>
      <c r="H11" s="20">
        <f t="shared" si="2"/>
        <v>0.91600000000000004</v>
      </c>
      <c r="I11" s="20">
        <f t="shared" si="3"/>
        <v>0.88100000000000001</v>
      </c>
      <c r="J11" s="31" t="s">
        <v>44</v>
      </c>
      <c r="K11" s="18">
        <v>18</v>
      </c>
      <c r="L11" s="20">
        <v>0.93300000000000005</v>
      </c>
      <c r="M11" s="30">
        <v>0.86399999999999999</v>
      </c>
      <c r="N11" s="23">
        <v>2</v>
      </c>
      <c r="O11" s="18">
        <f t="shared" si="4"/>
        <v>82</v>
      </c>
      <c r="P11" s="22">
        <f>P10-P10*VLOOKUP(O10,lifetable,2,FALSE)</f>
        <v>0.89134133385199998</v>
      </c>
      <c r="Q11" s="22">
        <f t="shared" si="11"/>
        <v>0.92158581635000003</v>
      </c>
      <c r="R11" s="18">
        <f t="shared" si="5"/>
        <v>0.8623254994111158</v>
      </c>
      <c r="S11" s="18">
        <f t="shared" si="6"/>
        <v>0.89952120873494834</v>
      </c>
      <c r="T11" s="18">
        <f t="shared" si="7"/>
        <v>0.66530723311906004</v>
      </c>
      <c r="U11" s="18">
        <f t="shared" si="8"/>
        <v>0.64470682866638351</v>
      </c>
      <c r="V11" s="18">
        <f t="shared" si="9"/>
        <v>0.62107142114780756</v>
      </c>
      <c r="W11" s="18">
        <f t="shared" si="10"/>
        <v>0.60184072315935833</v>
      </c>
    </row>
    <row r="12" spans="1:28" x14ac:dyDescent="0.2">
      <c r="A12" s="23">
        <v>3</v>
      </c>
      <c r="B12" s="25">
        <v>1.02E-4</v>
      </c>
      <c r="C12" s="21">
        <v>9.7999999999999997E-5</v>
      </c>
      <c r="D12" s="21">
        <f t="shared" si="0"/>
        <v>0.94464086000000003</v>
      </c>
      <c r="E12" s="21">
        <f t="shared" si="1"/>
        <v>0.91032568000000003</v>
      </c>
      <c r="F12" s="18">
        <v>0.94464086000000003</v>
      </c>
      <c r="G12" s="18">
        <v>0.91032568000000003</v>
      </c>
      <c r="H12" s="20">
        <f t="shared" si="2"/>
        <v>0.91600000000000004</v>
      </c>
      <c r="I12" s="20">
        <f t="shared" si="3"/>
        <v>0.88100000000000001</v>
      </c>
      <c r="J12" s="31" t="s">
        <v>43</v>
      </c>
      <c r="K12" s="18">
        <v>20</v>
      </c>
      <c r="L12" s="20">
        <v>0.89500000000000002</v>
      </c>
      <c r="M12" s="30">
        <v>0.86599999999999999</v>
      </c>
      <c r="N12" s="23">
        <v>3</v>
      </c>
      <c r="O12" s="18">
        <f t="shared" si="4"/>
        <v>83</v>
      </c>
      <c r="P12" s="22">
        <f>P11-P11*VLOOKUP(O11,lifetable,2,FALSE)</f>
        <v>0.83330966497023162</v>
      </c>
      <c r="Q12" s="22">
        <f t="shared" si="11"/>
        <v>0.87745660111989665</v>
      </c>
      <c r="R12" s="18">
        <f t="shared" si="5"/>
        <v>0.8027126173466872</v>
      </c>
      <c r="S12" s="18">
        <f t="shared" si="6"/>
        <v>0.85321686251395956</v>
      </c>
      <c r="T12" s="18">
        <f t="shared" si="7"/>
        <v>0.61604618099360575</v>
      </c>
      <c r="U12" s="18">
        <f t="shared" si="8"/>
        <v>0.60637058457439552</v>
      </c>
      <c r="V12" s="18">
        <f t="shared" si="9"/>
        <v>0.55563835930182504</v>
      </c>
      <c r="W12" s="18">
        <f t="shared" si="10"/>
        <v>0.54691152568853074</v>
      </c>
    </row>
    <row r="13" spans="1:28" x14ac:dyDescent="0.2">
      <c r="A13" s="23">
        <v>4</v>
      </c>
      <c r="B13" s="25">
        <v>9.3999999999999994E-5</v>
      </c>
      <c r="C13" s="21">
        <v>6.3999999999999997E-5</v>
      </c>
      <c r="D13" s="21">
        <f t="shared" si="0"/>
        <v>0.94464086000000003</v>
      </c>
      <c r="E13" s="21">
        <f t="shared" si="1"/>
        <v>0.91032568000000003</v>
      </c>
      <c r="F13" s="18">
        <v>0.94464086000000003</v>
      </c>
      <c r="G13" s="18">
        <v>0.91032568000000003</v>
      </c>
      <c r="H13" s="20">
        <f t="shared" si="2"/>
        <v>0.91600000000000004</v>
      </c>
      <c r="I13" s="20">
        <f t="shared" si="3"/>
        <v>0.88100000000000001</v>
      </c>
      <c r="J13" s="31" t="s">
        <v>42</v>
      </c>
      <c r="K13" s="18">
        <v>25</v>
      </c>
      <c r="L13" s="20">
        <v>0.89500000000000002</v>
      </c>
      <c r="M13" s="30">
        <v>0.873</v>
      </c>
      <c r="N13" s="23">
        <v>4</v>
      </c>
      <c r="O13" s="18">
        <f t="shared" si="4"/>
        <v>84</v>
      </c>
      <c r="P13" s="22">
        <f>P12-P12*VLOOKUP(O12,lifetable,2,FALSE)</f>
        <v>0.77211556972314266</v>
      </c>
      <c r="Q13" s="22">
        <f t="shared" si="11"/>
        <v>0.82897712390802236</v>
      </c>
      <c r="R13" s="18">
        <f t="shared" si="5"/>
        <v>0.73989094036296243</v>
      </c>
      <c r="S13" s="18">
        <f t="shared" si="6"/>
        <v>0.8030699308316489</v>
      </c>
      <c r="T13" s="18">
        <f t="shared" si="7"/>
        <v>0.56479616366499397</v>
      </c>
      <c r="U13" s="18">
        <f t="shared" si="8"/>
        <v>0.56580124938198206</v>
      </c>
      <c r="V13" s="18">
        <f t="shared" si="9"/>
        <v>0.49218722705982981</v>
      </c>
      <c r="W13" s="18">
        <f t="shared" si="10"/>
        <v>0.49306310119606994</v>
      </c>
    </row>
    <row r="14" spans="1:28" x14ac:dyDescent="0.2">
      <c r="A14" s="23">
        <v>5</v>
      </c>
      <c r="B14" s="25">
        <v>8.8999999999999995E-5</v>
      </c>
      <c r="C14" s="21">
        <v>8.5000000000000006E-5</v>
      </c>
      <c r="D14" s="21">
        <f t="shared" si="0"/>
        <v>0.94464086000000003</v>
      </c>
      <c r="E14" s="21">
        <f t="shared" si="1"/>
        <v>0.91032568000000003</v>
      </c>
      <c r="F14" s="18">
        <v>0.94464086000000003</v>
      </c>
      <c r="G14" s="18">
        <v>0.91032568000000003</v>
      </c>
      <c r="H14" s="20">
        <f t="shared" si="2"/>
        <v>0.91600000000000004</v>
      </c>
      <c r="I14" s="20">
        <f t="shared" si="3"/>
        <v>0.88100000000000001</v>
      </c>
      <c r="J14" s="31" t="s">
        <v>41</v>
      </c>
      <c r="K14" s="18">
        <v>30</v>
      </c>
      <c r="L14" s="20">
        <v>0.91600000000000004</v>
      </c>
      <c r="M14" s="30">
        <v>0.87</v>
      </c>
      <c r="N14" s="23">
        <v>5</v>
      </c>
      <c r="O14" s="18">
        <f t="shared" si="4"/>
        <v>85</v>
      </c>
      <c r="P14" s="22">
        <f>P13-P13*VLOOKUP(O13,lifetable,2,FALSE)</f>
        <v>0.70766631100278221</v>
      </c>
      <c r="Q14" s="22">
        <f t="shared" si="11"/>
        <v>0.77716273775527533</v>
      </c>
      <c r="R14" s="18">
        <f t="shared" si="5"/>
        <v>0.67468410724587558</v>
      </c>
      <c r="S14" s="18">
        <f t="shared" si="6"/>
        <v>0.7494156965291987</v>
      </c>
      <c r="T14" s="18">
        <f t="shared" si="7"/>
        <v>0.51222930944388079</v>
      </c>
      <c r="U14" s="18">
        <f t="shared" si="8"/>
        <v>0.52331961882959122</v>
      </c>
      <c r="V14" s="18">
        <f t="shared" si="9"/>
        <v>0.43128333383021927</v>
      </c>
      <c r="W14" s="18">
        <f t="shared" si="10"/>
        <v>0.44062107674514667</v>
      </c>
    </row>
    <row r="15" spans="1:28" x14ac:dyDescent="0.2">
      <c r="A15" s="23">
        <v>6</v>
      </c>
      <c r="B15" s="25">
        <v>8.2999999999999998E-5</v>
      </c>
      <c r="C15" s="21">
        <v>7.8999999999999996E-5</v>
      </c>
      <c r="D15" s="21">
        <f t="shared" si="0"/>
        <v>0.94464086000000003</v>
      </c>
      <c r="E15" s="21">
        <f t="shared" si="1"/>
        <v>0.91032568000000003</v>
      </c>
      <c r="F15" s="18">
        <v>0.94464086000000003</v>
      </c>
      <c r="G15" s="18">
        <v>0.91032568000000003</v>
      </c>
      <c r="H15" s="20">
        <f t="shared" si="2"/>
        <v>0.91600000000000004</v>
      </c>
      <c r="I15" s="20">
        <f t="shared" si="3"/>
        <v>0.88100000000000001</v>
      </c>
      <c r="J15" s="31" t="s">
        <v>40</v>
      </c>
      <c r="K15" s="18">
        <v>35</v>
      </c>
      <c r="L15" s="20">
        <v>0.86199999999999999</v>
      </c>
      <c r="M15" s="30">
        <v>0.85699999999999998</v>
      </c>
      <c r="N15" s="23">
        <v>6</v>
      </c>
      <c r="O15" s="18">
        <f t="shared" si="4"/>
        <v>86</v>
      </c>
      <c r="P15" s="22">
        <f>P14-P14*VLOOKUP(O14,lifetable,2,FALSE)</f>
        <v>0.64170190348896883</v>
      </c>
      <c r="Q15" s="22">
        <f t="shared" si="11"/>
        <v>0.72166865530312219</v>
      </c>
      <c r="R15" s="18">
        <f t="shared" si="5"/>
        <v>0.60792079018359901</v>
      </c>
      <c r="S15" s="18">
        <f t="shared" si="6"/>
        <v>0.69222276999511656</v>
      </c>
      <c r="T15" s="18">
        <f t="shared" si="7"/>
        <v>0.45900812446971828</v>
      </c>
      <c r="U15" s="18">
        <f t="shared" si="8"/>
        <v>0.47898684067850611</v>
      </c>
      <c r="V15" s="18">
        <f t="shared" si="9"/>
        <v>0.37340340499860902</v>
      </c>
      <c r="W15" s="18">
        <f t="shared" si="10"/>
        <v>0.38965610350689966</v>
      </c>
    </row>
    <row r="16" spans="1:28" x14ac:dyDescent="0.2">
      <c r="A16" s="23">
        <v>7</v>
      </c>
      <c r="B16" s="25">
        <v>7.2999999999999999E-5</v>
      </c>
      <c r="C16" s="21">
        <v>6.0999999999999999E-5</v>
      </c>
      <c r="D16" s="21">
        <f t="shared" si="0"/>
        <v>0.94464086000000003</v>
      </c>
      <c r="E16" s="21">
        <f t="shared" si="1"/>
        <v>0.91032568000000003</v>
      </c>
      <c r="F16" s="18">
        <v>0.94464086000000003</v>
      </c>
      <c r="G16" s="18">
        <v>0.91032568000000003</v>
      </c>
      <c r="H16" s="20">
        <f t="shared" si="2"/>
        <v>0.91600000000000004</v>
      </c>
      <c r="I16" s="20">
        <f t="shared" si="3"/>
        <v>0.88100000000000001</v>
      </c>
      <c r="J16" s="31" t="s">
        <v>39</v>
      </c>
      <c r="K16" s="18">
        <v>40</v>
      </c>
      <c r="L16" s="20">
        <v>0.87</v>
      </c>
      <c r="M16" s="30">
        <v>0.85</v>
      </c>
      <c r="N16" s="23">
        <v>7</v>
      </c>
      <c r="O16" s="18">
        <f t="shared" si="4"/>
        <v>87</v>
      </c>
      <c r="P16" s="22">
        <f>P15-P15*VLOOKUP(O15,lifetable,2,FALSE)</f>
        <v>0.5741396768782292</v>
      </c>
      <c r="Q16" s="22">
        <f t="shared" si="11"/>
        <v>0.66277688468711093</v>
      </c>
      <c r="R16" s="18">
        <f t="shared" si="5"/>
        <v>0.54045949515319847</v>
      </c>
      <c r="S16" s="18">
        <f t="shared" si="6"/>
        <v>0.63228384577642638</v>
      </c>
      <c r="T16" s="18">
        <f t="shared" si="7"/>
        <v>0.40580367144629709</v>
      </c>
      <c r="U16" s="18">
        <f t="shared" si="8"/>
        <v>0.43343208743813172</v>
      </c>
      <c r="V16" s="18">
        <f t="shared" si="9"/>
        <v>0.31895801756909598</v>
      </c>
      <c r="W16" s="18">
        <f t="shared" si="10"/>
        <v>0.34067370279669024</v>
      </c>
    </row>
    <row r="17" spans="1:23" s="19" customFormat="1" x14ac:dyDescent="0.2">
      <c r="A17" s="23">
        <v>8</v>
      </c>
      <c r="B17" s="25">
        <v>6.3999999999999997E-5</v>
      </c>
      <c r="C17" s="21">
        <v>6.3999999999999997E-5</v>
      </c>
      <c r="D17" s="21">
        <f t="shared" si="0"/>
        <v>0.94464086000000003</v>
      </c>
      <c r="E17" s="21">
        <f t="shared" si="1"/>
        <v>0.91032568000000003</v>
      </c>
      <c r="F17" s="18">
        <v>0.94464086000000003</v>
      </c>
      <c r="G17" s="18">
        <v>0.91032568000000003</v>
      </c>
      <c r="H17" s="20">
        <f t="shared" si="2"/>
        <v>0.91600000000000004</v>
      </c>
      <c r="I17" s="20">
        <f t="shared" si="3"/>
        <v>0.88100000000000001</v>
      </c>
      <c r="J17" s="31" t="s">
        <v>38</v>
      </c>
      <c r="K17" s="18">
        <v>45</v>
      </c>
      <c r="L17" s="20">
        <v>0.82399999999999995</v>
      </c>
      <c r="M17" s="30">
        <v>0.81499999999999995</v>
      </c>
      <c r="N17" s="23">
        <v>8</v>
      </c>
      <c r="O17" s="18">
        <f t="shared" si="4"/>
        <v>88</v>
      </c>
      <c r="P17" s="22">
        <f>P16-P16*VLOOKUP(O16,lifetable,2,FALSE)</f>
        <v>0.50677931342816784</v>
      </c>
      <c r="Q17" s="22">
        <f t="shared" si="11"/>
        <v>0.60179080686574171</v>
      </c>
      <c r="R17" s="18">
        <f t="shared" si="5"/>
        <v>0.4733899049732963</v>
      </c>
      <c r="S17" s="18">
        <f t="shared" si="6"/>
        <v>0.57016850533736751</v>
      </c>
      <c r="T17" s="18">
        <f t="shared" si="7"/>
        <v>0.35344500763293318</v>
      </c>
      <c r="U17" s="18">
        <f t="shared" si="8"/>
        <v>0.38711452118933765</v>
      </c>
      <c r="V17" s="18">
        <f t="shared" si="9"/>
        <v>0.26841022328339037</v>
      </c>
      <c r="W17" s="18">
        <f t="shared" si="10"/>
        <v>0.29397924097030359</v>
      </c>
    </row>
    <row r="18" spans="1:23" s="19" customFormat="1" x14ac:dyDescent="0.2">
      <c r="A18" s="23">
        <v>9</v>
      </c>
      <c r="B18" s="25">
        <v>6.2000000000000003E-5</v>
      </c>
      <c r="C18" s="21">
        <v>5.5999999999999999E-5</v>
      </c>
      <c r="D18" s="21">
        <f t="shared" si="0"/>
        <v>0.94464086000000003</v>
      </c>
      <c r="E18" s="21">
        <f t="shared" si="1"/>
        <v>0.91032568000000003</v>
      </c>
      <c r="F18" s="18">
        <v>0.94464086000000003</v>
      </c>
      <c r="G18" s="18">
        <v>0.91032568000000003</v>
      </c>
      <c r="H18" s="20">
        <f t="shared" si="2"/>
        <v>0.91600000000000004</v>
      </c>
      <c r="I18" s="20">
        <f t="shared" si="3"/>
        <v>0.88100000000000001</v>
      </c>
      <c r="J18" s="31" t="s">
        <v>10</v>
      </c>
      <c r="K18" s="18">
        <v>50</v>
      </c>
      <c r="L18" s="20">
        <v>0.83699999999999997</v>
      </c>
      <c r="M18" s="30">
        <v>0.80500000000000005</v>
      </c>
      <c r="N18" s="23">
        <v>9</v>
      </c>
      <c r="O18" s="18">
        <f t="shared" si="4"/>
        <v>89</v>
      </c>
      <c r="P18" s="22">
        <f>P17-P17*VLOOKUP(O17,lifetable,2,FALSE)</f>
        <v>0.44000049651842477</v>
      </c>
      <c r="Q18" s="22">
        <f t="shared" si="11"/>
        <v>0.53854620380899343</v>
      </c>
      <c r="R18" s="18">
        <f t="shared" si="5"/>
        <v>0.40740239973311249</v>
      </c>
      <c r="S18" s="18">
        <f t="shared" si="6"/>
        <v>0.50699251245472254</v>
      </c>
      <c r="T18" s="18">
        <f t="shared" si="7"/>
        <v>0.302445910569133</v>
      </c>
      <c r="U18" s="18">
        <f t="shared" si="8"/>
        <v>0.34084693920425857</v>
      </c>
      <c r="V18" s="18">
        <f t="shared" si="9"/>
        <v>0.22191393199666307</v>
      </c>
      <c r="W18" s="18">
        <f t="shared" si="10"/>
        <v>0.25008995607019496</v>
      </c>
    </row>
    <row r="19" spans="1:23" s="19" customFormat="1" x14ac:dyDescent="0.2">
      <c r="A19" s="23">
        <v>10</v>
      </c>
      <c r="B19" s="25">
        <v>7.2000000000000002E-5</v>
      </c>
      <c r="C19" s="21">
        <v>6.3999999999999997E-5</v>
      </c>
      <c r="D19" s="21">
        <f t="shared" si="0"/>
        <v>0.94464086000000003</v>
      </c>
      <c r="E19" s="21">
        <f t="shared" si="1"/>
        <v>0.91032568000000003</v>
      </c>
      <c r="F19" s="18">
        <v>0.94464086000000003</v>
      </c>
      <c r="G19" s="18">
        <v>0.91032568000000003</v>
      </c>
      <c r="H19" s="20">
        <f t="shared" si="2"/>
        <v>0.91600000000000004</v>
      </c>
      <c r="I19" s="20">
        <f t="shared" si="3"/>
        <v>0.88100000000000001</v>
      </c>
      <c r="J19" s="31" t="s">
        <v>11</v>
      </c>
      <c r="K19" s="18">
        <v>55</v>
      </c>
      <c r="L19" s="20">
        <v>0.81699999999999995</v>
      </c>
      <c r="M19" s="30">
        <v>0.80200000000000005</v>
      </c>
      <c r="N19" s="23">
        <v>10</v>
      </c>
      <c r="O19" s="18">
        <f t="shared" si="4"/>
        <v>90</v>
      </c>
      <c r="P19" s="22">
        <f>P18-P18*VLOOKUP(O18,lifetable,2,FALSE)</f>
        <v>0.37480430294780021</v>
      </c>
      <c r="Q19" s="22">
        <f t="shared" si="11"/>
        <v>0.47543882110045177</v>
      </c>
      <c r="R19" s="18">
        <f t="shared" si="5"/>
        <v>0.34523449227103642</v>
      </c>
      <c r="S19" s="18">
        <f t="shared" si="6"/>
        <v>0.44414971684500992</v>
      </c>
      <c r="T19" s="18">
        <f t="shared" si="7"/>
        <v>0.25481885266052845</v>
      </c>
      <c r="U19" s="18">
        <f t="shared" si="8"/>
        <v>0.29559819890329525</v>
      </c>
      <c r="V19" s="18">
        <f t="shared" si="9"/>
        <v>0.18064587873898705</v>
      </c>
      <c r="W19" s="18">
        <f t="shared" si="10"/>
        <v>0.20955512450126934</v>
      </c>
    </row>
    <row r="20" spans="1:23" s="19" customFormat="1" x14ac:dyDescent="0.2">
      <c r="A20" s="23">
        <v>11</v>
      </c>
      <c r="B20" s="25">
        <v>8.1000000000000004E-5</v>
      </c>
      <c r="C20" s="21">
        <v>6.2000000000000003E-5</v>
      </c>
      <c r="D20" s="21">
        <f t="shared" si="0"/>
        <v>0.94464086000000003</v>
      </c>
      <c r="E20" s="21">
        <f t="shared" si="1"/>
        <v>0.91032568000000003</v>
      </c>
      <c r="F20" s="18">
        <v>0.94464086000000003</v>
      </c>
      <c r="G20" s="18">
        <v>0.91032568000000003</v>
      </c>
      <c r="H20" s="20">
        <f t="shared" si="2"/>
        <v>0.91600000000000004</v>
      </c>
      <c r="I20" s="20">
        <f t="shared" si="3"/>
        <v>0.88100000000000001</v>
      </c>
      <c r="J20" s="31" t="s">
        <v>12</v>
      </c>
      <c r="K20" s="18">
        <v>60</v>
      </c>
      <c r="L20" s="20">
        <v>0.80900000000000005</v>
      </c>
      <c r="M20" s="30">
        <v>0.78400000000000003</v>
      </c>
      <c r="N20" s="23">
        <v>11</v>
      </c>
      <c r="O20" s="18">
        <f t="shared" si="4"/>
        <v>91</v>
      </c>
      <c r="P20" s="22">
        <f>P19-P19*VLOOKUP(O19,lifetable,2,FALSE)</f>
        <v>0.31566468159427269</v>
      </c>
      <c r="Q20" s="22">
        <f t="shared" si="11"/>
        <v>0.41286061258956813</v>
      </c>
      <c r="R20" s="18">
        <f t="shared" si="5"/>
        <v>0.28774524533364487</v>
      </c>
      <c r="S20" s="18">
        <f t="shared" si="6"/>
        <v>0.38232337737938071</v>
      </c>
      <c r="T20" s="18">
        <f t="shared" si="7"/>
        <v>0.21115022625763627</v>
      </c>
      <c r="U20" s="18">
        <f t="shared" si="8"/>
        <v>0.25183122437480082</v>
      </c>
      <c r="V20" s="18">
        <f t="shared" si="9"/>
        <v>0.14462644242812897</v>
      </c>
      <c r="W20" s="18">
        <f t="shared" si="10"/>
        <v>0.17249071771870847</v>
      </c>
    </row>
    <row r="21" spans="1:23" s="19" customFormat="1" x14ac:dyDescent="0.2">
      <c r="A21" s="23">
        <v>12</v>
      </c>
      <c r="B21" s="25">
        <v>1.05E-4</v>
      </c>
      <c r="C21" s="21">
        <v>5.7000000000000003E-5</v>
      </c>
      <c r="D21" s="21">
        <f t="shared" si="0"/>
        <v>0.94464086000000003</v>
      </c>
      <c r="E21" s="21">
        <f t="shared" si="1"/>
        <v>0.91032568000000003</v>
      </c>
      <c r="F21" s="18">
        <v>0.94464086000000003</v>
      </c>
      <c r="G21" s="18">
        <v>0.91032568000000003</v>
      </c>
      <c r="H21" s="20">
        <f t="shared" si="2"/>
        <v>0.91600000000000004</v>
      </c>
      <c r="I21" s="20">
        <f t="shared" si="3"/>
        <v>0.88100000000000001</v>
      </c>
      <c r="J21" s="31" t="s">
        <v>13</v>
      </c>
      <c r="K21" s="18">
        <v>65</v>
      </c>
      <c r="L21" s="20">
        <v>0.79800000000000004</v>
      </c>
      <c r="M21" s="30">
        <v>0.78200000000000003</v>
      </c>
      <c r="N21" s="23">
        <v>12</v>
      </c>
      <c r="O21" s="18">
        <f t="shared" si="4"/>
        <v>92</v>
      </c>
      <c r="P21" s="22">
        <f>P20-P20*VLOOKUP(O20,lifetable,2,FALSE)</f>
        <v>0.259825809073017</v>
      </c>
      <c r="Q21" s="22">
        <f t="shared" si="11"/>
        <v>0.35178614216919329</v>
      </c>
      <c r="R21" s="18">
        <f t="shared" si="5"/>
        <v>0.2345837317215734</v>
      </c>
      <c r="S21" s="18">
        <f t="shared" si="6"/>
        <v>0.32273230058051072</v>
      </c>
      <c r="T21" s="18">
        <f t="shared" si="7"/>
        <v>0.17112795494773117</v>
      </c>
      <c r="U21" s="18">
        <f t="shared" si="8"/>
        <v>0.21033832091054044</v>
      </c>
      <c r="V21" s="18">
        <f t="shared" si="9"/>
        <v>0.113249622454783</v>
      </c>
      <c r="W21" s="18">
        <f t="shared" si="10"/>
        <v>0.13919838776877472</v>
      </c>
    </row>
    <row r="22" spans="1:23" s="19" customFormat="1" x14ac:dyDescent="0.2">
      <c r="A22" s="23">
        <v>13</v>
      </c>
      <c r="B22" s="25">
        <v>1.25E-4</v>
      </c>
      <c r="C22" s="21">
        <v>7.8999999999999996E-5</v>
      </c>
      <c r="D22" s="21">
        <f t="shared" si="0"/>
        <v>0.94464086000000003</v>
      </c>
      <c r="E22" s="21">
        <f t="shared" si="1"/>
        <v>0.91032568000000003</v>
      </c>
      <c r="F22" s="18">
        <v>0.94464086000000003</v>
      </c>
      <c r="G22" s="18">
        <v>0.91032568000000003</v>
      </c>
      <c r="H22" s="20">
        <f t="shared" si="2"/>
        <v>0.91600000000000004</v>
      </c>
      <c r="I22" s="20">
        <f t="shared" si="3"/>
        <v>0.88100000000000001</v>
      </c>
      <c r="J22" s="31" t="s">
        <v>14</v>
      </c>
      <c r="K22" s="18">
        <v>70</v>
      </c>
      <c r="L22" s="20">
        <v>0.80200000000000005</v>
      </c>
      <c r="M22" s="30">
        <v>0.78700000000000003</v>
      </c>
      <c r="N22" s="23">
        <v>13</v>
      </c>
      <c r="O22" s="18">
        <f t="shared" si="4"/>
        <v>93</v>
      </c>
      <c r="P22" s="22">
        <f>P21-P21*VLOOKUP(O21,lifetable,2,FALSE)</f>
        <v>0.2093416543701298</v>
      </c>
      <c r="Q22" s="22">
        <f t="shared" si="11"/>
        <v>0.2936784589918281</v>
      </c>
      <c r="R22" s="18">
        <f t="shared" si="5"/>
        <v>0.18693864321522879</v>
      </c>
      <c r="S22" s="18">
        <f t="shared" si="6"/>
        <v>0.26685107860215407</v>
      </c>
      <c r="T22" s="18">
        <f t="shared" si="7"/>
        <v>0.13556153506010957</v>
      </c>
      <c r="U22" s="18">
        <f t="shared" si="8"/>
        <v>0.17204126001238673</v>
      </c>
      <c r="V22" s="18">
        <f t="shared" si="9"/>
        <v>8.6678608495861578E-2</v>
      </c>
      <c r="W22" s="18">
        <f t="shared" si="10"/>
        <v>0.11000389612832363</v>
      </c>
    </row>
    <row r="23" spans="1:23" s="19" customFormat="1" x14ac:dyDescent="0.2">
      <c r="A23" s="23">
        <v>14</v>
      </c>
      <c r="B23" s="25">
        <v>1.16E-4</v>
      </c>
      <c r="C23" s="21">
        <v>9.2E-5</v>
      </c>
      <c r="D23" s="21">
        <f t="shared" si="0"/>
        <v>0.94464086000000003</v>
      </c>
      <c r="E23" s="21">
        <f t="shared" si="1"/>
        <v>0.91032568000000003</v>
      </c>
      <c r="F23" s="18">
        <v>0.94464086000000003</v>
      </c>
      <c r="G23" s="18">
        <v>0.91032568000000003</v>
      </c>
      <c r="H23" s="20">
        <f t="shared" si="2"/>
        <v>0.91600000000000004</v>
      </c>
      <c r="I23" s="20">
        <f t="shared" si="3"/>
        <v>0.88100000000000001</v>
      </c>
      <c r="J23" s="31" t="s">
        <v>15</v>
      </c>
      <c r="K23" s="18">
        <v>75</v>
      </c>
      <c r="L23" s="20">
        <v>0.79100000000000004</v>
      </c>
      <c r="M23" s="30">
        <v>0.74099999999999999</v>
      </c>
      <c r="N23" s="23">
        <v>14</v>
      </c>
      <c r="O23" s="18">
        <f t="shared" si="4"/>
        <v>94</v>
      </c>
      <c r="P23" s="22">
        <f>P22-P22*VLOOKUP(O22,lifetable,2,FALSE)</f>
        <v>0.16453563206032781</v>
      </c>
      <c r="Q23" s="22">
        <f t="shared" si="11"/>
        <v>0.2400236982124801</v>
      </c>
      <c r="R23" s="18">
        <f t="shared" si="5"/>
        <v>0.14503667884049043</v>
      </c>
      <c r="S23" s="18">
        <f t="shared" si="6"/>
        <v>0.21562852960910736</v>
      </c>
      <c r="T23" s="18">
        <f t="shared" si="7"/>
        <v>0.10454548387848116</v>
      </c>
      <c r="U23" s="18">
        <f t="shared" si="8"/>
        <v>0.13748264810060318</v>
      </c>
      <c r="V23" s="18">
        <f t="shared" si="9"/>
        <v>6.458629619578915E-2</v>
      </c>
      <c r="W23" s="18">
        <f t="shared" si="10"/>
        <v>8.4934276475568476E-2</v>
      </c>
    </row>
    <row r="24" spans="1:23" s="19" customFormat="1" x14ac:dyDescent="0.2">
      <c r="A24" s="23">
        <v>15</v>
      </c>
      <c r="B24" s="25">
        <v>1.6899999999999999E-4</v>
      </c>
      <c r="C24" s="21">
        <v>9.7999999999999997E-5</v>
      </c>
      <c r="D24" s="21">
        <f t="shared" si="0"/>
        <v>0.94464086000000003</v>
      </c>
      <c r="E24" s="21">
        <f t="shared" si="1"/>
        <v>0.91032568000000003</v>
      </c>
      <c r="F24" s="18">
        <v>0.94464086000000003</v>
      </c>
      <c r="G24" s="18">
        <v>0.91032568000000003</v>
      </c>
      <c r="H24" s="20">
        <f t="shared" si="2"/>
        <v>0.91600000000000004</v>
      </c>
      <c r="I24" s="20">
        <f t="shared" si="3"/>
        <v>0.88100000000000001</v>
      </c>
      <c r="J24" s="31" t="s">
        <v>37</v>
      </c>
      <c r="K24" s="18">
        <v>80</v>
      </c>
      <c r="L24" s="20">
        <v>0.77300000000000002</v>
      </c>
      <c r="M24" s="30">
        <v>0.71699999999999997</v>
      </c>
      <c r="N24" s="23">
        <v>15</v>
      </c>
      <c r="O24" s="18">
        <f t="shared" si="4"/>
        <v>95</v>
      </c>
      <c r="P24" s="22">
        <f>P23-P23*VLOOKUP(O23,lifetable,2,FALSE)</f>
        <v>0.12553772562065302</v>
      </c>
      <c r="Q24" s="22">
        <f t="shared" si="11"/>
        <v>0.19123336100573463</v>
      </c>
      <c r="R24" s="18">
        <f t="shared" si="5"/>
        <v>0.10910828962436411</v>
      </c>
      <c r="S24" s="18">
        <f t="shared" si="6"/>
        <v>0.16957197573789307</v>
      </c>
      <c r="T24" s="18">
        <f t="shared" si="7"/>
        <v>7.8172160526347526E-2</v>
      </c>
      <c r="U24" s="18">
        <f t="shared" si="8"/>
        <v>0.10689674570913207</v>
      </c>
      <c r="V24" s="18">
        <f t="shared" si="9"/>
        <v>4.6660229255809128E-2</v>
      </c>
      <c r="W24" s="18">
        <f t="shared" si="10"/>
        <v>6.3805664675302298E-2</v>
      </c>
    </row>
    <row r="25" spans="1:23" s="19" customFormat="1" x14ac:dyDescent="0.2">
      <c r="A25" s="23">
        <v>16</v>
      </c>
      <c r="B25" s="25">
        <v>2.2000000000000001E-4</v>
      </c>
      <c r="C25" s="21">
        <v>1.4799999999999999E-4</v>
      </c>
      <c r="D25" s="21">
        <f t="shared" si="0"/>
        <v>0.94464086000000003</v>
      </c>
      <c r="E25" s="21">
        <f t="shared" si="1"/>
        <v>0.91032568000000003</v>
      </c>
      <c r="F25" s="18">
        <v>0.94464086000000003</v>
      </c>
      <c r="G25" s="18">
        <v>0.91032568000000003</v>
      </c>
      <c r="H25" s="20">
        <f t="shared" si="2"/>
        <v>0.91600000000000004</v>
      </c>
      <c r="I25" s="20">
        <f t="shared" si="3"/>
        <v>0.88100000000000001</v>
      </c>
      <c r="J25" s="31" t="s">
        <v>36</v>
      </c>
      <c r="K25" s="18">
        <v>85</v>
      </c>
      <c r="L25" s="20">
        <v>0.71799999999999997</v>
      </c>
      <c r="M25" s="30">
        <v>0.66500000000000004</v>
      </c>
      <c r="N25" s="23">
        <v>16</v>
      </c>
      <c r="O25" s="18">
        <f t="shared" si="4"/>
        <v>96</v>
      </c>
      <c r="P25" s="22">
        <f>P24-P24*VLOOKUP(O24,lifetable,2,FALSE)</f>
        <v>9.2678853628075195E-2</v>
      </c>
      <c r="Q25" s="22">
        <f t="shared" si="11"/>
        <v>0.14791059047005148</v>
      </c>
      <c r="R25" s="18">
        <f t="shared" si="5"/>
        <v>7.9219011036816195E-2</v>
      </c>
      <c r="S25" s="18">
        <f t="shared" si="6"/>
        <v>0.12939070543729633</v>
      </c>
      <c r="T25" s="18">
        <f t="shared" si="7"/>
        <v>5.6411660503979333E-2</v>
      </c>
      <c r="U25" s="18">
        <f t="shared" si="8"/>
        <v>8.0625760400728691E-2</v>
      </c>
      <c r="V25" s="18">
        <f t="shared" si="9"/>
        <v>3.253293810229247E-2</v>
      </c>
      <c r="W25" s="18">
        <f t="shared" si="10"/>
        <v>4.6497352659600248E-2</v>
      </c>
    </row>
    <row r="26" spans="1:23" s="19" customFormat="1" x14ac:dyDescent="0.2">
      <c r="A26" s="23">
        <v>17</v>
      </c>
      <c r="B26" s="25">
        <v>3.0299999999999999E-4</v>
      </c>
      <c r="C26" s="21">
        <v>1.5899999999999999E-4</v>
      </c>
      <c r="D26" s="21">
        <f t="shared" si="0"/>
        <v>0.94333138999999999</v>
      </c>
      <c r="E26" s="21">
        <f t="shared" si="1"/>
        <v>0.91087275999999995</v>
      </c>
      <c r="F26" s="18">
        <v>0.94333138999999999</v>
      </c>
      <c r="G26" s="18">
        <v>0.91087275999999995</v>
      </c>
      <c r="H26" s="20">
        <f t="shared" si="2"/>
        <v>0.91600000000000004</v>
      </c>
      <c r="I26" s="20">
        <f t="shared" si="3"/>
        <v>0.88100000000000001</v>
      </c>
      <c r="J26" s="29" t="s">
        <v>35</v>
      </c>
      <c r="K26" s="28">
        <v>90</v>
      </c>
      <c r="L26" s="27">
        <v>0.66300000000000003</v>
      </c>
      <c r="M26" s="26">
        <v>0.66500000000000004</v>
      </c>
      <c r="N26" s="23">
        <v>17</v>
      </c>
      <c r="O26" s="18">
        <f t="shared" si="4"/>
        <v>97</v>
      </c>
      <c r="P26" s="22">
        <f>P25-P25*VLOOKUP(O25,lifetable,2,FALSE)</f>
        <v>6.5759168445557209E-2</v>
      </c>
      <c r="Q26" s="22">
        <f t="shared" si="11"/>
        <v>0.11087082040454119</v>
      </c>
      <c r="R26" s="18">
        <f t="shared" si="5"/>
        <v>5.572635787498699E-2</v>
      </c>
      <c r="S26" s="18">
        <f t="shared" si="6"/>
        <v>9.606180492310662E-2</v>
      </c>
      <c r="T26" s="18">
        <f t="shared" si="7"/>
        <v>3.9438899847678968E-2</v>
      </c>
      <c r="U26" s="18">
        <f t="shared" si="8"/>
        <v>5.9152745151322697E-2</v>
      </c>
      <c r="V26" s="18">
        <f t="shared" si="9"/>
        <v>2.1975504051868495E-2</v>
      </c>
      <c r="W26" s="18">
        <f t="shared" si="10"/>
        <v>3.2960133162247371E-2</v>
      </c>
    </row>
    <row r="27" spans="1:23" s="19" customFormat="1" x14ac:dyDescent="0.2">
      <c r="A27" s="23">
        <v>18</v>
      </c>
      <c r="B27" s="25">
        <v>3.8699999999999997E-4</v>
      </c>
      <c r="C27" s="21">
        <v>2.1100000000000001E-4</v>
      </c>
      <c r="D27" s="21">
        <f t="shared" si="0"/>
        <v>0.94198996999999995</v>
      </c>
      <c r="E27" s="21">
        <f t="shared" si="1"/>
        <v>0.91123900000000002</v>
      </c>
      <c r="F27" s="18">
        <v>0.94198996999999995</v>
      </c>
      <c r="G27" s="18">
        <v>0.91123900000000002</v>
      </c>
      <c r="H27" s="20">
        <f t="shared" si="2"/>
        <v>0.93300000000000005</v>
      </c>
      <c r="I27" s="20">
        <f t="shared" si="3"/>
        <v>0.86399999999999999</v>
      </c>
      <c r="J27" s="21"/>
      <c r="K27" s="21"/>
      <c r="L27" s="18"/>
      <c r="M27" s="18"/>
      <c r="N27" s="23">
        <v>18</v>
      </c>
      <c r="O27" s="18">
        <f t="shared" si="4"/>
        <v>98</v>
      </c>
      <c r="P27" s="22">
        <f>P26-P26*VLOOKUP(O26,lifetable,2,FALSE)</f>
        <v>4.5693547304416771E-2</v>
      </c>
      <c r="Q27" s="22">
        <f t="shared" si="11"/>
        <v>8.1252789441672052E-2</v>
      </c>
      <c r="R27" s="18">
        <f t="shared" si="5"/>
        <v>3.8236337537562302E-2</v>
      </c>
      <c r="S27" s="18">
        <f t="shared" si="6"/>
        <v>6.9333452120920694E-2</v>
      </c>
      <c r="T27" s="18">
        <f t="shared" si="7"/>
        <v>2.6893427063113345E-2</v>
      </c>
      <c r="U27" s="18">
        <f t="shared" si="8"/>
        <v>4.2180874827631283E-2</v>
      </c>
      <c r="V27" s="18">
        <f t="shared" si="9"/>
        <v>1.4478376040111016E-2</v>
      </c>
      <c r="W27" s="18">
        <f t="shared" si="10"/>
        <v>2.270854383943283E-2</v>
      </c>
    </row>
    <row r="28" spans="1:23" s="19" customFormat="1" x14ac:dyDescent="0.2">
      <c r="A28" s="23">
        <v>19</v>
      </c>
      <c r="B28" s="25">
        <v>4.15E-4</v>
      </c>
      <c r="C28" s="21">
        <v>1.94E-4</v>
      </c>
      <c r="D28" s="21">
        <f t="shared" si="0"/>
        <v>0.94061612000000006</v>
      </c>
      <c r="E28" s="21">
        <f t="shared" si="1"/>
        <v>0.9114333</v>
      </c>
      <c r="F28" s="18">
        <v>0.94061612000000006</v>
      </c>
      <c r="G28" s="18">
        <v>0.9114333</v>
      </c>
      <c r="H28" s="20">
        <f t="shared" si="2"/>
        <v>0.93300000000000005</v>
      </c>
      <c r="I28" s="20">
        <f t="shared" si="3"/>
        <v>0.86399999999999999</v>
      </c>
      <c r="J28" s="21"/>
      <c r="K28" s="21"/>
      <c r="L28" s="18"/>
      <c r="M28" s="18"/>
      <c r="N28" s="23">
        <v>19</v>
      </c>
      <c r="O28" s="18">
        <f t="shared" si="4"/>
        <v>99</v>
      </c>
      <c r="P28" s="22">
        <f>P27-P27*VLOOKUP(O27,lifetable,2,FALSE)</f>
        <v>3.0779127770707834E-2</v>
      </c>
      <c r="Q28" s="22">
        <f t="shared" si="11"/>
        <v>5.7414114800169329E-2</v>
      </c>
      <c r="R28" s="18">
        <f t="shared" si="5"/>
        <v>2.5105534200913833E-2</v>
      </c>
      <c r="S28" s="18">
        <f t="shared" si="6"/>
        <v>4.8380635391625487E-2</v>
      </c>
      <c r="T28" s="18">
        <f t="shared" si="7"/>
        <v>1.7548004193977694E-2</v>
      </c>
      <c r="U28" s="18">
        <f t="shared" si="8"/>
        <v>2.9073072846918305E-2</v>
      </c>
      <c r="V28" s="18">
        <f t="shared" si="9"/>
        <v>9.1276942364285629E-3</v>
      </c>
      <c r="W28" s="18">
        <f t="shared" si="10"/>
        <v>1.5122524278353911E-2</v>
      </c>
    </row>
    <row r="29" spans="1:23" s="19" customFormat="1" x14ac:dyDescent="0.2">
      <c r="A29" s="23">
        <v>20</v>
      </c>
      <c r="B29" s="25">
        <v>5.0299999999999997E-4</v>
      </c>
      <c r="C29" s="21">
        <v>1.7899999999999999E-4</v>
      </c>
      <c r="D29" s="21">
        <f t="shared" si="0"/>
        <v>0.93920935000000005</v>
      </c>
      <c r="E29" s="21">
        <f t="shared" si="1"/>
        <v>0.91146389000000005</v>
      </c>
      <c r="F29" s="18">
        <v>0.93920935000000005</v>
      </c>
      <c r="G29" s="18">
        <v>0.91146389000000005</v>
      </c>
      <c r="H29" s="20">
        <f t="shared" si="2"/>
        <v>0.89500000000000002</v>
      </c>
      <c r="I29" s="20">
        <f t="shared" si="3"/>
        <v>0.86599999999999999</v>
      </c>
      <c r="J29" s="21"/>
      <c r="K29" s="21"/>
      <c r="L29" s="18"/>
      <c r="M29" s="18"/>
      <c r="N29" s="23">
        <v>20</v>
      </c>
      <c r="O29" s="18">
        <f t="shared" si="4"/>
        <v>100</v>
      </c>
      <c r="P29" s="22">
        <f>P28-P28*VLOOKUP(O28,lifetable,2,FALSE)</f>
        <v>1.9431940631119832E-2</v>
      </c>
      <c r="Q29" s="22">
        <f t="shared" si="11"/>
        <v>3.9347155983081646E-2</v>
      </c>
      <c r="R29" s="18">
        <f t="shared" si="5"/>
        <v>1.5661464030760495E-2</v>
      </c>
      <c r="S29" s="18">
        <f t="shared" si="6"/>
        <v>3.2455383571176943E-2</v>
      </c>
      <c r="T29" s="18">
        <f t="shared" si="7"/>
        <v>1.0878360513128458E-2</v>
      </c>
      <c r="U29" s="18">
        <f t="shared" si="8"/>
        <v>1.9259912590430903E-2</v>
      </c>
      <c r="V29" s="18">
        <f t="shared" si="9"/>
        <v>5.467092872446966E-3</v>
      </c>
      <c r="W29" s="18">
        <f t="shared" si="10"/>
        <v>9.6793750050865757E-3</v>
      </c>
    </row>
    <row r="30" spans="1:23" s="19" customFormat="1" x14ac:dyDescent="0.2">
      <c r="A30" s="23">
        <v>21</v>
      </c>
      <c r="B30" s="25">
        <v>4.9799999999999996E-4</v>
      </c>
      <c r="C30" s="21">
        <v>2.0100000000000001E-4</v>
      </c>
      <c r="D30" s="21">
        <f t="shared" si="0"/>
        <v>0.93776915999999999</v>
      </c>
      <c r="E30" s="21">
        <f t="shared" si="1"/>
        <v>0.91133843000000003</v>
      </c>
      <c r="F30" s="18">
        <v>0.93776915999999999</v>
      </c>
      <c r="G30" s="18">
        <v>0.91133843000000003</v>
      </c>
      <c r="H30" s="20">
        <f t="shared" si="2"/>
        <v>0.89500000000000002</v>
      </c>
      <c r="I30" s="20">
        <f t="shared" si="3"/>
        <v>0.86599999999999999</v>
      </c>
      <c r="J30" s="21"/>
      <c r="K30" s="21"/>
      <c r="L30" s="18"/>
      <c r="M30" s="18"/>
      <c r="N30" s="23">
        <v>21</v>
      </c>
      <c r="O30" s="18">
        <f t="shared" si="4"/>
        <v>101</v>
      </c>
      <c r="P30" s="22">
        <f>P29-P29*VLOOKUP(O29,lifetable,2,FALSE)</f>
        <v>1.1890987430401158E-2</v>
      </c>
      <c r="Q30" s="22">
        <f t="shared" si="11"/>
        <v>2.5563611159272248E-2</v>
      </c>
      <c r="R30" s="18" t="e">
        <f t="shared" si="5"/>
        <v>#N/A</v>
      </c>
      <c r="S30" s="18" t="e">
        <f t="shared" si="6"/>
        <v>#N/A</v>
      </c>
      <c r="T30" s="18" t="e">
        <f t="shared" si="7"/>
        <v>#N/A</v>
      </c>
      <c r="U30" s="18" t="e">
        <f t="shared" si="8"/>
        <v>#N/A</v>
      </c>
      <c r="V30" s="18" t="e">
        <f t="shared" si="9"/>
        <v>#N/A</v>
      </c>
      <c r="W30" s="18" t="e">
        <f t="shared" si="10"/>
        <v>#N/A</v>
      </c>
    </row>
    <row r="31" spans="1:23" s="19" customFormat="1" x14ac:dyDescent="0.2">
      <c r="A31" s="23">
        <v>22</v>
      </c>
      <c r="B31" s="25">
        <v>4.7800000000000002E-4</v>
      </c>
      <c r="C31" s="21">
        <v>2.1499999999999999E-4</v>
      </c>
      <c r="D31" s="21">
        <f t="shared" si="0"/>
        <v>0.93629505000000002</v>
      </c>
      <c r="E31" s="21">
        <f t="shared" si="1"/>
        <v>0.91106401000000004</v>
      </c>
      <c r="F31" s="18">
        <v>0.93629505000000002</v>
      </c>
      <c r="G31" s="18">
        <v>0.91106401000000004</v>
      </c>
      <c r="H31" s="20">
        <f t="shared" si="2"/>
        <v>0.89500000000000002</v>
      </c>
      <c r="I31" s="20">
        <f t="shared" si="3"/>
        <v>0.86599999999999999</v>
      </c>
      <c r="J31" s="21"/>
      <c r="K31" s="21"/>
      <c r="L31" s="18"/>
      <c r="M31" s="18"/>
      <c r="N31" s="23">
        <v>22</v>
      </c>
      <c r="O31" s="18">
        <f t="shared" si="4"/>
        <v>102</v>
      </c>
      <c r="P31" s="22" t="e">
        <f>P30-P30*VLOOKUP(O30,lifetable,2,FALSE)</f>
        <v>#N/A</v>
      </c>
      <c r="Q31" s="22" t="e">
        <f t="shared" si="11"/>
        <v>#N/A</v>
      </c>
      <c r="R31" s="18" t="e">
        <f t="shared" si="5"/>
        <v>#N/A</v>
      </c>
      <c r="S31" s="18" t="e">
        <f t="shared" si="6"/>
        <v>#N/A</v>
      </c>
      <c r="T31" s="18" t="e">
        <f t="shared" si="7"/>
        <v>#N/A</v>
      </c>
      <c r="U31" s="18" t="e">
        <f t="shared" si="8"/>
        <v>#N/A</v>
      </c>
      <c r="V31" s="18" t="e">
        <f t="shared" si="9"/>
        <v>#N/A</v>
      </c>
      <c r="W31" s="18" t="e">
        <f t="shared" si="10"/>
        <v>#N/A</v>
      </c>
    </row>
    <row r="32" spans="1:23" s="19" customFormat="1" x14ac:dyDescent="0.2">
      <c r="A32" s="23">
        <v>23</v>
      </c>
      <c r="B32" s="25">
        <v>4.6999999999999999E-4</v>
      </c>
      <c r="C32" s="21">
        <v>2.0000000000000001E-4</v>
      </c>
      <c r="D32" s="21">
        <f t="shared" si="0"/>
        <v>0.93478653</v>
      </c>
      <c r="E32" s="21">
        <f t="shared" si="1"/>
        <v>0.91064718</v>
      </c>
      <c r="F32" s="18">
        <v>0.93478653</v>
      </c>
      <c r="G32" s="18">
        <v>0.91064718</v>
      </c>
      <c r="H32" s="20">
        <f t="shared" si="2"/>
        <v>0.89500000000000002</v>
      </c>
      <c r="I32" s="20">
        <f t="shared" si="3"/>
        <v>0.86599999999999999</v>
      </c>
      <c r="J32" s="21"/>
      <c r="K32" s="21"/>
      <c r="L32" s="18"/>
      <c r="M32" s="18"/>
      <c r="N32" s="23">
        <v>23</v>
      </c>
      <c r="O32" s="18">
        <f t="shared" si="4"/>
        <v>103</v>
      </c>
      <c r="P32" s="22" t="e">
        <f>P31-P31*VLOOKUP(O31,lifetable,2,FALSE)</f>
        <v>#N/A</v>
      </c>
      <c r="Q32" s="22" t="e">
        <f t="shared" si="11"/>
        <v>#N/A</v>
      </c>
      <c r="R32" s="18" t="e">
        <f t="shared" si="5"/>
        <v>#N/A</v>
      </c>
      <c r="S32" s="18" t="e">
        <f t="shared" si="6"/>
        <v>#N/A</v>
      </c>
      <c r="T32" s="18" t="e">
        <f t="shared" si="7"/>
        <v>#N/A</v>
      </c>
      <c r="U32" s="18" t="e">
        <f t="shared" si="8"/>
        <v>#N/A</v>
      </c>
      <c r="V32" s="18" t="e">
        <f t="shared" si="9"/>
        <v>#N/A</v>
      </c>
      <c r="W32" s="18" t="e">
        <f t="shared" si="10"/>
        <v>#N/A</v>
      </c>
    </row>
    <row r="33" spans="1:23" s="19" customFormat="1" x14ac:dyDescent="0.2">
      <c r="A33" s="23">
        <v>24</v>
      </c>
      <c r="B33" s="25">
        <v>5.13E-4</v>
      </c>
      <c r="C33" s="21">
        <v>2.1800000000000001E-4</v>
      </c>
      <c r="D33" s="21">
        <f t="shared" si="0"/>
        <v>0.93324311999999998</v>
      </c>
      <c r="E33" s="21">
        <f t="shared" si="1"/>
        <v>0.91009399999999996</v>
      </c>
      <c r="F33" s="18">
        <v>0.93324311999999998</v>
      </c>
      <c r="G33" s="18">
        <v>0.91009399999999996</v>
      </c>
      <c r="H33" s="20">
        <f t="shared" si="2"/>
        <v>0.89500000000000002</v>
      </c>
      <c r="I33" s="20">
        <f t="shared" si="3"/>
        <v>0.86599999999999999</v>
      </c>
      <c r="J33" s="21"/>
      <c r="K33" s="21"/>
      <c r="L33" s="18"/>
      <c r="M33" s="18"/>
      <c r="N33" s="23">
        <v>24</v>
      </c>
      <c r="O33" s="18">
        <f t="shared" si="4"/>
        <v>104</v>
      </c>
      <c r="P33" s="22" t="e">
        <f>P32-P32*VLOOKUP(O32,lifetable,2,FALSE)</f>
        <v>#N/A</v>
      </c>
      <c r="Q33" s="22" t="e">
        <f t="shared" si="11"/>
        <v>#N/A</v>
      </c>
      <c r="R33" s="18" t="e">
        <f t="shared" si="5"/>
        <v>#N/A</v>
      </c>
      <c r="S33" s="18" t="e">
        <f t="shared" si="6"/>
        <v>#N/A</v>
      </c>
      <c r="T33" s="18" t="e">
        <f t="shared" si="7"/>
        <v>#N/A</v>
      </c>
      <c r="U33" s="18" t="e">
        <f t="shared" si="8"/>
        <v>#N/A</v>
      </c>
      <c r="V33" s="18" t="e">
        <f t="shared" si="9"/>
        <v>#N/A</v>
      </c>
      <c r="W33" s="18" t="e">
        <f t="shared" si="10"/>
        <v>#N/A</v>
      </c>
    </row>
    <row r="34" spans="1:23" s="19" customFormat="1" x14ac:dyDescent="0.2">
      <c r="A34" s="23">
        <v>25</v>
      </c>
      <c r="B34" s="25">
        <v>5.3799999999999996E-4</v>
      </c>
      <c r="C34" s="21">
        <v>2.4399999999999999E-4</v>
      </c>
      <c r="D34" s="21">
        <f t="shared" si="0"/>
        <v>0.93166431000000005</v>
      </c>
      <c r="E34" s="21">
        <f t="shared" si="1"/>
        <v>0.90941002999999998</v>
      </c>
      <c r="F34" s="18">
        <v>0.93166431000000005</v>
      </c>
      <c r="G34" s="18">
        <v>0.90941002999999998</v>
      </c>
      <c r="H34" s="20">
        <f t="shared" si="2"/>
        <v>0.89500000000000002</v>
      </c>
      <c r="I34" s="20">
        <f t="shared" si="3"/>
        <v>0.873</v>
      </c>
      <c r="J34" s="21"/>
      <c r="K34" s="21"/>
      <c r="L34" s="18"/>
      <c r="M34" s="18"/>
      <c r="N34" s="23">
        <v>25</v>
      </c>
      <c r="O34" s="18">
        <f t="shared" si="4"/>
        <v>105</v>
      </c>
      <c r="P34" s="22" t="e">
        <f>P33-P33*VLOOKUP(O33,lifetable,2,FALSE)</f>
        <v>#N/A</v>
      </c>
      <c r="Q34" s="22" t="e">
        <f t="shared" si="11"/>
        <v>#N/A</v>
      </c>
      <c r="R34" s="18" t="e">
        <f t="shared" si="5"/>
        <v>#N/A</v>
      </c>
      <c r="S34" s="18" t="e">
        <f t="shared" si="6"/>
        <v>#N/A</v>
      </c>
      <c r="T34" s="18" t="e">
        <f t="shared" si="7"/>
        <v>#N/A</v>
      </c>
      <c r="U34" s="18" t="e">
        <f t="shared" si="8"/>
        <v>#N/A</v>
      </c>
      <c r="V34" s="18" t="e">
        <f t="shared" si="9"/>
        <v>#N/A</v>
      </c>
      <c r="W34" s="18" t="e">
        <f t="shared" si="10"/>
        <v>#N/A</v>
      </c>
    </row>
    <row r="35" spans="1:23" s="19" customFormat="1" x14ac:dyDescent="0.2">
      <c r="A35" s="23">
        <v>26</v>
      </c>
      <c r="B35" s="25">
        <v>5.4299999999999997E-4</v>
      </c>
      <c r="C35" s="21">
        <v>2.5900000000000001E-4</v>
      </c>
      <c r="D35" s="21">
        <f t="shared" si="0"/>
        <v>0.93004962000000002</v>
      </c>
      <c r="E35" s="21">
        <f t="shared" si="1"/>
        <v>0.90860043999999995</v>
      </c>
      <c r="F35" s="18">
        <v>0.93004962000000002</v>
      </c>
      <c r="G35" s="18">
        <v>0.90860043999999995</v>
      </c>
      <c r="H35" s="20">
        <f t="shared" si="2"/>
        <v>0.89500000000000002</v>
      </c>
      <c r="I35" s="20">
        <f t="shared" si="3"/>
        <v>0.873</v>
      </c>
      <c r="J35" s="21"/>
      <c r="K35" s="21"/>
      <c r="L35" s="18"/>
      <c r="M35" s="18"/>
      <c r="N35" s="23">
        <v>26</v>
      </c>
      <c r="O35" s="18">
        <f t="shared" si="4"/>
        <v>106</v>
      </c>
      <c r="P35" s="22" t="e">
        <f>P34-P34*VLOOKUP(O34,lifetable,2,FALSE)</f>
        <v>#N/A</v>
      </c>
      <c r="Q35" s="22" t="e">
        <f t="shared" si="11"/>
        <v>#N/A</v>
      </c>
      <c r="R35" s="18" t="e">
        <f t="shared" si="5"/>
        <v>#N/A</v>
      </c>
      <c r="S35" s="18" t="e">
        <f t="shared" si="6"/>
        <v>#N/A</v>
      </c>
      <c r="T35" s="18" t="e">
        <f t="shared" si="7"/>
        <v>#N/A</v>
      </c>
      <c r="U35" s="18" t="e">
        <f t="shared" si="8"/>
        <v>#N/A</v>
      </c>
      <c r="V35" s="18" t="e">
        <f t="shared" si="9"/>
        <v>#N/A</v>
      </c>
      <c r="W35" s="18" t="e">
        <f t="shared" si="10"/>
        <v>#N/A</v>
      </c>
    </row>
    <row r="36" spans="1:23" s="19" customFormat="1" x14ac:dyDescent="0.2">
      <c r="A36" s="23">
        <v>27</v>
      </c>
      <c r="B36" s="25">
        <v>5.7399999999999997E-4</v>
      </c>
      <c r="C36" s="21">
        <v>2.7E-4</v>
      </c>
      <c r="D36" s="21">
        <f t="shared" si="0"/>
        <v>0.92839855999999998</v>
      </c>
      <c r="E36" s="21">
        <f t="shared" si="1"/>
        <v>0.90766992999999996</v>
      </c>
      <c r="F36" s="18">
        <v>0.92839855999999998</v>
      </c>
      <c r="G36" s="18">
        <v>0.90766992999999996</v>
      </c>
      <c r="H36" s="20">
        <f t="shared" si="2"/>
        <v>0.89500000000000002</v>
      </c>
      <c r="I36" s="20">
        <f t="shared" si="3"/>
        <v>0.873</v>
      </c>
      <c r="J36" s="21"/>
      <c r="K36" s="21"/>
      <c r="L36" s="18"/>
      <c r="M36" s="18"/>
      <c r="N36" s="23">
        <v>27</v>
      </c>
      <c r="O36" s="18">
        <f t="shared" si="4"/>
        <v>107</v>
      </c>
      <c r="P36" s="22" t="e">
        <f>P35-P35*VLOOKUP(O35,lifetable,2,FALSE)</f>
        <v>#N/A</v>
      </c>
      <c r="Q36" s="22" t="e">
        <f t="shared" si="11"/>
        <v>#N/A</v>
      </c>
      <c r="R36" s="18" t="e">
        <f t="shared" si="5"/>
        <v>#N/A</v>
      </c>
      <c r="S36" s="18" t="e">
        <f t="shared" si="6"/>
        <v>#N/A</v>
      </c>
      <c r="T36" s="18" t="e">
        <f t="shared" si="7"/>
        <v>#N/A</v>
      </c>
      <c r="U36" s="18" t="e">
        <f t="shared" si="8"/>
        <v>#N/A</v>
      </c>
      <c r="V36" s="18" t="e">
        <f t="shared" si="9"/>
        <v>#N/A</v>
      </c>
      <c r="W36" s="18" t="e">
        <f t="shared" si="10"/>
        <v>#N/A</v>
      </c>
    </row>
    <row r="37" spans="1:23" s="19" customFormat="1" x14ac:dyDescent="0.2">
      <c r="A37" s="23">
        <v>28</v>
      </c>
      <c r="B37" s="25">
        <v>6.29E-4</v>
      </c>
      <c r="C37" s="21">
        <v>3.0400000000000002E-4</v>
      </c>
      <c r="D37" s="21">
        <f t="shared" si="0"/>
        <v>0.92671064999999997</v>
      </c>
      <c r="E37" s="21">
        <f t="shared" si="1"/>
        <v>0.90662284999999998</v>
      </c>
      <c r="F37" s="18">
        <v>0.92671064999999997</v>
      </c>
      <c r="G37" s="18">
        <v>0.90662284999999998</v>
      </c>
      <c r="H37" s="20">
        <f t="shared" si="2"/>
        <v>0.89500000000000002</v>
      </c>
      <c r="I37" s="20">
        <f t="shared" si="3"/>
        <v>0.873</v>
      </c>
      <c r="J37" s="21"/>
      <c r="K37" s="21"/>
      <c r="L37" s="18"/>
      <c r="M37" s="18"/>
      <c r="N37" s="23">
        <v>28</v>
      </c>
      <c r="O37" s="18">
        <f t="shared" si="4"/>
        <v>108</v>
      </c>
      <c r="P37" s="22" t="e">
        <f>P36-P36*VLOOKUP(O36,lifetable,2,FALSE)</f>
        <v>#N/A</v>
      </c>
      <c r="Q37" s="22" t="e">
        <f t="shared" si="11"/>
        <v>#N/A</v>
      </c>
      <c r="R37" s="18" t="e">
        <f t="shared" si="5"/>
        <v>#N/A</v>
      </c>
      <c r="S37" s="18" t="e">
        <f t="shared" si="6"/>
        <v>#N/A</v>
      </c>
      <c r="T37" s="18" t="e">
        <f t="shared" si="7"/>
        <v>#N/A</v>
      </c>
      <c r="U37" s="18" t="e">
        <f t="shared" si="8"/>
        <v>#N/A</v>
      </c>
      <c r="V37" s="18" t="e">
        <f t="shared" si="9"/>
        <v>#N/A</v>
      </c>
      <c r="W37" s="18" t="e">
        <f t="shared" si="10"/>
        <v>#N/A</v>
      </c>
    </row>
    <row r="38" spans="1:23" s="19" customFormat="1" x14ac:dyDescent="0.2">
      <c r="A38" s="23">
        <v>29</v>
      </c>
      <c r="B38" s="25">
        <v>6.6399999999999999E-4</v>
      </c>
      <c r="C38" s="21">
        <v>3.0200000000000002E-4</v>
      </c>
      <c r="D38" s="21">
        <f t="shared" si="0"/>
        <v>0.92498541000000001</v>
      </c>
      <c r="E38" s="21">
        <f t="shared" si="1"/>
        <v>0.90546318999999997</v>
      </c>
      <c r="F38" s="18">
        <v>0.92498541000000001</v>
      </c>
      <c r="G38" s="18">
        <v>0.90546318999999997</v>
      </c>
      <c r="H38" s="20">
        <f t="shared" si="2"/>
        <v>0.89500000000000002</v>
      </c>
      <c r="I38" s="20">
        <f t="shared" si="3"/>
        <v>0.873</v>
      </c>
      <c r="J38" s="21"/>
      <c r="K38" s="21"/>
      <c r="L38" s="18"/>
      <c r="M38" s="18"/>
      <c r="N38" s="23">
        <v>29</v>
      </c>
      <c r="O38" s="18">
        <f t="shared" si="4"/>
        <v>109</v>
      </c>
      <c r="P38" s="22" t="e">
        <f>P37-P37*VLOOKUP(O37,lifetable,2,FALSE)</f>
        <v>#N/A</v>
      </c>
      <c r="Q38" s="22" t="e">
        <f t="shared" si="11"/>
        <v>#N/A</v>
      </c>
      <c r="R38" s="18" t="e">
        <f t="shared" si="5"/>
        <v>#N/A</v>
      </c>
      <c r="S38" s="18" t="e">
        <f t="shared" si="6"/>
        <v>#N/A</v>
      </c>
      <c r="T38" s="18" t="e">
        <f t="shared" si="7"/>
        <v>#N/A</v>
      </c>
      <c r="U38" s="18" t="e">
        <f t="shared" si="8"/>
        <v>#N/A</v>
      </c>
      <c r="V38" s="18" t="e">
        <f t="shared" si="9"/>
        <v>#N/A</v>
      </c>
      <c r="W38" s="18" t="e">
        <f t="shared" si="10"/>
        <v>#N/A</v>
      </c>
    </row>
    <row r="39" spans="1:23" s="19" customFormat="1" x14ac:dyDescent="0.2">
      <c r="A39" s="23">
        <v>30</v>
      </c>
      <c r="B39" s="25">
        <v>7.1100000000000004E-4</v>
      </c>
      <c r="C39" s="21">
        <v>3.5799999999999997E-4</v>
      </c>
      <c r="D39" s="21">
        <f t="shared" si="0"/>
        <v>0.92322236000000002</v>
      </c>
      <c r="E39" s="21">
        <f t="shared" si="1"/>
        <v>0.90419457000000003</v>
      </c>
      <c r="F39" s="18">
        <v>0.92322236000000002</v>
      </c>
      <c r="G39" s="18">
        <v>0.90419457000000003</v>
      </c>
      <c r="H39" s="20">
        <f t="shared" si="2"/>
        <v>0.91600000000000004</v>
      </c>
      <c r="I39" s="20">
        <f t="shared" si="3"/>
        <v>0.87</v>
      </c>
      <c r="J39" s="21"/>
      <c r="K39" s="21"/>
      <c r="L39" s="18"/>
      <c r="M39" s="18"/>
      <c r="N39" s="23">
        <v>30</v>
      </c>
      <c r="O39" s="18">
        <f t="shared" si="4"/>
        <v>110</v>
      </c>
      <c r="P39" s="22" t="e">
        <f>P38-P38*VLOOKUP(O38,lifetable,2,FALSE)</f>
        <v>#N/A</v>
      </c>
      <c r="Q39" s="22" t="e">
        <f t="shared" si="11"/>
        <v>#N/A</v>
      </c>
      <c r="R39" s="18" t="e">
        <f t="shared" si="5"/>
        <v>#N/A</v>
      </c>
      <c r="S39" s="18" t="e">
        <f t="shared" si="6"/>
        <v>#N/A</v>
      </c>
      <c r="T39" s="18" t="e">
        <f t="shared" si="7"/>
        <v>#N/A</v>
      </c>
      <c r="U39" s="18" t="e">
        <f t="shared" si="8"/>
        <v>#N/A</v>
      </c>
      <c r="V39" s="18" t="e">
        <f t="shared" si="9"/>
        <v>#N/A</v>
      </c>
      <c r="W39" s="18" t="e">
        <f t="shared" si="10"/>
        <v>#N/A</v>
      </c>
    </row>
    <row r="40" spans="1:23" s="19" customFormat="1" x14ac:dyDescent="0.2">
      <c r="A40" s="23">
        <v>31</v>
      </c>
      <c r="B40" s="25">
        <v>7.7200000000000001E-4</v>
      </c>
      <c r="C40" s="21">
        <v>3.6900000000000002E-4</v>
      </c>
      <c r="D40" s="21">
        <f t="shared" si="0"/>
        <v>0.92142102000000004</v>
      </c>
      <c r="E40" s="21">
        <f t="shared" si="1"/>
        <v>0.90282032999999995</v>
      </c>
      <c r="F40" s="18">
        <v>0.92142102000000004</v>
      </c>
      <c r="G40" s="18">
        <v>0.90282032999999995</v>
      </c>
      <c r="H40" s="20">
        <f t="shared" si="2"/>
        <v>0.91600000000000004</v>
      </c>
      <c r="I40" s="20">
        <f t="shared" si="3"/>
        <v>0.87</v>
      </c>
      <c r="J40" s="21"/>
      <c r="K40" s="21"/>
      <c r="L40" s="18"/>
      <c r="M40" s="18"/>
      <c r="N40" s="23">
        <v>31</v>
      </c>
      <c r="O40" s="18">
        <f t="shared" si="4"/>
        <v>111</v>
      </c>
      <c r="P40" s="22" t="e">
        <f>P39-P39*VLOOKUP(O39,lifetable,2,FALSE)</f>
        <v>#N/A</v>
      </c>
      <c r="Q40" s="22" t="e">
        <f t="shared" ref="Q40:Q71" si="12">Q39-Q39*VLOOKUP(O39,lifetable,3,FALSE)</f>
        <v>#N/A</v>
      </c>
      <c r="R40" s="18" t="e">
        <f t="shared" si="5"/>
        <v>#N/A</v>
      </c>
      <c r="S40" s="18" t="e">
        <f t="shared" si="6"/>
        <v>#N/A</v>
      </c>
      <c r="T40" s="18" t="e">
        <f t="shared" si="7"/>
        <v>#N/A</v>
      </c>
      <c r="U40" s="18" t="e">
        <f t="shared" si="8"/>
        <v>#N/A</v>
      </c>
      <c r="V40" s="18" t="e">
        <f t="shared" si="9"/>
        <v>#N/A</v>
      </c>
      <c r="W40" s="18" t="e">
        <f t="shared" si="10"/>
        <v>#N/A</v>
      </c>
    </row>
    <row r="41" spans="1:23" s="19" customFormat="1" x14ac:dyDescent="0.2">
      <c r="A41" s="23">
        <v>32</v>
      </c>
      <c r="B41" s="25">
        <v>7.5500000000000003E-4</v>
      </c>
      <c r="C41" s="21">
        <v>4.3600000000000003E-4</v>
      </c>
      <c r="D41" s="21">
        <f t="shared" ref="D41:D72" si="13">IF(util=1,F41,IF(util=2,H41,"err"))</f>
        <v>0.91958092999999996</v>
      </c>
      <c r="E41" s="21">
        <f t="shared" ref="E41:E72" si="14">IF(util=1,G41,IF(util=2,I41,"err"))</f>
        <v>0.90134349999999996</v>
      </c>
      <c r="F41" s="18">
        <v>0.91958092999999996</v>
      </c>
      <c r="G41" s="18">
        <v>0.90134349999999996</v>
      </c>
      <c r="H41" s="20">
        <f t="shared" ref="H41:H72" si="15">VLOOKUP($A41,$K$9:$M$26,2)</f>
        <v>0.91600000000000004</v>
      </c>
      <c r="I41" s="20">
        <f t="shared" ref="I41:I72" si="16">VLOOKUP($A41,$K$9:$M$26,3)</f>
        <v>0.87</v>
      </c>
      <c r="J41" s="21"/>
      <c r="K41" s="21"/>
      <c r="L41" s="18"/>
      <c r="M41" s="18"/>
      <c r="N41" s="23">
        <v>32</v>
      </c>
      <c r="O41" s="18">
        <f t="shared" ref="O41:O72" si="17">Age+N41</f>
        <v>112</v>
      </c>
      <c r="P41" s="22" t="e">
        <f>P40-P40*VLOOKUP(O40,lifetable,2,FALSE)</f>
        <v>#N/A</v>
      </c>
      <c r="Q41" s="22" t="e">
        <f>Q40-Q40*VLOOKUP(O40,lifetable,3,FALSE)</f>
        <v>#N/A</v>
      </c>
      <c r="R41" s="18" t="e">
        <f t="shared" ref="R41:R72" si="18">(P41+P42)/2</f>
        <v>#N/A</v>
      </c>
      <c r="S41" s="18" t="e">
        <f t="shared" ref="S41:S72" si="19">(Q41+Q42)/2</f>
        <v>#N/A</v>
      </c>
      <c r="T41" s="18" t="e">
        <f t="shared" ref="T41:T72" si="20">R41*VLOOKUP(O41,lifetable,4,FALSE)</f>
        <v>#N/A</v>
      </c>
      <c r="U41" s="18" t="e">
        <f t="shared" ref="U41:U72" si="21">S41*VLOOKUP(O41,lifetable,5,FALSE)</f>
        <v>#N/A</v>
      </c>
      <c r="V41" s="18" t="e">
        <f t="shared" ref="V41:V72" si="22">T41/(1+Disc)^N41</f>
        <v>#N/A</v>
      </c>
      <c r="W41" s="18" t="e">
        <f t="shared" ref="W41:W72" si="23">U41/(1+Disc)^N41</f>
        <v>#N/A</v>
      </c>
    </row>
    <row r="42" spans="1:23" s="19" customFormat="1" x14ac:dyDescent="0.2">
      <c r="A42" s="23">
        <v>33</v>
      </c>
      <c r="B42" s="25">
        <v>8.61E-4</v>
      </c>
      <c r="C42" s="21">
        <v>4.5100000000000001E-4</v>
      </c>
      <c r="D42" s="21">
        <f t="shared" si="13"/>
        <v>0.91770163000000005</v>
      </c>
      <c r="E42" s="21">
        <f t="shared" si="14"/>
        <v>0.89976685000000001</v>
      </c>
      <c r="F42" s="18">
        <v>0.91770163000000005</v>
      </c>
      <c r="G42" s="18">
        <v>0.89976685000000001</v>
      </c>
      <c r="H42" s="20">
        <f t="shared" si="15"/>
        <v>0.91600000000000004</v>
      </c>
      <c r="I42" s="20">
        <f t="shared" si="16"/>
        <v>0.87</v>
      </c>
      <c r="J42" s="21"/>
      <c r="K42" s="21"/>
      <c r="L42" s="18"/>
      <c r="M42" s="18"/>
      <c r="N42" s="23">
        <v>33</v>
      </c>
      <c r="O42" s="18">
        <f t="shared" si="17"/>
        <v>113</v>
      </c>
      <c r="P42" s="22" t="e">
        <f>P41-P41*VLOOKUP(O41,lifetable,2,FALSE)</f>
        <v>#N/A</v>
      </c>
      <c r="Q42" s="22" t="e">
        <f t="shared" si="12"/>
        <v>#N/A</v>
      </c>
      <c r="R42" s="18" t="e">
        <f t="shared" si="18"/>
        <v>#N/A</v>
      </c>
      <c r="S42" s="18" t="e">
        <f t="shared" si="19"/>
        <v>#N/A</v>
      </c>
      <c r="T42" s="18" t="e">
        <f t="shared" si="20"/>
        <v>#N/A</v>
      </c>
      <c r="U42" s="18" t="e">
        <f t="shared" si="21"/>
        <v>#N/A</v>
      </c>
      <c r="V42" s="18" t="e">
        <f t="shared" si="22"/>
        <v>#N/A</v>
      </c>
      <c r="W42" s="18" t="e">
        <f t="shared" si="23"/>
        <v>#N/A</v>
      </c>
    </row>
    <row r="43" spans="1:23" s="19" customFormat="1" x14ac:dyDescent="0.2">
      <c r="A43" s="23">
        <v>34</v>
      </c>
      <c r="B43" s="25">
        <v>8.92E-4</v>
      </c>
      <c r="C43" s="21">
        <v>5.2499999999999997E-4</v>
      </c>
      <c r="D43" s="21">
        <f t="shared" si="13"/>
        <v>0.91578265000000003</v>
      </c>
      <c r="E43" s="21">
        <f t="shared" si="14"/>
        <v>0.89809285999999999</v>
      </c>
      <c r="F43" s="18">
        <v>0.91578265000000003</v>
      </c>
      <c r="G43" s="18">
        <v>0.89809285999999999</v>
      </c>
      <c r="H43" s="20">
        <f t="shared" si="15"/>
        <v>0.91600000000000004</v>
      </c>
      <c r="I43" s="20">
        <f t="shared" si="16"/>
        <v>0.87</v>
      </c>
      <c r="J43" s="21"/>
      <c r="K43" s="21"/>
      <c r="L43" s="18"/>
      <c r="M43" s="18"/>
      <c r="N43" s="23">
        <v>34</v>
      </c>
      <c r="O43" s="18">
        <f t="shared" si="17"/>
        <v>114</v>
      </c>
      <c r="P43" s="22" t="e">
        <f t="shared" ref="P40:P71" si="24">P42-P42*VLOOKUP(O42,lifetable,2,FALSE)</f>
        <v>#N/A</v>
      </c>
      <c r="Q43" s="22" t="e">
        <f t="shared" si="12"/>
        <v>#N/A</v>
      </c>
      <c r="R43" s="18" t="e">
        <f t="shared" si="18"/>
        <v>#N/A</v>
      </c>
      <c r="S43" s="18" t="e">
        <f t="shared" si="19"/>
        <v>#N/A</v>
      </c>
      <c r="T43" s="18" t="e">
        <f t="shared" si="20"/>
        <v>#N/A</v>
      </c>
      <c r="U43" s="18" t="e">
        <f t="shared" si="21"/>
        <v>#N/A</v>
      </c>
      <c r="V43" s="18" t="e">
        <f t="shared" si="22"/>
        <v>#N/A</v>
      </c>
      <c r="W43" s="18" t="e">
        <f t="shared" si="23"/>
        <v>#N/A</v>
      </c>
    </row>
    <row r="44" spans="1:23" s="19" customFormat="1" x14ac:dyDescent="0.2">
      <c r="A44" s="23">
        <v>35</v>
      </c>
      <c r="B44" s="25">
        <v>9.6699999999999998E-4</v>
      </c>
      <c r="C44" s="21">
        <v>5.5400000000000002E-4</v>
      </c>
      <c r="D44" s="21">
        <f t="shared" si="13"/>
        <v>0.91382355000000004</v>
      </c>
      <c r="E44" s="21">
        <f t="shared" si="14"/>
        <v>0.89632383000000004</v>
      </c>
      <c r="F44" s="18">
        <v>0.91382355000000004</v>
      </c>
      <c r="G44" s="18">
        <v>0.89632383000000004</v>
      </c>
      <c r="H44" s="20">
        <f t="shared" si="15"/>
        <v>0.86199999999999999</v>
      </c>
      <c r="I44" s="20">
        <f t="shared" si="16"/>
        <v>0.85699999999999998</v>
      </c>
      <c r="J44" s="21"/>
      <c r="K44" s="21"/>
      <c r="L44" s="18"/>
      <c r="M44" s="18"/>
      <c r="N44" s="23">
        <v>35</v>
      </c>
      <c r="O44" s="18">
        <f t="shared" si="17"/>
        <v>115</v>
      </c>
      <c r="P44" s="22" t="e">
        <f t="shared" si="24"/>
        <v>#N/A</v>
      </c>
      <c r="Q44" s="22" t="e">
        <f t="shared" si="12"/>
        <v>#N/A</v>
      </c>
      <c r="R44" s="18" t="e">
        <f t="shared" si="18"/>
        <v>#N/A</v>
      </c>
      <c r="S44" s="18" t="e">
        <f t="shared" si="19"/>
        <v>#N/A</v>
      </c>
      <c r="T44" s="18" t="e">
        <f t="shared" si="20"/>
        <v>#N/A</v>
      </c>
      <c r="U44" s="18" t="e">
        <f t="shared" si="21"/>
        <v>#N/A</v>
      </c>
      <c r="V44" s="18" t="e">
        <f t="shared" si="22"/>
        <v>#N/A</v>
      </c>
      <c r="W44" s="18" t="e">
        <f t="shared" si="23"/>
        <v>#N/A</v>
      </c>
    </row>
    <row r="45" spans="1:23" s="19" customFormat="1" x14ac:dyDescent="0.2">
      <c r="A45" s="23">
        <v>36</v>
      </c>
      <c r="B45" s="25">
        <v>1.0499999999999999E-3</v>
      </c>
      <c r="C45" s="21">
        <v>5.8299999999999997E-4</v>
      </c>
      <c r="D45" s="21">
        <f t="shared" si="13"/>
        <v>0.91182388000000003</v>
      </c>
      <c r="E45" s="21">
        <f t="shared" si="14"/>
        <v>0.89446179999999997</v>
      </c>
      <c r="F45" s="18">
        <v>0.91182388000000003</v>
      </c>
      <c r="G45" s="18">
        <v>0.89446179999999997</v>
      </c>
      <c r="H45" s="20">
        <f t="shared" si="15"/>
        <v>0.86199999999999999</v>
      </c>
      <c r="I45" s="20">
        <f t="shared" si="16"/>
        <v>0.85699999999999998</v>
      </c>
      <c r="J45" s="21"/>
      <c r="K45" s="21"/>
      <c r="L45" s="18"/>
      <c r="M45" s="18"/>
      <c r="N45" s="23">
        <v>36</v>
      </c>
      <c r="O45" s="18">
        <f t="shared" si="17"/>
        <v>116</v>
      </c>
      <c r="P45" s="22" t="e">
        <f t="shared" si="24"/>
        <v>#N/A</v>
      </c>
      <c r="Q45" s="22" t="e">
        <f t="shared" si="12"/>
        <v>#N/A</v>
      </c>
      <c r="R45" s="18" t="e">
        <f t="shared" si="18"/>
        <v>#N/A</v>
      </c>
      <c r="S45" s="18" t="e">
        <f t="shared" si="19"/>
        <v>#N/A</v>
      </c>
      <c r="T45" s="18" t="e">
        <f t="shared" si="20"/>
        <v>#N/A</v>
      </c>
      <c r="U45" s="18" t="e">
        <f t="shared" si="21"/>
        <v>#N/A</v>
      </c>
      <c r="V45" s="18" t="e">
        <f t="shared" si="22"/>
        <v>#N/A</v>
      </c>
      <c r="W45" s="18" t="e">
        <f t="shared" si="23"/>
        <v>#N/A</v>
      </c>
    </row>
    <row r="46" spans="1:23" s="19" customFormat="1" x14ac:dyDescent="0.2">
      <c r="A46" s="23">
        <v>37</v>
      </c>
      <c r="B46" s="25">
        <v>1.2110000000000001E-3</v>
      </c>
      <c r="C46" s="21">
        <v>7.4600000000000003E-4</v>
      </c>
      <c r="D46" s="21">
        <f t="shared" si="13"/>
        <v>0.90978320999999995</v>
      </c>
      <c r="E46" s="21">
        <f t="shared" si="14"/>
        <v>0.89250861000000004</v>
      </c>
      <c r="F46" s="18">
        <v>0.90978320999999995</v>
      </c>
      <c r="G46" s="18">
        <v>0.89250861000000004</v>
      </c>
      <c r="H46" s="20">
        <f t="shared" si="15"/>
        <v>0.86199999999999999</v>
      </c>
      <c r="I46" s="20">
        <f t="shared" si="16"/>
        <v>0.85699999999999998</v>
      </c>
      <c r="J46" s="21"/>
      <c r="K46" s="21"/>
      <c r="L46" s="18"/>
      <c r="M46" s="18"/>
      <c r="N46" s="23">
        <v>37</v>
      </c>
      <c r="O46" s="18">
        <f t="shared" si="17"/>
        <v>117</v>
      </c>
      <c r="P46" s="22" t="e">
        <f t="shared" si="24"/>
        <v>#N/A</v>
      </c>
      <c r="Q46" s="22" t="e">
        <f t="shared" si="12"/>
        <v>#N/A</v>
      </c>
      <c r="R46" s="18" t="e">
        <f t="shared" si="18"/>
        <v>#N/A</v>
      </c>
      <c r="S46" s="18" t="e">
        <f t="shared" si="19"/>
        <v>#N/A</v>
      </c>
      <c r="T46" s="18" t="e">
        <f t="shared" si="20"/>
        <v>#N/A</v>
      </c>
      <c r="U46" s="18" t="e">
        <f t="shared" si="21"/>
        <v>#N/A</v>
      </c>
      <c r="V46" s="18" t="e">
        <f t="shared" si="22"/>
        <v>#N/A</v>
      </c>
      <c r="W46" s="18" t="e">
        <f t="shared" si="23"/>
        <v>#N/A</v>
      </c>
    </row>
    <row r="47" spans="1:23" s="19" customFormat="1" x14ac:dyDescent="0.2">
      <c r="A47" s="23">
        <v>38</v>
      </c>
      <c r="B47" s="25">
        <v>1.178E-3</v>
      </c>
      <c r="C47" s="21">
        <v>7.0299999999999996E-4</v>
      </c>
      <c r="D47" s="21">
        <f t="shared" si="13"/>
        <v>0.90770110000000004</v>
      </c>
      <c r="E47" s="21">
        <f t="shared" si="14"/>
        <v>0.89046592000000002</v>
      </c>
      <c r="F47" s="18">
        <v>0.90770110000000004</v>
      </c>
      <c r="G47" s="18">
        <v>0.89046592000000002</v>
      </c>
      <c r="H47" s="20">
        <f t="shared" si="15"/>
        <v>0.86199999999999999</v>
      </c>
      <c r="I47" s="20">
        <f t="shared" si="16"/>
        <v>0.85699999999999998</v>
      </c>
      <c r="J47" s="21"/>
      <c r="K47" s="21"/>
      <c r="L47" s="18"/>
      <c r="M47" s="18"/>
      <c r="N47" s="23">
        <v>38</v>
      </c>
      <c r="O47" s="18">
        <f t="shared" si="17"/>
        <v>118</v>
      </c>
      <c r="P47" s="22" t="e">
        <f t="shared" si="24"/>
        <v>#N/A</v>
      </c>
      <c r="Q47" s="22" t="e">
        <f t="shared" si="12"/>
        <v>#N/A</v>
      </c>
      <c r="R47" s="18" t="e">
        <f t="shared" si="18"/>
        <v>#N/A</v>
      </c>
      <c r="S47" s="18" t="e">
        <f t="shared" si="19"/>
        <v>#N/A</v>
      </c>
      <c r="T47" s="18" t="e">
        <f t="shared" si="20"/>
        <v>#N/A</v>
      </c>
      <c r="U47" s="18" t="e">
        <f t="shared" si="21"/>
        <v>#N/A</v>
      </c>
      <c r="V47" s="18" t="e">
        <f t="shared" si="22"/>
        <v>#N/A</v>
      </c>
      <c r="W47" s="18" t="e">
        <f t="shared" si="23"/>
        <v>#N/A</v>
      </c>
    </row>
    <row r="48" spans="1:23" s="19" customFormat="1" x14ac:dyDescent="0.2">
      <c r="A48" s="23">
        <v>39</v>
      </c>
      <c r="B48" s="25">
        <v>1.2899999999999999E-3</v>
      </c>
      <c r="C48" s="21">
        <v>7.6999999999999996E-4</v>
      </c>
      <c r="D48" s="21">
        <f t="shared" si="13"/>
        <v>0.90557714</v>
      </c>
      <c r="E48" s="21">
        <f t="shared" si="14"/>
        <v>0.88833521000000004</v>
      </c>
      <c r="F48" s="18">
        <v>0.90557714</v>
      </c>
      <c r="G48" s="18">
        <v>0.88833521000000004</v>
      </c>
      <c r="H48" s="20">
        <f t="shared" si="15"/>
        <v>0.86199999999999999</v>
      </c>
      <c r="I48" s="20">
        <f t="shared" si="16"/>
        <v>0.85699999999999998</v>
      </c>
      <c r="J48" s="21"/>
      <c r="K48" s="21"/>
      <c r="L48" s="18"/>
      <c r="M48" s="18"/>
      <c r="N48" s="23">
        <v>39</v>
      </c>
      <c r="O48" s="18">
        <f t="shared" si="17"/>
        <v>119</v>
      </c>
      <c r="P48" s="22" t="e">
        <f t="shared" si="24"/>
        <v>#N/A</v>
      </c>
      <c r="Q48" s="22" t="e">
        <f t="shared" si="12"/>
        <v>#N/A</v>
      </c>
      <c r="R48" s="18" t="e">
        <f t="shared" si="18"/>
        <v>#N/A</v>
      </c>
      <c r="S48" s="18" t="e">
        <f t="shared" si="19"/>
        <v>#N/A</v>
      </c>
      <c r="T48" s="18" t="e">
        <f t="shared" si="20"/>
        <v>#N/A</v>
      </c>
      <c r="U48" s="18" t="e">
        <f t="shared" si="21"/>
        <v>#N/A</v>
      </c>
      <c r="V48" s="18" t="e">
        <f t="shared" si="22"/>
        <v>#N/A</v>
      </c>
      <c r="W48" s="18" t="e">
        <f t="shared" si="23"/>
        <v>#N/A</v>
      </c>
    </row>
    <row r="49" spans="1:23" s="19" customFormat="1" x14ac:dyDescent="0.2">
      <c r="A49" s="23">
        <v>40</v>
      </c>
      <c r="B49" s="25">
        <v>1.4300000000000001E-3</v>
      </c>
      <c r="C49" s="21">
        <v>8.2799999999999996E-4</v>
      </c>
      <c r="D49" s="21">
        <f t="shared" si="13"/>
        <v>0.90341092000000001</v>
      </c>
      <c r="E49" s="21">
        <f t="shared" si="14"/>
        <v>0.88611779000000002</v>
      </c>
      <c r="F49" s="18">
        <v>0.90341092000000001</v>
      </c>
      <c r="G49" s="18">
        <v>0.88611779000000002</v>
      </c>
      <c r="H49" s="20">
        <f t="shared" si="15"/>
        <v>0.87</v>
      </c>
      <c r="I49" s="20">
        <f t="shared" si="16"/>
        <v>0.85</v>
      </c>
      <c r="J49" s="21"/>
      <c r="K49" s="21"/>
      <c r="L49" s="18"/>
      <c r="M49" s="18"/>
      <c r="N49" s="23">
        <v>40</v>
      </c>
      <c r="O49" s="18">
        <f t="shared" si="17"/>
        <v>120</v>
      </c>
      <c r="P49" s="22" t="e">
        <f t="shared" si="24"/>
        <v>#N/A</v>
      </c>
      <c r="Q49" s="22" t="e">
        <f t="shared" si="12"/>
        <v>#N/A</v>
      </c>
      <c r="R49" s="18" t="e">
        <f t="shared" si="18"/>
        <v>#N/A</v>
      </c>
      <c r="S49" s="18" t="e">
        <f t="shared" si="19"/>
        <v>#N/A</v>
      </c>
      <c r="T49" s="18" t="e">
        <f t="shared" si="20"/>
        <v>#N/A</v>
      </c>
      <c r="U49" s="18" t="e">
        <f t="shared" si="21"/>
        <v>#N/A</v>
      </c>
      <c r="V49" s="18" t="e">
        <f t="shared" si="22"/>
        <v>#N/A</v>
      </c>
      <c r="W49" s="18" t="e">
        <f t="shared" si="23"/>
        <v>#N/A</v>
      </c>
    </row>
    <row r="50" spans="1:23" s="19" customFormat="1" x14ac:dyDescent="0.2">
      <c r="A50" s="23">
        <v>41</v>
      </c>
      <c r="B50" s="25">
        <v>1.534E-3</v>
      </c>
      <c r="C50" s="21">
        <v>9.1600000000000004E-4</v>
      </c>
      <c r="D50" s="21">
        <f t="shared" si="13"/>
        <v>0.90120202999999999</v>
      </c>
      <c r="E50" s="21">
        <f t="shared" si="14"/>
        <v>0.88381483000000005</v>
      </c>
      <c r="F50" s="18">
        <v>0.90120202999999999</v>
      </c>
      <c r="G50" s="18">
        <v>0.88381483000000005</v>
      </c>
      <c r="H50" s="20">
        <f t="shared" si="15"/>
        <v>0.87</v>
      </c>
      <c r="I50" s="20">
        <f t="shared" si="16"/>
        <v>0.85</v>
      </c>
      <c r="J50" s="21"/>
      <c r="K50" s="21"/>
      <c r="L50" s="18"/>
      <c r="M50" s="18"/>
      <c r="N50" s="23">
        <v>41</v>
      </c>
      <c r="O50" s="18">
        <f t="shared" si="17"/>
        <v>121</v>
      </c>
      <c r="P50" s="22" t="e">
        <f t="shared" si="24"/>
        <v>#N/A</v>
      </c>
      <c r="Q50" s="22" t="e">
        <f t="shared" si="12"/>
        <v>#N/A</v>
      </c>
      <c r="R50" s="18" t="e">
        <f t="shared" si="18"/>
        <v>#N/A</v>
      </c>
      <c r="S50" s="18" t="e">
        <f t="shared" si="19"/>
        <v>#N/A</v>
      </c>
      <c r="T50" s="18" t="e">
        <f t="shared" si="20"/>
        <v>#N/A</v>
      </c>
      <c r="U50" s="18" t="e">
        <f t="shared" si="21"/>
        <v>#N/A</v>
      </c>
      <c r="V50" s="18" t="e">
        <f t="shared" si="22"/>
        <v>#N/A</v>
      </c>
      <c r="W50" s="18" t="e">
        <f t="shared" si="23"/>
        <v>#N/A</v>
      </c>
    </row>
    <row r="51" spans="1:23" s="19" customFormat="1" x14ac:dyDescent="0.2">
      <c r="A51" s="23">
        <v>42</v>
      </c>
      <c r="B51" s="25">
        <v>1.676E-3</v>
      </c>
      <c r="C51" s="21">
        <v>1.0269999999999999E-3</v>
      </c>
      <c r="D51" s="21">
        <f t="shared" si="13"/>
        <v>0.89895009000000003</v>
      </c>
      <c r="E51" s="21">
        <f t="shared" si="14"/>
        <v>0.88142734</v>
      </c>
      <c r="F51" s="18">
        <v>0.89895009000000003</v>
      </c>
      <c r="G51" s="18">
        <v>0.88142734</v>
      </c>
      <c r="H51" s="20">
        <f t="shared" si="15"/>
        <v>0.87</v>
      </c>
      <c r="I51" s="20">
        <f t="shared" si="16"/>
        <v>0.85</v>
      </c>
      <c r="J51" s="21"/>
      <c r="K51" s="21"/>
      <c r="L51" s="18"/>
      <c r="M51" s="18"/>
      <c r="N51" s="23">
        <v>42</v>
      </c>
      <c r="O51" s="18">
        <f t="shared" si="17"/>
        <v>122</v>
      </c>
      <c r="P51" s="22" t="e">
        <f t="shared" si="24"/>
        <v>#N/A</v>
      </c>
      <c r="Q51" s="22" t="e">
        <f t="shared" si="12"/>
        <v>#N/A</v>
      </c>
      <c r="R51" s="18" t="e">
        <f t="shared" si="18"/>
        <v>#N/A</v>
      </c>
      <c r="S51" s="18" t="e">
        <f t="shared" si="19"/>
        <v>#N/A</v>
      </c>
      <c r="T51" s="18" t="e">
        <f t="shared" si="20"/>
        <v>#N/A</v>
      </c>
      <c r="U51" s="18" t="e">
        <f t="shared" si="21"/>
        <v>#N/A</v>
      </c>
      <c r="V51" s="18" t="e">
        <f t="shared" si="22"/>
        <v>#N/A</v>
      </c>
      <c r="W51" s="18" t="e">
        <f t="shared" si="23"/>
        <v>#N/A</v>
      </c>
    </row>
    <row r="52" spans="1:23" s="19" customFormat="1" x14ac:dyDescent="0.2">
      <c r="A52" s="23">
        <v>43</v>
      </c>
      <c r="B52" s="25">
        <v>1.851E-3</v>
      </c>
      <c r="C52" s="21">
        <v>1.098E-3</v>
      </c>
      <c r="D52" s="21">
        <f t="shared" si="13"/>
        <v>0.89665470999999997</v>
      </c>
      <c r="E52" s="21">
        <f t="shared" si="14"/>
        <v>0.87895621000000002</v>
      </c>
      <c r="F52" s="18">
        <v>0.89665470999999997</v>
      </c>
      <c r="G52" s="18">
        <v>0.87895621000000002</v>
      </c>
      <c r="H52" s="20">
        <f t="shared" si="15"/>
        <v>0.87</v>
      </c>
      <c r="I52" s="20">
        <f t="shared" si="16"/>
        <v>0.85</v>
      </c>
      <c r="J52" s="21"/>
      <c r="K52" s="21"/>
      <c r="L52" s="18"/>
      <c r="M52" s="18"/>
      <c r="N52" s="23">
        <v>43</v>
      </c>
      <c r="O52" s="18">
        <f t="shared" si="17"/>
        <v>123</v>
      </c>
      <c r="P52" s="22" t="e">
        <f t="shared" si="24"/>
        <v>#N/A</v>
      </c>
      <c r="Q52" s="22" t="e">
        <f t="shared" si="12"/>
        <v>#N/A</v>
      </c>
      <c r="R52" s="18" t="e">
        <f t="shared" si="18"/>
        <v>#N/A</v>
      </c>
      <c r="S52" s="18" t="e">
        <f t="shared" si="19"/>
        <v>#N/A</v>
      </c>
      <c r="T52" s="18" t="e">
        <f t="shared" si="20"/>
        <v>#N/A</v>
      </c>
      <c r="U52" s="18" t="e">
        <f t="shared" si="21"/>
        <v>#N/A</v>
      </c>
      <c r="V52" s="18" t="e">
        <f t="shared" si="22"/>
        <v>#N/A</v>
      </c>
      <c r="W52" s="18" t="e">
        <f t="shared" si="23"/>
        <v>#N/A</v>
      </c>
    </row>
    <row r="53" spans="1:23" s="19" customFormat="1" x14ac:dyDescent="0.2">
      <c r="A53" s="23">
        <v>44</v>
      </c>
      <c r="B53" s="25">
        <v>1.9599999999999999E-3</v>
      </c>
      <c r="C53" s="21">
        <v>1.2600000000000001E-3</v>
      </c>
      <c r="D53" s="21">
        <f t="shared" si="13"/>
        <v>0.89431554000000002</v>
      </c>
      <c r="E53" s="21">
        <f t="shared" si="14"/>
        <v>0.87640218000000003</v>
      </c>
      <c r="F53" s="18">
        <v>0.89431554000000002</v>
      </c>
      <c r="G53" s="18">
        <v>0.87640218000000003</v>
      </c>
      <c r="H53" s="20">
        <f t="shared" si="15"/>
        <v>0.87</v>
      </c>
      <c r="I53" s="20">
        <f t="shared" si="16"/>
        <v>0.85</v>
      </c>
      <c r="J53" s="21"/>
      <c r="K53" s="21"/>
      <c r="L53" s="18"/>
      <c r="M53" s="18"/>
      <c r="N53" s="23">
        <v>44</v>
      </c>
      <c r="O53" s="18">
        <f t="shared" si="17"/>
        <v>124</v>
      </c>
      <c r="P53" s="22" t="e">
        <f t="shared" si="24"/>
        <v>#N/A</v>
      </c>
      <c r="Q53" s="22" t="e">
        <f t="shared" si="12"/>
        <v>#N/A</v>
      </c>
      <c r="R53" s="18" t="e">
        <f t="shared" si="18"/>
        <v>#N/A</v>
      </c>
      <c r="S53" s="18" t="e">
        <f t="shared" si="19"/>
        <v>#N/A</v>
      </c>
      <c r="T53" s="18" t="e">
        <f t="shared" si="20"/>
        <v>#N/A</v>
      </c>
      <c r="U53" s="18" t="e">
        <f t="shared" si="21"/>
        <v>#N/A</v>
      </c>
      <c r="V53" s="18" t="e">
        <f t="shared" si="22"/>
        <v>#N/A</v>
      </c>
      <c r="W53" s="18" t="e">
        <f t="shared" si="23"/>
        <v>#N/A</v>
      </c>
    </row>
    <row r="54" spans="1:23" s="19" customFormat="1" x14ac:dyDescent="0.2">
      <c r="A54" s="23">
        <v>45</v>
      </c>
      <c r="B54" s="25">
        <v>2.2230000000000001E-3</v>
      </c>
      <c r="C54" s="21">
        <v>1.3600000000000001E-3</v>
      </c>
      <c r="D54" s="21">
        <f t="shared" si="13"/>
        <v>0.89193222000000005</v>
      </c>
      <c r="E54" s="21">
        <f t="shared" si="14"/>
        <v>0.87376591000000003</v>
      </c>
      <c r="F54" s="18">
        <v>0.89193222000000005</v>
      </c>
      <c r="G54" s="18">
        <v>0.87376591000000003</v>
      </c>
      <c r="H54" s="20">
        <f t="shared" si="15"/>
        <v>0.82399999999999995</v>
      </c>
      <c r="I54" s="20">
        <f t="shared" si="16"/>
        <v>0.81499999999999995</v>
      </c>
      <c r="J54" s="21"/>
      <c r="K54" s="21"/>
      <c r="L54" s="18"/>
      <c r="M54" s="18"/>
      <c r="N54" s="23">
        <v>45</v>
      </c>
      <c r="O54" s="18">
        <f t="shared" si="17"/>
        <v>125</v>
      </c>
      <c r="P54" s="22" t="e">
        <f t="shared" si="24"/>
        <v>#N/A</v>
      </c>
      <c r="Q54" s="22" t="e">
        <f t="shared" si="12"/>
        <v>#N/A</v>
      </c>
      <c r="R54" s="18" t="e">
        <f t="shared" si="18"/>
        <v>#N/A</v>
      </c>
      <c r="S54" s="18" t="e">
        <f t="shared" si="19"/>
        <v>#N/A</v>
      </c>
      <c r="T54" s="18" t="e">
        <f t="shared" si="20"/>
        <v>#N/A</v>
      </c>
      <c r="U54" s="18" t="e">
        <f t="shared" si="21"/>
        <v>#N/A</v>
      </c>
      <c r="V54" s="18" t="e">
        <f t="shared" si="22"/>
        <v>#N/A</v>
      </c>
      <c r="W54" s="18" t="e">
        <f t="shared" si="23"/>
        <v>#N/A</v>
      </c>
    </row>
    <row r="55" spans="1:23" s="19" customFormat="1" x14ac:dyDescent="0.2">
      <c r="A55" s="23">
        <v>46</v>
      </c>
      <c r="B55" s="25">
        <v>2.3040000000000001E-3</v>
      </c>
      <c r="C55" s="21">
        <v>1.4940000000000001E-3</v>
      </c>
      <c r="D55" s="21">
        <f t="shared" si="13"/>
        <v>0.88950441000000002</v>
      </c>
      <c r="E55" s="21">
        <f t="shared" si="14"/>
        <v>0.87104791999999998</v>
      </c>
      <c r="F55" s="18">
        <v>0.88950441000000002</v>
      </c>
      <c r="G55" s="18">
        <v>0.87104791999999998</v>
      </c>
      <c r="H55" s="20">
        <f t="shared" si="15"/>
        <v>0.82399999999999995</v>
      </c>
      <c r="I55" s="20">
        <f t="shared" si="16"/>
        <v>0.81499999999999995</v>
      </c>
      <c r="J55" s="21"/>
      <c r="K55" s="21"/>
      <c r="L55" s="18"/>
      <c r="M55" s="18"/>
      <c r="N55" s="23">
        <v>46</v>
      </c>
      <c r="O55" s="18">
        <f t="shared" si="17"/>
        <v>126</v>
      </c>
      <c r="P55" s="22" t="e">
        <f t="shared" si="24"/>
        <v>#N/A</v>
      </c>
      <c r="Q55" s="22" t="e">
        <f t="shared" si="12"/>
        <v>#N/A</v>
      </c>
      <c r="R55" s="18" t="e">
        <f t="shared" si="18"/>
        <v>#N/A</v>
      </c>
      <c r="S55" s="18" t="e">
        <f t="shared" si="19"/>
        <v>#N/A</v>
      </c>
      <c r="T55" s="18" t="e">
        <f t="shared" si="20"/>
        <v>#N/A</v>
      </c>
      <c r="U55" s="18" t="e">
        <f t="shared" si="21"/>
        <v>#N/A</v>
      </c>
      <c r="V55" s="18" t="e">
        <f t="shared" si="22"/>
        <v>#N/A</v>
      </c>
      <c r="W55" s="18" t="e">
        <f t="shared" si="23"/>
        <v>#N/A</v>
      </c>
    </row>
    <row r="56" spans="1:23" s="19" customFormat="1" x14ac:dyDescent="0.2">
      <c r="A56" s="23">
        <v>47</v>
      </c>
      <c r="B56" s="25">
        <v>2.5699999999999998E-3</v>
      </c>
      <c r="C56" s="21">
        <v>1.6180000000000001E-3</v>
      </c>
      <c r="D56" s="21">
        <f t="shared" si="13"/>
        <v>0.88703178999999999</v>
      </c>
      <c r="E56" s="21">
        <f t="shared" si="14"/>
        <v>0.86824862999999997</v>
      </c>
      <c r="F56" s="18">
        <v>0.88703178999999999</v>
      </c>
      <c r="G56" s="18">
        <v>0.86824862999999997</v>
      </c>
      <c r="H56" s="20">
        <f t="shared" si="15"/>
        <v>0.82399999999999995</v>
      </c>
      <c r="I56" s="20">
        <f t="shared" si="16"/>
        <v>0.81499999999999995</v>
      </c>
      <c r="J56" s="21"/>
      <c r="K56" s="21"/>
      <c r="L56" s="18"/>
      <c r="M56" s="18"/>
      <c r="N56" s="23">
        <v>47</v>
      </c>
      <c r="O56" s="18">
        <f t="shared" si="17"/>
        <v>127</v>
      </c>
      <c r="P56" s="22" t="e">
        <f t="shared" si="24"/>
        <v>#N/A</v>
      </c>
      <c r="Q56" s="22" t="e">
        <f t="shared" si="12"/>
        <v>#N/A</v>
      </c>
      <c r="R56" s="18" t="e">
        <f t="shared" si="18"/>
        <v>#N/A</v>
      </c>
      <c r="S56" s="18" t="e">
        <f t="shared" si="19"/>
        <v>#N/A</v>
      </c>
      <c r="T56" s="18" t="e">
        <f t="shared" si="20"/>
        <v>#N/A</v>
      </c>
      <c r="U56" s="18" t="e">
        <f t="shared" si="21"/>
        <v>#N/A</v>
      </c>
      <c r="V56" s="18" t="e">
        <f t="shared" si="22"/>
        <v>#N/A</v>
      </c>
      <c r="W56" s="18" t="e">
        <f t="shared" si="23"/>
        <v>#N/A</v>
      </c>
    </row>
    <row r="57" spans="1:23" s="19" customFormat="1" x14ac:dyDescent="0.2">
      <c r="A57" s="23">
        <v>48</v>
      </c>
      <c r="B57" s="25">
        <v>2.715E-3</v>
      </c>
      <c r="C57" s="21">
        <v>1.7700000000000001E-3</v>
      </c>
      <c r="D57" s="21">
        <f t="shared" si="13"/>
        <v>0.88451404</v>
      </c>
      <c r="E57" s="21">
        <f t="shared" si="14"/>
        <v>0.86536838000000005</v>
      </c>
      <c r="F57" s="18">
        <v>0.88451404</v>
      </c>
      <c r="G57" s="18">
        <v>0.86536838000000005</v>
      </c>
      <c r="H57" s="20">
        <f t="shared" si="15"/>
        <v>0.82399999999999995</v>
      </c>
      <c r="I57" s="20">
        <f t="shared" si="16"/>
        <v>0.81499999999999995</v>
      </c>
      <c r="J57" s="21"/>
      <c r="K57" s="21"/>
      <c r="L57" s="18"/>
      <c r="M57" s="18"/>
      <c r="N57" s="23">
        <v>48</v>
      </c>
      <c r="O57" s="18">
        <f t="shared" si="17"/>
        <v>128</v>
      </c>
      <c r="P57" s="22" t="e">
        <f t="shared" si="24"/>
        <v>#N/A</v>
      </c>
      <c r="Q57" s="22" t="e">
        <f t="shared" si="12"/>
        <v>#N/A</v>
      </c>
      <c r="R57" s="18" t="e">
        <f t="shared" si="18"/>
        <v>#N/A</v>
      </c>
      <c r="S57" s="18" t="e">
        <f t="shared" si="19"/>
        <v>#N/A</v>
      </c>
      <c r="T57" s="18" t="e">
        <f t="shared" si="20"/>
        <v>#N/A</v>
      </c>
      <c r="U57" s="18" t="e">
        <f t="shared" si="21"/>
        <v>#N/A</v>
      </c>
      <c r="V57" s="18" t="e">
        <f t="shared" si="22"/>
        <v>#N/A</v>
      </c>
      <c r="W57" s="18" t="e">
        <f t="shared" si="23"/>
        <v>#N/A</v>
      </c>
    </row>
    <row r="58" spans="1:23" s="19" customFormat="1" x14ac:dyDescent="0.2">
      <c r="A58" s="23">
        <v>49</v>
      </c>
      <c r="B58" s="25">
        <v>3.042E-3</v>
      </c>
      <c r="C58" s="21">
        <v>1.897E-3</v>
      </c>
      <c r="D58" s="21">
        <f t="shared" si="13"/>
        <v>0.88195089000000004</v>
      </c>
      <c r="E58" s="21">
        <f t="shared" si="14"/>
        <v>0.86240737999999995</v>
      </c>
      <c r="F58" s="18">
        <v>0.88195089000000004</v>
      </c>
      <c r="G58" s="18">
        <v>0.86240737999999995</v>
      </c>
      <c r="H58" s="20">
        <f t="shared" si="15"/>
        <v>0.82399999999999995</v>
      </c>
      <c r="I58" s="20">
        <f t="shared" si="16"/>
        <v>0.81499999999999995</v>
      </c>
      <c r="J58" s="21"/>
      <c r="K58" s="21"/>
      <c r="L58" s="18"/>
      <c r="M58" s="18"/>
      <c r="N58" s="23">
        <v>49</v>
      </c>
      <c r="O58" s="18">
        <f t="shared" si="17"/>
        <v>129</v>
      </c>
      <c r="P58" s="22" t="e">
        <f t="shared" si="24"/>
        <v>#N/A</v>
      </c>
      <c r="Q58" s="22" t="e">
        <f t="shared" si="12"/>
        <v>#N/A</v>
      </c>
      <c r="R58" s="18" t="e">
        <f t="shared" si="18"/>
        <v>#N/A</v>
      </c>
      <c r="S58" s="18" t="e">
        <f t="shared" si="19"/>
        <v>#N/A</v>
      </c>
      <c r="T58" s="18" t="e">
        <f t="shared" si="20"/>
        <v>#N/A</v>
      </c>
      <c r="U58" s="18" t="e">
        <f t="shared" si="21"/>
        <v>#N/A</v>
      </c>
      <c r="V58" s="18" t="e">
        <f t="shared" si="22"/>
        <v>#N/A</v>
      </c>
      <c r="W58" s="18" t="e">
        <f t="shared" si="23"/>
        <v>#N/A</v>
      </c>
    </row>
    <row r="59" spans="1:23" s="19" customFormat="1" x14ac:dyDescent="0.2">
      <c r="A59" s="23">
        <v>50</v>
      </c>
      <c r="B59" s="25">
        <v>3.2330000000000002E-3</v>
      </c>
      <c r="C59" s="21">
        <v>2.0890000000000001E-3</v>
      </c>
      <c r="D59" s="21">
        <f t="shared" si="13"/>
        <v>0.87934204999999999</v>
      </c>
      <c r="E59" s="21">
        <f t="shared" si="14"/>
        <v>0.85936579999999996</v>
      </c>
      <c r="F59" s="18">
        <v>0.87934204999999999</v>
      </c>
      <c r="G59" s="18">
        <v>0.85936579999999996</v>
      </c>
      <c r="H59" s="20">
        <f t="shared" si="15"/>
        <v>0.83699999999999997</v>
      </c>
      <c r="I59" s="20">
        <f t="shared" si="16"/>
        <v>0.80500000000000005</v>
      </c>
      <c r="J59" s="21"/>
      <c r="K59" s="21"/>
      <c r="L59" s="18"/>
      <c r="M59" s="18"/>
      <c r="N59" s="23">
        <v>50</v>
      </c>
      <c r="O59" s="18">
        <f t="shared" si="17"/>
        <v>130</v>
      </c>
      <c r="P59" s="22" t="e">
        <f t="shared" si="24"/>
        <v>#N/A</v>
      </c>
      <c r="Q59" s="22" t="e">
        <f t="shared" si="12"/>
        <v>#N/A</v>
      </c>
      <c r="R59" s="18" t="e">
        <f t="shared" si="18"/>
        <v>#N/A</v>
      </c>
      <c r="S59" s="18" t="e">
        <f t="shared" si="19"/>
        <v>#N/A</v>
      </c>
      <c r="T59" s="18" t="e">
        <f t="shared" si="20"/>
        <v>#N/A</v>
      </c>
      <c r="U59" s="18" t="e">
        <f t="shared" si="21"/>
        <v>#N/A</v>
      </c>
      <c r="V59" s="18" t="e">
        <f t="shared" si="22"/>
        <v>#N/A</v>
      </c>
      <c r="W59" s="18" t="e">
        <f t="shared" si="23"/>
        <v>#N/A</v>
      </c>
    </row>
    <row r="60" spans="1:23" s="19" customFormat="1" x14ac:dyDescent="0.2">
      <c r="A60" s="23">
        <v>51</v>
      </c>
      <c r="B60" s="25">
        <v>3.49E-3</v>
      </c>
      <c r="C60" s="21">
        <v>2.274E-3</v>
      </c>
      <c r="D60" s="21">
        <f t="shared" si="13"/>
        <v>0.87668727000000002</v>
      </c>
      <c r="E60" s="21">
        <f t="shared" si="14"/>
        <v>0.85624367999999995</v>
      </c>
      <c r="F60" s="18">
        <v>0.87668727000000002</v>
      </c>
      <c r="G60" s="18">
        <v>0.85624367999999995</v>
      </c>
      <c r="H60" s="20">
        <f t="shared" si="15"/>
        <v>0.83699999999999997</v>
      </c>
      <c r="I60" s="20">
        <f t="shared" si="16"/>
        <v>0.80500000000000005</v>
      </c>
      <c r="J60" s="21"/>
      <c r="K60" s="21"/>
      <c r="L60" s="18"/>
      <c r="M60" s="18"/>
      <c r="N60" s="23">
        <v>51</v>
      </c>
      <c r="O60" s="18">
        <f t="shared" si="17"/>
        <v>131</v>
      </c>
      <c r="P60" s="22" t="e">
        <f t="shared" si="24"/>
        <v>#N/A</v>
      </c>
      <c r="Q60" s="22" t="e">
        <f t="shared" si="12"/>
        <v>#N/A</v>
      </c>
      <c r="R60" s="18" t="e">
        <f t="shared" si="18"/>
        <v>#N/A</v>
      </c>
      <c r="S60" s="18" t="e">
        <f t="shared" si="19"/>
        <v>#N/A</v>
      </c>
      <c r="T60" s="18" t="e">
        <f t="shared" si="20"/>
        <v>#N/A</v>
      </c>
      <c r="U60" s="18" t="e">
        <f t="shared" si="21"/>
        <v>#N/A</v>
      </c>
      <c r="V60" s="18" t="e">
        <f t="shared" si="22"/>
        <v>#N/A</v>
      </c>
      <c r="W60" s="18" t="e">
        <f t="shared" si="23"/>
        <v>#N/A</v>
      </c>
    </row>
    <row r="61" spans="1:23" s="19" customFormat="1" x14ac:dyDescent="0.2">
      <c r="A61" s="23">
        <v>52</v>
      </c>
      <c r="B61" s="25">
        <v>3.748E-3</v>
      </c>
      <c r="C61" s="21">
        <v>2.4740000000000001E-3</v>
      </c>
      <c r="D61" s="21">
        <f t="shared" si="13"/>
        <v>0.87398631000000004</v>
      </c>
      <c r="E61" s="21">
        <f t="shared" si="14"/>
        <v>0.85304100999999999</v>
      </c>
      <c r="F61" s="18">
        <v>0.87398631000000004</v>
      </c>
      <c r="G61" s="18">
        <v>0.85304100999999999</v>
      </c>
      <c r="H61" s="20">
        <f t="shared" si="15"/>
        <v>0.83699999999999997</v>
      </c>
      <c r="I61" s="20">
        <f t="shared" si="16"/>
        <v>0.80500000000000005</v>
      </c>
      <c r="J61" s="21"/>
      <c r="K61" s="21"/>
      <c r="L61" s="18"/>
      <c r="M61" s="18"/>
      <c r="N61" s="23">
        <v>52</v>
      </c>
      <c r="O61" s="18">
        <f t="shared" si="17"/>
        <v>132</v>
      </c>
      <c r="P61" s="22" t="e">
        <f t="shared" si="24"/>
        <v>#N/A</v>
      </c>
      <c r="Q61" s="22" t="e">
        <f t="shared" si="12"/>
        <v>#N/A</v>
      </c>
      <c r="R61" s="18" t="e">
        <f t="shared" si="18"/>
        <v>#N/A</v>
      </c>
      <c r="S61" s="18" t="e">
        <f t="shared" si="19"/>
        <v>#N/A</v>
      </c>
      <c r="T61" s="18" t="e">
        <f t="shared" si="20"/>
        <v>#N/A</v>
      </c>
      <c r="U61" s="18" t="e">
        <f t="shared" si="21"/>
        <v>#N/A</v>
      </c>
      <c r="V61" s="18" t="e">
        <f t="shared" si="22"/>
        <v>#N/A</v>
      </c>
      <c r="W61" s="18" t="e">
        <f t="shared" si="23"/>
        <v>#N/A</v>
      </c>
    </row>
    <row r="62" spans="1:23" s="19" customFormat="1" x14ac:dyDescent="0.2">
      <c r="A62" s="23">
        <v>53</v>
      </c>
      <c r="B62" s="25">
        <v>4.0130000000000001E-3</v>
      </c>
      <c r="C62" s="21">
        <v>2.5869999999999999E-3</v>
      </c>
      <c r="D62" s="21">
        <f t="shared" si="13"/>
        <v>0.87123896999999995</v>
      </c>
      <c r="E62" s="21">
        <f t="shared" si="14"/>
        <v>0.84975767999999996</v>
      </c>
      <c r="F62" s="18">
        <v>0.87123896999999995</v>
      </c>
      <c r="G62" s="18">
        <v>0.84975767999999996</v>
      </c>
      <c r="H62" s="20">
        <f t="shared" si="15"/>
        <v>0.83699999999999997</v>
      </c>
      <c r="I62" s="20">
        <f t="shared" si="16"/>
        <v>0.80500000000000005</v>
      </c>
      <c r="J62" s="21"/>
      <c r="K62" s="21"/>
      <c r="L62" s="18"/>
      <c r="M62" s="18"/>
      <c r="N62" s="23">
        <v>53</v>
      </c>
      <c r="O62" s="18">
        <f t="shared" si="17"/>
        <v>133</v>
      </c>
      <c r="P62" s="22" t="e">
        <f t="shared" si="24"/>
        <v>#N/A</v>
      </c>
      <c r="Q62" s="22" t="e">
        <f t="shared" si="12"/>
        <v>#N/A</v>
      </c>
      <c r="R62" s="18" t="e">
        <f t="shared" si="18"/>
        <v>#N/A</v>
      </c>
      <c r="S62" s="18" t="e">
        <f t="shared" si="19"/>
        <v>#N/A</v>
      </c>
      <c r="T62" s="18" t="e">
        <f t="shared" si="20"/>
        <v>#N/A</v>
      </c>
      <c r="U62" s="18" t="e">
        <f t="shared" si="21"/>
        <v>#N/A</v>
      </c>
      <c r="V62" s="18" t="e">
        <f t="shared" si="22"/>
        <v>#N/A</v>
      </c>
      <c r="W62" s="18" t="e">
        <f t="shared" si="23"/>
        <v>#N/A</v>
      </c>
    </row>
    <row r="63" spans="1:23" s="19" customFormat="1" x14ac:dyDescent="0.2">
      <c r="A63" s="23">
        <v>54</v>
      </c>
      <c r="B63" s="25">
        <v>4.3090000000000003E-3</v>
      </c>
      <c r="C63" s="21">
        <v>2.7699999999999999E-3</v>
      </c>
      <c r="D63" s="21">
        <f t="shared" si="13"/>
        <v>0.86844504</v>
      </c>
      <c r="E63" s="21">
        <f t="shared" si="14"/>
        <v>0.84639352000000001</v>
      </c>
      <c r="F63" s="18">
        <v>0.86844504</v>
      </c>
      <c r="G63" s="18">
        <v>0.84639352000000001</v>
      </c>
      <c r="H63" s="20">
        <f t="shared" si="15"/>
        <v>0.83699999999999997</v>
      </c>
      <c r="I63" s="20">
        <f t="shared" si="16"/>
        <v>0.80500000000000005</v>
      </c>
      <c r="J63" s="21"/>
      <c r="K63" s="21"/>
      <c r="L63" s="18"/>
      <c r="M63" s="18"/>
      <c r="N63" s="23">
        <v>54</v>
      </c>
      <c r="O63" s="18">
        <f t="shared" si="17"/>
        <v>134</v>
      </c>
      <c r="P63" s="22" t="e">
        <f t="shared" si="24"/>
        <v>#N/A</v>
      </c>
      <c r="Q63" s="22" t="e">
        <f t="shared" si="12"/>
        <v>#N/A</v>
      </c>
      <c r="R63" s="18" t="e">
        <f t="shared" si="18"/>
        <v>#N/A</v>
      </c>
      <c r="S63" s="18" t="e">
        <f t="shared" si="19"/>
        <v>#N/A</v>
      </c>
      <c r="T63" s="18" t="e">
        <f t="shared" si="20"/>
        <v>#N/A</v>
      </c>
      <c r="U63" s="18" t="e">
        <f t="shared" si="21"/>
        <v>#N/A</v>
      </c>
      <c r="V63" s="18" t="e">
        <f t="shared" si="22"/>
        <v>#N/A</v>
      </c>
      <c r="W63" s="18" t="e">
        <f t="shared" si="23"/>
        <v>#N/A</v>
      </c>
    </row>
    <row r="64" spans="1:23" s="19" customFormat="1" x14ac:dyDescent="0.2">
      <c r="A64" s="23">
        <v>55</v>
      </c>
      <c r="B64" s="25">
        <v>4.6420000000000003E-3</v>
      </c>
      <c r="C64" s="21">
        <v>3.0839999999999999E-3</v>
      </c>
      <c r="D64" s="21">
        <f t="shared" si="13"/>
        <v>0.86560437000000001</v>
      </c>
      <c r="E64" s="21">
        <f t="shared" si="14"/>
        <v>0.84294827000000006</v>
      </c>
      <c r="F64" s="18">
        <v>0.86560437000000001</v>
      </c>
      <c r="G64" s="18">
        <v>0.84294827000000006</v>
      </c>
      <c r="H64" s="20">
        <f t="shared" si="15"/>
        <v>0.81699999999999995</v>
      </c>
      <c r="I64" s="20">
        <f t="shared" si="16"/>
        <v>0.80200000000000005</v>
      </c>
      <c r="J64" s="21"/>
      <c r="K64" s="21"/>
      <c r="L64" s="18"/>
      <c r="M64" s="18"/>
      <c r="N64" s="23">
        <v>55</v>
      </c>
      <c r="O64" s="18">
        <f t="shared" si="17"/>
        <v>135</v>
      </c>
      <c r="P64" s="22" t="e">
        <f t="shared" si="24"/>
        <v>#N/A</v>
      </c>
      <c r="Q64" s="22" t="e">
        <f t="shared" si="12"/>
        <v>#N/A</v>
      </c>
      <c r="R64" s="18" t="e">
        <f t="shared" si="18"/>
        <v>#N/A</v>
      </c>
      <c r="S64" s="18" t="e">
        <f t="shared" si="19"/>
        <v>#N/A</v>
      </c>
      <c r="T64" s="18" t="e">
        <f t="shared" si="20"/>
        <v>#N/A</v>
      </c>
      <c r="U64" s="18" t="e">
        <f t="shared" si="21"/>
        <v>#N/A</v>
      </c>
      <c r="V64" s="18" t="e">
        <f t="shared" si="22"/>
        <v>#N/A</v>
      </c>
      <c r="W64" s="18" t="e">
        <f t="shared" si="23"/>
        <v>#N/A</v>
      </c>
    </row>
    <row r="65" spans="1:23" s="19" customFormat="1" x14ac:dyDescent="0.2">
      <c r="A65" s="23">
        <v>56</v>
      </c>
      <c r="B65" s="25">
        <v>5.1780000000000003E-3</v>
      </c>
      <c r="C65" s="21">
        <v>3.395E-3</v>
      </c>
      <c r="D65" s="21">
        <f t="shared" si="13"/>
        <v>0.86271679999999995</v>
      </c>
      <c r="E65" s="21">
        <f t="shared" si="14"/>
        <v>0.83942161999999998</v>
      </c>
      <c r="F65" s="18">
        <v>0.86271679999999995</v>
      </c>
      <c r="G65" s="18">
        <v>0.83942161999999998</v>
      </c>
      <c r="H65" s="20">
        <f t="shared" si="15"/>
        <v>0.81699999999999995</v>
      </c>
      <c r="I65" s="20">
        <f t="shared" si="16"/>
        <v>0.80200000000000005</v>
      </c>
      <c r="J65" s="21"/>
      <c r="K65" s="21"/>
      <c r="L65" s="18"/>
      <c r="M65" s="18"/>
      <c r="N65" s="23">
        <v>56</v>
      </c>
      <c r="O65" s="18">
        <f t="shared" si="17"/>
        <v>136</v>
      </c>
      <c r="P65" s="22" t="e">
        <f t="shared" si="24"/>
        <v>#N/A</v>
      </c>
      <c r="Q65" s="22" t="e">
        <f t="shared" si="12"/>
        <v>#N/A</v>
      </c>
      <c r="R65" s="18" t="e">
        <f t="shared" si="18"/>
        <v>#N/A</v>
      </c>
      <c r="S65" s="18" t="e">
        <f t="shared" si="19"/>
        <v>#N/A</v>
      </c>
      <c r="T65" s="18" t="e">
        <f t="shared" si="20"/>
        <v>#N/A</v>
      </c>
      <c r="U65" s="18" t="e">
        <f t="shared" si="21"/>
        <v>#N/A</v>
      </c>
      <c r="V65" s="18" t="e">
        <f t="shared" si="22"/>
        <v>#N/A</v>
      </c>
      <c r="W65" s="18" t="e">
        <f t="shared" si="23"/>
        <v>#N/A</v>
      </c>
    </row>
    <row r="66" spans="1:23" s="19" customFormat="1" x14ac:dyDescent="0.2">
      <c r="A66" s="23">
        <v>57</v>
      </c>
      <c r="B66" s="25">
        <v>5.6779999999999999E-3</v>
      </c>
      <c r="C66" s="21">
        <v>3.6819999999999999E-3</v>
      </c>
      <c r="D66" s="21">
        <f t="shared" si="13"/>
        <v>0.85978222000000004</v>
      </c>
      <c r="E66" s="21">
        <f t="shared" si="14"/>
        <v>0.83581316999999999</v>
      </c>
      <c r="F66" s="18">
        <v>0.85978222000000004</v>
      </c>
      <c r="G66" s="18">
        <v>0.83581316999999999</v>
      </c>
      <c r="H66" s="20">
        <f t="shared" si="15"/>
        <v>0.81699999999999995</v>
      </c>
      <c r="I66" s="20">
        <f t="shared" si="16"/>
        <v>0.80200000000000005</v>
      </c>
      <c r="J66" s="21"/>
      <c r="K66" s="21"/>
      <c r="L66" s="18"/>
      <c r="M66" s="18"/>
      <c r="N66" s="23">
        <v>57</v>
      </c>
      <c r="O66" s="18">
        <f t="shared" si="17"/>
        <v>137</v>
      </c>
      <c r="P66" s="22" t="e">
        <f t="shared" si="24"/>
        <v>#N/A</v>
      </c>
      <c r="Q66" s="22" t="e">
        <f t="shared" si="12"/>
        <v>#N/A</v>
      </c>
      <c r="R66" s="18" t="e">
        <f t="shared" si="18"/>
        <v>#N/A</v>
      </c>
      <c r="S66" s="18" t="e">
        <f t="shared" si="19"/>
        <v>#N/A</v>
      </c>
      <c r="T66" s="18" t="e">
        <f t="shared" si="20"/>
        <v>#N/A</v>
      </c>
      <c r="U66" s="18" t="e">
        <f t="shared" si="21"/>
        <v>#N/A</v>
      </c>
      <c r="V66" s="18" t="e">
        <f t="shared" si="22"/>
        <v>#N/A</v>
      </c>
      <c r="W66" s="18" t="e">
        <f t="shared" si="23"/>
        <v>#N/A</v>
      </c>
    </row>
    <row r="67" spans="1:23" s="19" customFormat="1" x14ac:dyDescent="0.2">
      <c r="A67" s="23">
        <v>58</v>
      </c>
      <c r="B67" s="25">
        <v>6.1890000000000001E-3</v>
      </c>
      <c r="C67" s="21">
        <v>4.0730000000000002E-3</v>
      </c>
      <c r="D67" s="21">
        <f t="shared" si="13"/>
        <v>0.85680053</v>
      </c>
      <c r="E67" s="21">
        <f t="shared" si="14"/>
        <v>0.83212248</v>
      </c>
      <c r="F67" s="18">
        <v>0.85680053</v>
      </c>
      <c r="G67" s="18">
        <v>0.83212248</v>
      </c>
      <c r="H67" s="20">
        <f t="shared" si="15"/>
        <v>0.81699999999999995</v>
      </c>
      <c r="I67" s="20">
        <f t="shared" si="16"/>
        <v>0.80200000000000005</v>
      </c>
      <c r="J67" s="21"/>
      <c r="K67" s="21"/>
      <c r="L67" s="18"/>
      <c r="M67" s="18"/>
      <c r="N67" s="23">
        <v>58</v>
      </c>
      <c r="O67" s="18">
        <f t="shared" si="17"/>
        <v>138</v>
      </c>
      <c r="P67" s="22" t="e">
        <f t="shared" si="24"/>
        <v>#N/A</v>
      </c>
      <c r="Q67" s="22" t="e">
        <f t="shared" si="12"/>
        <v>#N/A</v>
      </c>
      <c r="R67" s="18" t="e">
        <f t="shared" si="18"/>
        <v>#N/A</v>
      </c>
      <c r="S67" s="18" t="e">
        <f t="shared" si="19"/>
        <v>#N/A</v>
      </c>
      <c r="T67" s="18" t="e">
        <f t="shared" si="20"/>
        <v>#N/A</v>
      </c>
      <c r="U67" s="18" t="e">
        <f t="shared" si="21"/>
        <v>#N/A</v>
      </c>
      <c r="V67" s="18" t="e">
        <f t="shared" si="22"/>
        <v>#N/A</v>
      </c>
      <c r="W67" s="18" t="e">
        <f t="shared" si="23"/>
        <v>#N/A</v>
      </c>
    </row>
    <row r="68" spans="1:23" s="19" customFormat="1" x14ac:dyDescent="0.2">
      <c r="A68" s="23">
        <v>59</v>
      </c>
      <c r="B68" s="25">
        <v>6.705E-3</v>
      </c>
      <c r="C68" s="21">
        <v>4.3930000000000002E-3</v>
      </c>
      <c r="D68" s="21">
        <f t="shared" si="13"/>
        <v>0.85377168999999997</v>
      </c>
      <c r="E68" s="21">
        <f t="shared" si="14"/>
        <v>0.82834901000000005</v>
      </c>
      <c r="F68" s="18">
        <v>0.85377168999999997</v>
      </c>
      <c r="G68" s="18">
        <v>0.82834901000000005</v>
      </c>
      <c r="H68" s="20">
        <f t="shared" si="15"/>
        <v>0.81699999999999995</v>
      </c>
      <c r="I68" s="20">
        <f t="shared" si="16"/>
        <v>0.80200000000000005</v>
      </c>
      <c r="J68" s="21"/>
      <c r="K68" s="21"/>
      <c r="L68" s="18"/>
      <c r="M68" s="18"/>
      <c r="N68" s="23">
        <v>59</v>
      </c>
      <c r="O68" s="18">
        <f t="shared" si="17"/>
        <v>139</v>
      </c>
      <c r="P68" s="22" t="e">
        <f t="shared" si="24"/>
        <v>#N/A</v>
      </c>
      <c r="Q68" s="22" t="e">
        <f t="shared" si="12"/>
        <v>#N/A</v>
      </c>
      <c r="R68" s="18" t="e">
        <f t="shared" si="18"/>
        <v>#N/A</v>
      </c>
      <c r="S68" s="18" t="e">
        <f t="shared" si="19"/>
        <v>#N/A</v>
      </c>
      <c r="T68" s="18" t="e">
        <f t="shared" si="20"/>
        <v>#N/A</v>
      </c>
      <c r="U68" s="18" t="e">
        <f t="shared" si="21"/>
        <v>#N/A</v>
      </c>
      <c r="V68" s="18" t="e">
        <f t="shared" si="22"/>
        <v>#N/A</v>
      </c>
      <c r="W68" s="18" t="e">
        <f t="shared" si="23"/>
        <v>#N/A</v>
      </c>
    </row>
    <row r="69" spans="1:23" s="19" customFormat="1" x14ac:dyDescent="0.2">
      <c r="A69" s="23">
        <v>60</v>
      </c>
      <c r="B69" s="25">
        <v>7.3860000000000002E-3</v>
      </c>
      <c r="C69" s="21">
        <v>4.8409999999999998E-3</v>
      </c>
      <c r="D69" s="21">
        <f t="shared" si="13"/>
        <v>0.85069565000000003</v>
      </c>
      <c r="E69" s="21">
        <f t="shared" si="14"/>
        <v>0.82449218000000002</v>
      </c>
      <c r="F69" s="18">
        <v>0.85069565000000003</v>
      </c>
      <c r="G69" s="18">
        <v>0.82449218000000002</v>
      </c>
      <c r="H69" s="20">
        <f t="shared" si="15"/>
        <v>0.80900000000000005</v>
      </c>
      <c r="I69" s="20">
        <f t="shared" si="16"/>
        <v>0.78400000000000003</v>
      </c>
      <c r="J69" s="21"/>
      <c r="K69" s="21"/>
      <c r="L69" s="18"/>
      <c r="M69" s="18"/>
      <c r="N69" s="23">
        <v>60</v>
      </c>
      <c r="O69" s="18">
        <f t="shared" si="17"/>
        <v>140</v>
      </c>
      <c r="P69" s="22" t="e">
        <f t="shared" si="24"/>
        <v>#N/A</v>
      </c>
      <c r="Q69" s="22" t="e">
        <f t="shared" si="12"/>
        <v>#N/A</v>
      </c>
      <c r="R69" s="18" t="e">
        <f t="shared" si="18"/>
        <v>#N/A</v>
      </c>
      <c r="S69" s="18" t="e">
        <f t="shared" si="19"/>
        <v>#N/A</v>
      </c>
      <c r="T69" s="18" t="e">
        <f t="shared" si="20"/>
        <v>#N/A</v>
      </c>
      <c r="U69" s="18" t="e">
        <f t="shared" si="21"/>
        <v>#N/A</v>
      </c>
      <c r="V69" s="18" t="e">
        <f t="shared" si="22"/>
        <v>#N/A</v>
      </c>
      <c r="W69" s="18" t="e">
        <f t="shared" si="23"/>
        <v>#N/A</v>
      </c>
    </row>
    <row r="70" spans="1:23" s="19" customFormat="1" x14ac:dyDescent="0.2">
      <c r="A70" s="23">
        <v>61</v>
      </c>
      <c r="B70" s="25">
        <v>8.0169999999999998E-3</v>
      </c>
      <c r="C70" s="21">
        <v>5.2849999999999998E-3</v>
      </c>
      <c r="D70" s="21">
        <f t="shared" si="13"/>
        <v>0.84757241000000005</v>
      </c>
      <c r="E70" s="21">
        <f t="shared" si="14"/>
        <v>0.82055133000000002</v>
      </c>
      <c r="F70" s="18">
        <v>0.84757241000000005</v>
      </c>
      <c r="G70" s="18">
        <v>0.82055133000000002</v>
      </c>
      <c r="H70" s="20">
        <f t="shared" si="15"/>
        <v>0.80900000000000005</v>
      </c>
      <c r="I70" s="20">
        <f t="shared" si="16"/>
        <v>0.78400000000000003</v>
      </c>
      <c r="J70" s="21"/>
      <c r="K70" s="21"/>
      <c r="L70" s="18"/>
      <c r="M70" s="18"/>
      <c r="N70" s="23">
        <v>61</v>
      </c>
      <c r="O70" s="18">
        <f t="shared" si="17"/>
        <v>141</v>
      </c>
      <c r="P70" s="22" t="e">
        <f t="shared" si="24"/>
        <v>#N/A</v>
      </c>
      <c r="Q70" s="22" t="e">
        <f t="shared" si="12"/>
        <v>#N/A</v>
      </c>
      <c r="R70" s="18" t="e">
        <f t="shared" si="18"/>
        <v>#N/A</v>
      </c>
      <c r="S70" s="18" t="e">
        <f t="shared" si="19"/>
        <v>#N/A</v>
      </c>
      <c r="T70" s="18" t="e">
        <f t="shared" si="20"/>
        <v>#N/A</v>
      </c>
      <c r="U70" s="18" t="e">
        <f t="shared" si="21"/>
        <v>#N/A</v>
      </c>
      <c r="V70" s="18" t="e">
        <f t="shared" si="22"/>
        <v>#N/A</v>
      </c>
      <c r="W70" s="18" t="e">
        <f t="shared" si="23"/>
        <v>#N/A</v>
      </c>
    </row>
    <row r="71" spans="1:23" s="19" customFormat="1" x14ac:dyDescent="0.2">
      <c r="A71" s="23">
        <v>62</v>
      </c>
      <c r="B71" s="25">
        <v>8.9580000000000007E-3</v>
      </c>
      <c r="C71" s="21">
        <v>6.0790000000000002E-3</v>
      </c>
      <c r="D71" s="21">
        <f t="shared" si="13"/>
        <v>0.84440201999999998</v>
      </c>
      <c r="E71" s="21">
        <f t="shared" si="14"/>
        <v>0.81652575999999999</v>
      </c>
      <c r="F71" s="18">
        <v>0.84440201999999998</v>
      </c>
      <c r="G71" s="18">
        <v>0.81652575999999999</v>
      </c>
      <c r="H71" s="20">
        <f t="shared" si="15"/>
        <v>0.80900000000000005</v>
      </c>
      <c r="I71" s="20">
        <f t="shared" si="16"/>
        <v>0.78400000000000003</v>
      </c>
      <c r="J71" s="21"/>
      <c r="K71" s="21"/>
      <c r="L71" s="18"/>
      <c r="M71" s="18"/>
      <c r="N71" s="23">
        <v>62</v>
      </c>
      <c r="O71" s="18">
        <f t="shared" si="17"/>
        <v>142</v>
      </c>
      <c r="P71" s="22" t="e">
        <f t="shared" si="24"/>
        <v>#N/A</v>
      </c>
      <c r="Q71" s="22" t="e">
        <f t="shared" si="12"/>
        <v>#N/A</v>
      </c>
      <c r="R71" s="18" t="e">
        <f t="shared" si="18"/>
        <v>#N/A</v>
      </c>
      <c r="S71" s="18" t="e">
        <f t="shared" si="19"/>
        <v>#N/A</v>
      </c>
      <c r="T71" s="18" t="e">
        <f t="shared" si="20"/>
        <v>#N/A</v>
      </c>
      <c r="U71" s="18" t="e">
        <f t="shared" si="21"/>
        <v>#N/A</v>
      </c>
      <c r="V71" s="18" t="e">
        <f t="shared" si="22"/>
        <v>#N/A</v>
      </c>
      <c r="W71" s="18" t="e">
        <f t="shared" si="23"/>
        <v>#N/A</v>
      </c>
    </row>
    <row r="72" spans="1:23" s="19" customFormat="1" x14ac:dyDescent="0.2">
      <c r="A72" s="23">
        <v>63</v>
      </c>
      <c r="B72" s="25">
        <v>9.8799999999999999E-3</v>
      </c>
      <c r="C72" s="21">
        <v>6.4570000000000001E-3</v>
      </c>
      <c r="D72" s="21">
        <f t="shared" si="13"/>
        <v>0.84118453999999998</v>
      </c>
      <c r="E72" s="21">
        <f t="shared" si="14"/>
        <v>0.81241467999999994</v>
      </c>
      <c r="F72" s="18">
        <v>0.84118453999999998</v>
      </c>
      <c r="G72" s="18">
        <v>0.81241467999999994</v>
      </c>
      <c r="H72" s="20">
        <f t="shared" si="15"/>
        <v>0.80900000000000005</v>
      </c>
      <c r="I72" s="20">
        <f t="shared" si="16"/>
        <v>0.78400000000000003</v>
      </c>
      <c r="J72" s="21"/>
      <c r="K72" s="21"/>
      <c r="L72" s="18"/>
      <c r="M72" s="18"/>
      <c r="N72" s="23">
        <v>63</v>
      </c>
      <c r="O72" s="18">
        <f t="shared" si="17"/>
        <v>143</v>
      </c>
      <c r="P72" s="22" t="e">
        <f t="shared" ref="P72:P103" si="25">P71-P71*VLOOKUP(O71,lifetable,2,FALSE)</f>
        <v>#N/A</v>
      </c>
      <c r="Q72" s="22" t="e">
        <f t="shared" ref="Q72:Q103" si="26">Q71-Q71*VLOOKUP(O71,lifetable,3,FALSE)</f>
        <v>#N/A</v>
      </c>
      <c r="R72" s="18" t="e">
        <f t="shared" si="18"/>
        <v>#N/A</v>
      </c>
      <c r="S72" s="18" t="e">
        <f t="shared" si="19"/>
        <v>#N/A</v>
      </c>
      <c r="T72" s="18" t="e">
        <f t="shared" si="20"/>
        <v>#N/A</v>
      </c>
      <c r="U72" s="18" t="e">
        <f t="shared" si="21"/>
        <v>#N/A</v>
      </c>
      <c r="V72" s="18" t="e">
        <f t="shared" si="22"/>
        <v>#N/A</v>
      </c>
      <c r="W72" s="18" t="e">
        <f t="shared" si="23"/>
        <v>#N/A</v>
      </c>
    </row>
    <row r="73" spans="1:23" s="19" customFormat="1" x14ac:dyDescent="0.2">
      <c r="A73" s="23">
        <v>64</v>
      </c>
      <c r="B73" s="25">
        <v>1.0678E-2</v>
      </c>
      <c r="C73" s="21">
        <v>6.9820000000000004E-3</v>
      </c>
      <c r="D73" s="21">
        <f t="shared" ref="D73:D104" si="27">IF(util=1,F73,IF(util=2,H73,"err"))</f>
        <v>0.83792007000000002</v>
      </c>
      <c r="E73" s="21">
        <f t="shared" ref="E73:E104" si="28">IF(util=1,G73,IF(util=2,I73,"err"))</f>
        <v>0.80821728000000004</v>
      </c>
      <c r="F73" s="18">
        <v>0.83792007000000002</v>
      </c>
      <c r="G73" s="18">
        <v>0.80821728000000004</v>
      </c>
      <c r="H73" s="20">
        <f t="shared" ref="H73:H109" si="29">VLOOKUP($A73,$K$9:$M$26,2)</f>
        <v>0.80900000000000005</v>
      </c>
      <c r="I73" s="20">
        <f t="shared" ref="I73:I104" si="30">VLOOKUP($A73,$K$9:$M$26,3)</f>
        <v>0.78400000000000003</v>
      </c>
      <c r="J73" s="21"/>
      <c r="K73" s="21"/>
      <c r="L73" s="18"/>
      <c r="M73" s="18"/>
      <c r="N73" s="23">
        <v>64</v>
      </c>
      <c r="O73" s="18">
        <f t="shared" ref="O73:O104" si="31">Age+N73</f>
        <v>144</v>
      </c>
      <c r="P73" s="22" t="e">
        <f t="shared" si="25"/>
        <v>#N/A</v>
      </c>
      <c r="Q73" s="22" t="e">
        <f t="shared" si="26"/>
        <v>#N/A</v>
      </c>
      <c r="R73" s="18" t="e">
        <f t="shared" ref="R73:R109" si="32">(P73+P74)/2</f>
        <v>#N/A</v>
      </c>
      <c r="S73" s="18" t="e">
        <f t="shared" ref="S73:S109" si="33">(Q73+Q74)/2</f>
        <v>#N/A</v>
      </c>
      <c r="T73" s="18" t="e">
        <f t="shared" ref="T73:T109" si="34">R73*VLOOKUP(O73,lifetable,4,FALSE)</f>
        <v>#N/A</v>
      </c>
      <c r="U73" s="18" t="e">
        <f t="shared" ref="U73:U109" si="35">S73*VLOOKUP(O73,lifetable,5,FALSE)</f>
        <v>#N/A</v>
      </c>
      <c r="V73" s="18" t="e">
        <f t="shared" ref="V73:V109" si="36">T73/(1+Disc)^N73</f>
        <v>#N/A</v>
      </c>
      <c r="W73" s="18" t="e">
        <f t="shared" ref="W73:W109" si="37">U73/(1+Disc)^N73</f>
        <v>#N/A</v>
      </c>
    </row>
    <row r="74" spans="1:23" s="19" customFormat="1" x14ac:dyDescent="0.2">
      <c r="A74" s="23">
        <v>65</v>
      </c>
      <c r="B74" s="25">
        <v>1.1802E-2</v>
      </c>
      <c r="C74" s="21">
        <v>7.6680000000000003E-3</v>
      </c>
      <c r="D74" s="21">
        <f t="shared" si="27"/>
        <v>0.83460878000000005</v>
      </c>
      <c r="E74" s="21">
        <f t="shared" si="28"/>
        <v>0.80393265999999997</v>
      </c>
      <c r="F74" s="18">
        <v>0.83460878000000005</v>
      </c>
      <c r="G74" s="18">
        <v>0.80393265999999997</v>
      </c>
      <c r="H74" s="20">
        <f t="shared" si="29"/>
        <v>0.79800000000000004</v>
      </c>
      <c r="I74" s="20">
        <f t="shared" si="30"/>
        <v>0.78200000000000003</v>
      </c>
      <c r="J74" s="21"/>
      <c r="K74" s="21"/>
      <c r="L74" s="18"/>
      <c r="M74" s="18"/>
      <c r="N74" s="23">
        <v>65</v>
      </c>
      <c r="O74" s="18">
        <f t="shared" si="31"/>
        <v>145</v>
      </c>
      <c r="P74" s="22" t="e">
        <f t="shared" si="25"/>
        <v>#N/A</v>
      </c>
      <c r="Q74" s="22" t="e">
        <f t="shared" si="26"/>
        <v>#N/A</v>
      </c>
      <c r="R74" s="18" t="e">
        <f t="shared" si="32"/>
        <v>#N/A</v>
      </c>
      <c r="S74" s="18" t="e">
        <f t="shared" si="33"/>
        <v>#N/A</v>
      </c>
      <c r="T74" s="18" t="e">
        <f t="shared" si="34"/>
        <v>#N/A</v>
      </c>
      <c r="U74" s="18" t="e">
        <f t="shared" si="35"/>
        <v>#N/A</v>
      </c>
      <c r="V74" s="18" t="e">
        <f t="shared" si="36"/>
        <v>#N/A</v>
      </c>
      <c r="W74" s="18" t="e">
        <f t="shared" si="37"/>
        <v>#N/A</v>
      </c>
    </row>
    <row r="75" spans="1:23" s="19" customFormat="1" x14ac:dyDescent="0.2">
      <c r="A75" s="23">
        <v>66</v>
      </c>
      <c r="B75" s="25">
        <v>1.2900999999999999E-2</v>
      </c>
      <c r="C75" s="21">
        <v>8.2439999999999996E-3</v>
      </c>
      <c r="D75" s="21">
        <f t="shared" si="27"/>
        <v>0.83125083</v>
      </c>
      <c r="E75" s="21">
        <f t="shared" si="28"/>
        <v>0.79955988</v>
      </c>
      <c r="F75" s="18">
        <v>0.83125083</v>
      </c>
      <c r="G75" s="18">
        <v>0.79955988</v>
      </c>
      <c r="H75" s="20">
        <f t="shared" si="29"/>
        <v>0.79800000000000004</v>
      </c>
      <c r="I75" s="20">
        <f t="shared" si="30"/>
        <v>0.78200000000000003</v>
      </c>
      <c r="J75" s="21"/>
      <c r="K75" s="21"/>
      <c r="L75" s="18"/>
      <c r="M75" s="18"/>
      <c r="N75" s="23">
        <v>66</v>
      </c>
      <c r="O75" s="18">
        <f t="shared" si="31"/>
        <v>146</v>
      </c>
      <c r="P75" s="22" t="e">
        <f t="shared" si="25"/>
        <v>#N/A</v>
      </c>
      <c r="Q75" s="22" t="e">
        <f t="shared" si="26"/>
        <v>#N/A</v>
      </c>
      <c r="R75" s="18" t="e">
        <f t="shared" si="32"/>
        <v>#N/A</v>
      </c>
      <c r="S75" s="18" t="e">
        <f t="shared" si="33"/>
        <v>#N/A</v>
      </c>
      <c r="T75" s="18" t="e">
        <f t="shared" si="34"/>
        <v>#N/A</v>
      </c>
      <c r="U75" s="18" t="e">
        <f t="shared" si="35"/>
        <v>#N/A</v>
      </c>
      <c r="V75" s="18" t="e">
        <f t="shared" si="36"/>
        <v>#N/A</v>
      </c>
      <c r="W75" s="18" t="e">
        <f t="shared" si="37"/>
        <v>#N/A</v>
      </c>
    </row>
    <row r="76" spans="1:23" s="19" customFormat="1" x14ac:dyDescent="0.2">
      <c r="A76" s="23">
        <v>67</v>
      </c>
      <c r="B76" s="25">
        <v>1.406E-2</v>
      </c>
      <c r="C76" s="21">
        <v>9.0119999999999992E-3</v>
      </c>
      <c r="D76" s="21">
        <f t="shared" si="27"/>
        <v>0.82784647</v>
      </c>
      <c r="E76" s="21">
        <f t="shared" si="28"/>
        <v>0.79509795999999999</v>
      </c>
      <c r="F76" s="18">
        <v>0.82784647</v>
      </c>
      <c r="G76" s="18">
        <v>0.79509795999999999</v>
      </c>
      <c r="H76" s="20">
        <f t="shared" si="29"/>
        <v>0.79800000000000004</v>
      </c>
      <c r="I76" s="20">
        <f t="shared" si="30"/>
        <v>0.78200000000000003</v>
      </c>
      <c r="J76" s="21"/>
      <c r="K76" s="21"/>
      <c r="L76" s="18"/>
      <c r="M76" s="18"/>
      <c r="N76" s="23">
        <v>67</v>
      </c>
      <c r="O76" s="18">
        <f t="shared" si="31"/>
        <v>147</v>
      </c>
      <c r="P76" s="22" t="e">
        <f t="shared" si="25"/>
        <v>#N/A</v>
      </c>
      <c r="Q76" s="22" t="e">
        <f t="shared" si="26"/>
        <v>#N/A</v>
      </c>
      <c r="R76" s="18" t="e">
        <f t="shared" si="32"/>
        <v>#N/A</v>
      </c>
      <c r="S76" s="18" t="e">
        <f t="shared" si="33"/>
        <v>#N/A</v>
      </c>
      <c r="T76" s="18" t="e">
        <f t="shared" si="34"/>
        <v>#N/A</v>
      </c>
      <c r="U76" s="18" t="e">
        <f t="shared" si="35"/>
        <v>#N/A</v>
      </c>
      <c r="V76" s="18" t="e">
        <f t="shared" si="36"/>
        <v>#N/A</v>
      </c>
      <c r="W76" s="18" t="e">
        <f t="shared" si="37"/>
        <v>#N/A</v>
      </c>
    </row>
    <row r="77" spans="1:23" s="19" customFormat="1" x14ac:dyDescent="0.2">
      <c r="A77" s="23">
        <v>68</v>
      </c>
      <c r="B77" s="25">
        <v>1.5370999999999999E-2</v>
      </c>
      <c r="C77" s="21">
        <v>1.0031999999999999E-2</v>
      </c>
      <c r="D77" s="21">
        <f t="shared" si="27"/>
        <v>0.82439596999999998</v>
      </c>
      <c r="E77" s="21">
        <f t="shared" si="28"/>
        <v>0.79054586000000004</v>
      </c>
      <c r="F77" s="18">
        <v>0.82439596999999998</v>
      </c>
      <c r="G77" s="18">
        <v>0.79054586000000004</v>
      </c>
      <c r="H77" s="20">
        <f t="shared" si="29"/>
        <v>0.79800000000000004</v>
      </c>
      <c r="I77" s="20">
        <f t="shared" si="30"/>
        <v>0.78200000000000003</v>
      </c>
      <c r="J77" s="21"/>
      <c r="K77" s="21"/>
      <c r="L77" s="18"/>
      <c r="M77" s="18"/>
      <c r="N77" s="23">
        <v>68</v>
      </c>
      <c r="O77" s="18">
        <f t="shared" si="31"/>
        <v>148</v>
      </c>
      <c r="P77" s="22" t="e">
        <f t="shared" si="25"/>
        <v>#N/A</v>
      </c>
      <c r="Q77" s="22" t="e">
        <f t="shared" si="26"/>
        <v>#N/A</v>
      </c>
      <c r="R77" s="18" t="e">
        <f t="shared" si="32"/>
        <v>#N/A</v>
      </c>
      <c r="S77" s="18" t="e">
        <f t="shared" si="33"/>
        <v>#N/A</v>
      </c>
      <c r="T77" s="18" t="e">
        <f t="shared" si="34"/>
        <v>#N/A</v>
      </c>
      <c r="U77" s="18" t="e">
        <f t="shared" si="35"/>
        <v>#N/A</v>
      </c>
      <c r="V77" s="18" t="e">
        <f t="shared" si="36"/>
        <v>#N/A</v>
      </c>
      <c r="W77" s="18" t="e">
        <f t="shared" si="37"/>
        <v>#N/A</v>
      </c>
    </row>
    <row r="78" spans="1:23" s="19" customFormat="1" x14ac:dyDescent="0.2">
      <c r="A78" s="23">
        <v>69</v>
      </c>
      <c r="B78" s="25">
        <v>1.6844000000000001E-2</v>
      </c>
      <c r="C78" s="21">
        <v>1.0821000000000001E-2</v>
      </c>
      <c r="D78" s="21">
        <f t="shared" si="27"/>
        <v>0.82089964999999998</v>
      </c>
      <c r="E78" s="21">
        <f t="shared" si="28"/>
        <v>0.78590249999999995</v>
      </c>
      <c r="F78" s="18">
        <v>0.82089964999999998</v>
      </c>
      <c r="G78" s="18">
        <v>0.78590249999999995</v>
      </c>
      <c r="H78" s="20">
        <f t="shared" si="29"/>
        <v>0.79800000000000004</v>
      </c>
      <c r="I78" s="20">
        <f t="shared" si="30"/>
        <v>0.78200000000000003</v>
      </c>
      <c r="J78" s="21"/>
      <c r="K78" s="21"/>
      <c r="L78" s="18"/>
      <c r="M78" s="18"/>
      <c r="N78" s="23">
        <v>69</v>
      </c>
      <c r="O78" s="18">
        <f t="shared" si="31"/>
        <v>149</v>
      </c>
      <c r="P78" s="22" t="e">
        <f t="shared" si="25"/>
        <v>#N/A</v>
      </c>
      <c r="Q78" s="22" t="e">
        <f t="shared" si="26"/>
        <v>#N/A</v>
      </c>
      <c r="R78" s="18" t="e">
        <f t="shared" si="32"/>
        <v>#N/A</v>
      </c>
      <c r="S78" s="18" t="e">
        <f t="shared" si="33"/>
        <v>#N/A</v>
      </c>
      <c r="T78" s="18" t="e">
        <f t="shared" si="34"/>
        <v>#N/A</v>
      </c>
      <c r="U78" s="18" t="e">
        <f t="shared" si="35"/>
        <v>#N/A</v>
      </c>
      <c r="V78" s="18" t="e">
        <f t="shared" si="36"/>
        <v>#N/A</v>
      </c>
      <c r="W78" s="18" t="e">
        <f t="shared" si="37"/>
        <v>#N/A</v>
      </c>
    </row>
    <row r="79" spans="1:23" s="19" customFormat="1" x14ac:dyDescent="0.2">
      <c r="A79" s="23">
        <v>70</v>
      </c>
      <c r="B79" s="25">
        <v>1.7795999999999999E-2</v>
      </c>
      <c r="C79" s="21">
        <v>1.1958E-2</v>
      </c>
      <c r="D79" s="21">
        <f t="shared" si="27"/>
        <v>0.81735787999999998</v>
      </c>
      <c r="E79" s="21">
        <f t="shared" si="28"/>
        <v>0.78116677000000001</v>
      </c>
      <c r="F79" s="18">
        <v>0.81735787999999998</v>
      </c>
      <c r="G79" s="18">
        <v>0.78116677000000001</v>
      </c>
      <c r="H79" s="20">
        <f t="shared" si="29"/>
        <v>0.80200000000000005</v>
      </c>
      <c r="I79" s="20">
        <f t="shared" si="30"/>
        <v>0.78700000000000003</v>
      </c>
      <c r="J79" s="21"/>
      <c r="K79" s="21"/>
      <c r="L79" s="18"/>
      <c r="M79" s="18"/>
      <c r="N79" s="23">
        <v>70</v>
      </c>
      <c r="O79" s="18">
        <f t="shared" si="31"/>
        <v>150</v>
      </c>
      <c r="P79" s="22" t="e">
        <f t="shared" si="25"/>
        <v>#N/A</v>
      </c>
      <c r="Q79" s="22" t="e">
        <f t="shared" si="26"/>
        <v>#N/A</v>
      </c>
      <c r="R79" s="18" t="e">
        <f t="shared" si="32"/>
        <v>#N/A</v>
      </c>
      <c r="S79" s="18" t="e">
        <f t="shared" si="33"/>
        <v>#N/A</v>
      </c>
      <c r="T79" s="18" t="e">
        <f t="shared" si="34"/>
        <v>#N/A</v>
      </c>
      <c r="U79" s="18" t="e">
        <f t="shared" si="35"/>
        <v>#N/A</v>
      </c>
      <c r="V79" s="18" t="e">
        <f t="shared" si="36"/>
        <v>#N/A</v>
      </c>
      <c r="W79" s="18" t="e">
        <f t="shared" si="37"/>
        <v>#N/A</v>
      </c>
    </row>
    <row r="80" spans="1:23" s="19" customFormat="1" x14ac:dyDescent="0.2">
      <c r="A80" s="23">
        <v>71</v>
      </c>
      <c r="B80" s="25">
        <v>1.9812E-2</v>
      </c>
      <c r="C80" s="21">
        <v>1.2886999999999999E-2</v>
      </c>
      <c r="D80" s="21">
        <f t="shared" si="27"/>
        <v>0.81377109999999997</v>
      </c>
      <c r="E80" s="21">
        <f t="shared" si="28"/>
        <v>0.77633753999999999</v>
      </c>
      <c r="F80" s="18">
        <v>0.81377109999999997</v>
      </c>
      <c r="G80" s="18">
        <v>0.77633753999999999</v>
      </c>
      <c r="H80" s="20">
        <f t="shared" si="29"/>
        <v>0.80200000000000005</v>
      </c>
      <c r="I80" s="20">
        <f t="shared" si="30"/>
        <v>0.78700000000000003</v>
      </c>
      <c r="J80" s="21"/>
      <c r="K80" s="21"/>
      <c r="L80" s="18"/>
      <c r="M80" s="18"/>
      <c r="N80" s="23">
        <v>71</v>
      </c>
      <c r="O80" s="18">
        <f t="shared" si="31"/>
        <v>151</v>
      </c>
      <c r="P80" s="22" t="e">
        <f t="shared" si="25"/>
        <v>#N/A</v>
      </c>
      <c r="Q80" s="22" t="e">
        <f t="shared" si="26"/>
        <v>#N/A</v>
      </c>
      <c r="R80" s="18" t="e">
        <f t="shared" si="32"/>
        <v>#N/A</v>
      </c>
      <c r="S80" s="18" t="e">
        <f t="shared" si="33"/>
        <v>#N/A</v>
      </c>
      <c r="T80" s="18" t="e">
        <f t="shared" si="34"/>
        <v>#N/A</v>
      </c>
      <c r="U80" s="18" t="e">
        <f t="shared" si="35"/>
        <v>#N/A</v>
      </c>
      <c r="V80" s="18" t="e">
        <f t="shared" si="36"/>
        <v>#N/A</v>
      </c>
      <c r="W80" s="18" t="e">
        <f t="shared" si="37"/>
        <v>#N/A</v>
      </c>
    </row>
    <row r="81" spans="1:23" s="19" customFormat="1" x14ac:dyDescent="0.2">
      <c r="A81" s="23">
        <v>72</v>
      </c>
      <c r="B81" s="25">
        <v>2.1631999999999998E-2</v>
      </c>
      <c r="C81" s="21">
        <v>1.4774000000000001E-2</v>
      </c>
      <c r="D81" s="21">
        <f t="shared" si="27"/>
        <v>0.81013979000000003</v>
      </c>
      <c r="E81" s="21">
        <f t="shared" si="28"/>
        <v>0.77141364000000001</v>
      </c>
      <c r="F81" s="18">
        <v>0.81013979000000003</v>
      </c>
      <c r="G81" s="18">
        <v>0.77141364000000001</v>
      </c>
      <c r="H81" s="20">
        <f t="shared" si="29"/>
        <v>0.80200000000000005</v>
      </c>
      <c r="I81" s="20">
        <f t="shared" si="30"/>
        <v>0.78700000000000003</v>
      </c>
      <c r="J81" s="21"/>
      <c r="K81" s="21"/>
      <c r="L81" s="18"/>
      <c r="M81" s="18"/>
      <c r="N81" s="23">
        <v>72</v>
      </c>
      <c r="O81" s="18">
        <f t="shared" si="31"/>
        <v>152</v>
      </c>
      <c r="P81" s="22" t="e">
        <f t="shared" si="25"/>
        <v>#N/A</v>
      </c>
      <c r="Q81" s="22" t="e">
        <f t="shared" si="26"/>
        <v>#N/A</v>
      </c>
      <c r="R81" s="18" t="e">
        <f t="shared" si="32"/>
        <v>#N/A</v>
      </c>
      <c r="S81" s="18" t="e">
        <f t="shared" si="33"/>
        <v>#N/A</v>
      </c>
      <c r="T81" s="18" t="e">
        <f t="shared" si="34"/>
        <v>#N/A</v>
      </c>
      <c r="U81" s="18" t="e">
        <f t="shared" si="35"/>
        <v>#N/A</v>
      </c>
      <c r="V81" s="18" t="e">
        <f t="shared" si="36"/>
        <v>#N/A</v>
      </c>
      <c r="W81" s="18" t="e">
        <f t="shared" si="37"/>
        <v>#N/A</v>
      </c>
    </row>
    <row r="82" spans="1:23" s="19" customFormat="1" x14ac:dyDescent="0.2">
      <c r="A82" s="23">
        <v>73</v>
      </c>
      <c r="B82" s="25">
        <v>2.4995E-2</v>
      </c>
      <c r="C82" s="21">
        <v>1.6891E-2</v>
      </c>
      <c r="D82" s="21">
        <f t="shared" si="27"/>
        <v>0.80646446999999999</v>
      </c>
      <c r="E82" s="21">
        <f t="shared" si="28"/>
        <v>0.76639389999999996</v>
      </c>
      <c r="F82" s="18">
        <v>0.80646446999999999</v>
      </c>
      <c r="G82" s="18">
        <v>0.76639389999999996</v>
      </c>
      <c r="H82" s="20">
        <f t="shared" si="29"/>
        <v>0.80200000000000005</v>
      </c>
      <c r="I82" s="20">
        <f t="shared" si="30"/>
        <v>0.78700000000000003</v>
      </c>
      <c r="J82" s="21"/>
      <c r="K82" s="21"/>
      <c r="L82" s="18"/>
      <c r="M82" s="18"/>
      <c r="N82" s="23">
        <v>73</v>
      </c>
      <c r="O82" s="18">
        <f t="shared" si="31"/>
        <v>153</v>
      </c>
      <c r="P82" s="22" t="e">
        <f t="shared" si="25"/>
        <v>#N/A</v>
      </c>
      <c r="Q82" s="22" t="e">
        <f t="shared" si="26"/>
        <v>#N/A</v>
      </c>
      <c r="R82" s="18" t="e">
        <f t="shared" si="32"/>
        <v>#N/A</v>
      </c>
      <c r="S82" s="18" t="e">
        <f t="shared" si="33"/>
        <v>#N/A</v>
      </c>
      <c r="T82" s="18" t="e">
        <f t="shared" si="34"/>
        <v>#N/A</v>
      </c>
      <c r="U82" s="18" t="e">
        <f t="shared" si="35"/>
        <v>#N/A</v>
      </c>
      <c r="V82" s="18" t="e">
        <f t="shared" si="36"/>
        <v>#N/A</v>
      </c>
      <c r="W82" s="18" t="e">
        <f t="shared" si="37"/>
        <v>#N/A</v>
      </c>
    </row>
    <row r="83" spans="1:23" s="19" customFormat="1" x14ac:dyDescent="0.2">
      <c r="A83" s="23">
        <v>74</v>
      </c>
      <c r="B83" s="25">
        <v>2.7226E-2</v>
      </c>
      <c r="C83" s="21">
        <v>1.8495000000000001E-2</v>
      </c>
      <c r="D83" s="21">
        <f t="shared" si="27"/>
        <v>0.80274575000000004</v>
      </c>
      <c r="E83" s="21">
        <f t="shared" si="28"/>
        <v>0.76127716000000001</v>
      </c>
      <c r="F83" s="18">
        <v>0.80274575000000004</v>
      </c>
      <c r="G83" s="18">
        <v>0.76127716000000001</v>
      </c>
      <c r="H83" s="20">
        <f t="shared" si="29"/>
        <v>0.80200000000000005</v>
      </c>
      <c r="I83" s="20">
        <f t="shared" si="30"/>
        <v>0.78700000000000003</v>
      </c>
      <c r="J83" s="21"/>
      <c r="K83" s="21"/>
      <c r="L83" s="18"/>
      <c r="M83" s="18"/>
      <c r="N83" s="23">
        <v>74</v>
      </c>
      <c r="O83" s="18">
        <f t="shared" si="31"/>
        <v>154</v>
      </c>
      <c r="P83" s="22" t="e">
        <f t="shared" si="25"/>
        <v>#N/A</v>
      </c>
      <c r="Q83" s="22" t="e">
        <f t="shared" si="26"/>
        <v>#N/A</v>
      </c>
      <c r="R83" s="18" t="e">
        <f t="shared" si="32"/>
        <v>#N/A</v>
      </c>
      <c r="S83" s="18" t="e">
        <f t="shared" si="33"/>
        <v>#N/A</v>
      </c>
      <c r="T83" s="18" t="e">
        <f t="shared" si="34"/>
        <v>#N/A</v>
      </c>
      <c r="U83" s="18" t="e">
        <f t="shared" si="35"/>
        <v>#N/A</v>
      </c>
      <c r="V83" s="18" t="e">
        <f t="shared" si="36"/>
        <v>#N/A</v>
      </c>
      <c r="W83" s="18" t="e">
        <f t="shared" si="37"/>
        <v>#N/A</v>
      </c>
    </row>
    <row r="84" spans="1:23" s="19" customFormat="1" x14ac:dyDescent="0.2">
      <c r="A84" s="23">
        <v>75</v>
      </c>
      <c r="B84" s="25">
        <v>3.0421E-2</v>
      </c>
      <c r="C84" s="21">
        <v>2.0695999999999999E-2</v>
      </c>
      <c r="D84" s="21">
        <f t="shared" si="27"/>
        <v>0.79898427999999999</v>
      </c>
      <c r="E84" s="21">
        <f t="shared" si="28"/>
        <v>0.75606225000000005</v>
      </c>
      <c r="F84" s="18">
        <v>0.79898427999999999</v>
      </c>
      <c r="G84" s="18">
        <v>0.75606225000000005</v>
      </c>
      <c r="H84" s="20">
        <f t="shared" si="29"/>
        <v>0.79100000000000004</v>
      </c>
      <c r="I84" s="20">
        <f t="shared" si="30"/>
        <v>0.74099999999999999</v>
      </c>
      <c r="J84" s="21"/>
      <c r="K84" s="21"/>
      <c r="L84" s="18"/>
      <c r="M84" s="18"/>
      <c r="N84" s="23">
        <v>75</v>
      </c>
      <c r="O84" s="18">
        <f t="shared" si="31"/>
        <v>155</v>
      </c>
      <c r="P84" s="22" t="e">
        <f t="shared" si="25"/>
        <v>#N/A</v>
      </c>
      <c r="Q84" s="22" t="e">
        <f t="shared" si="26"/>
        <v>#N/A</v>
      </c>
      <c r="R84" s="18" t="e">
        <f t="shared" si="32"/>
        <v>#N/A</v>
      </c>
      <c r="S84" s="18" t="e">
        <f t="shared" si="33"/>
        <v>#N/A</v>
      </c>
      <c r="T84" s="18" t="e">
        <f t="shared" si="34"/>
        <v>#N/A</v>
      </c>
      <c r="U84" s="18" t="e">
        <f t="shared" si="35"/>
        <v>#N/A</v>
      </c>
      <c r="V84" s="18" t="e">
        <f t="shared" si="36"/>
        <v>#N/A</v>
      </c>
      <c r="W84" s="18" t="e">
        <f t="shared" si="37"/>
        <v>#N/A</v>
      </c>
    </row>
    <row r="85" spans="1:23" s="19" customFormat="1" x14ac:dyDescent="0.2">
      <c r="A85" s="23">
        <v>76</v>
      </c>
      <c r="B85" s="25">
        <v>3.4347999999999997E-2</v>
      </c>
      <c r="C85" s="21">
        <v>2.3335999999999999E-2</v>
      </c>
      <c r="D85" s="21">
        <f t="shared" si="27"/>
        <v>0.79518078999999997</v>
      </c>
      <c r="E85" s="21">
        <f t="shared" si="28"/>
        <v>0.75074803999999995</v>
      </c>
      <c r="F85" s="18">
        <v>0.79518078999999997</v>
      </c>
      <c r="G85" s="18">
        <v>0.75074803999999995</v>
      </c>
      <c r="H85" s="20">
        <f t="shared" si="29"/>
        <v>0.79100000000000004</v>
      </c>
      <c r="I85" s="20">
        <f t="shared" si="30"/>
        <v>0.74099999999999999</v>
      </c>
      <c r="J85" s="21"/>
      <c r="K85" s="21"/>
      <c r="L85" s="18"/>
      <c r="M85" s="18"/>
      <c r="N85" s="23">
        <v>76</v>
      </c>
      <c r="O85" s="18">
        <f t="shared" si="31"/>
        <v>156</v>
      </c>
      <c r="P85" s="22" t="e">
        <f t="shared" si="25"/>
        <v>#N/A</v>
      </c>
      <c r="Q85" s="22" t="e">
        <f t="shared" si="26"/>
        <v>#N/A</v>
      </c>
      <c r="R85" s="18" t="e">
        <f t="shared" si="32"/>
        <v>#N/A</v>
      </c>
      <c r="S85" s="18" t="e">
        <f t="shared" si="33"/>
        <v>#N/A</v>
      </c>
      <c r="T85" s="18" t="e">
        <f t="shared" si="34"/>
        <v>#N/A</v>
      </c>
      <c r="U85" s="18" t="e">
        <f t="shared" si="35"/>
        <v>#N/A</v>
      </c>
      <c r="V85" s="18" t="e">
        <f t="shared" si="36"/>
        <v>#N/A</v>
      </c>
      <c r="W85" s="18" t="e">
        <f t="shared" si="37"/>
        <v>#N/A</v>
      </c>
    </row>
    <row r="86" spans="1:23" s="19" customFormat="1" x14ac:dyDescent="0.2">
      <c r="A86" s="23">
        <v>77</v>
      </c>
      <c r="B86" s="25">
        <v>3.7936999999999999E-2</v>
      </c>
      <c r="C86" s="21">
        <v>2.6453000000000001E-2</v>
      </c>
      <c r="D86" s="21">
        <f t="shared" si="27"/>
        <v>0.79133606999999995</v>
      </c>
      <c r="E86" s="21">
        <f t="shared" si="28"/>
        <v>0.74533344999999995</v>
      </c>
      <c r="F86" s="18">
        <v>0.79133606999999995</v>
      </c>
      <c r="G86" s="18">
        <v>0.74533344999999995</v>
      </c>
      <c r="H86" s="20">
        <f t="shared" si="29"/>
        <v>0.79100000000000004</v>
      </c>
      <c r="I86" s="20">
        <f t="shared" si="30"/>
        <v>0.74099999999999999</v>
      </c>
      <c r="J86" s="21"/>
      <c r="K86" s="21"/>
      <c r="L86" s="18"/>
      <c r="M86" s="18"/>
      <c r="N86" s="23">
        <v>77</v>
      </c>
      <c r="O86" s="18">
        <f t="shared" si="31"/>
        <v>157</v>
      </c>
      <c r="P86" s="22" t="e">
        <f t="shared" si="25"/>
        <v>#N/A</v>
      </c>
      <c r="Q86" s="22" t="e">
        <f t="shared" si="26"/>
        <v>#N/A</v>
      </c>
      <c r="R86" s="18" t="e">
        <f t="shared" si="32"/>
        <v>#N/A</v>
      </c>
      <c r="S86" s="18" t="e">
        <f t="shared" si="33"/>
        <v>#N/A</v>
      </c>
      <c r="T86" s="18" t="e">
        <f t="shared" si="34"/>
        <v>#N/A</v>
      </c>
      <c r="U86" s="18" t="e">
        <f t="shared" si="35"/>
        <v>#N/A</v>
      </c>
      <c r="V86" s="18" t="e">
        <f t="shared" si="36"/>
        <v>#N/A</v>
      </c>
      <c r="W86" s="18" t="e">
        <f t="shared" si="37"/>
        <v>#N/A</v>
      </c>
    </row>
    <row r="87" spans="1:23" s="19" customFormat="1" x14ac:dyDescent="0.2">
      <c r="A87" s="23">
        <v>78</v>
      </c>
      <c r="B87" s="25">
        <v>4.2587E-2</v>
      </c>
      <c r="C87" s="21">
        <v>2.9933999999999999E-2</v>
      </c>
      <c r="D87" s="21">
        <f t="shared" si="27"/>
        <v>0.78745098000000002</v>
      </c>
      <c r="E87" s="21">
        <f t="shared" si="28"/>
        <v>0.73981744000000005</v>
      </c>
      <c r="F87" s="18">
        <v>0.78745098000000002</v>
      </c>
      <c r="G87" s="18">
        <v>0.73981744000000005</v>
      </c>
      <c r="H87" s="20">
        <f t="shared" si="29"/>
        <v>0.79100000000000004</v>
      </c>
      <c r="I87" s="20">
        <f t="shared" si="30"/>
        <v>0.74099999999999999</v>
      </c>
      <c r="J87" s="21"/>
      <c r="K87" s="21"/>
      <c r="L87" s="18"/>
      <c r="M87" s="18"/>
      <c r="N87" s="23">
        <v>78</v>
      </c>
      <c r="O87" s="18">
        <f t="shared" si="31"/>
        <v>158</v>
      </c>
      <c r="P87" s="22" t="e">
        <f t="shared" si="25"/>
        <v>#N/A</v>
      </c>
      <c r="Q87" s="22" t="e">
        <f t="shared" si="26"/>
        <v>#N/A</v>
      </c>
      <c r="R87" s="18" t="e">
        <f t="shared" si="32"/>
        <v>#N/A</v>
      </c>
      <c r="S87" s="18" t="e">
        <f t="shared" si="33"/>
        <v>#N/A</v>
      </c>
      <c r="T87" s="18" t="e">
        <f t="shared" si="34"/>
        <v>#N/A</v>
      </c>
      <c r="U87" s="18" t="e">
        <f t="shared" si="35"/>
        <v>#N/A</v>
      </c>
      <c r="V87" s="18" t="e">
        <f t="shared" si="36"/>
        <v>#N/A</v>
      </c>
      <c r="W87" s="18" t="e">
        <f t="shared" si="37"/>
        <v>#N/A</v>
      </c>
    </row>
    <row r="88" spans="1:23" s="19" customFormat="1" x14ac:dyDescent="0.2">
      <c r="A88" s="23">
        <v>79</v>
      </c>
      <c r="B88" s="25">
        <v>4.6927999999999997E-2</v>
      </c>
      <c r="C88" s="21">
        <v>3.3614999999999999E-2</v>
      </c>
      <c r="D88" s="21">
        <f t="shared" si="27"/>
        <v>0.78352646000000004</v>
      </c>
      <c r="E88" s="21">
        <f t="shared" si="28"/>
        <v>0.73419909000000005</v>
      </c>
      <c r="F88" s="18">
        <v>0.78352646000000004</v>
      </c>
      <c r="G88" s="18">
        <v>0.73419909000000005</v>
      </c>
      <c r="H88" s="20">
        <f t="shared" si="29"/>
        <v>0.79100000000000004</v>
      </c>
      <c r="I88" s="20">
        <f t="shared" si="30"/>
        <v>0.74099999999999999</v>
      </c>
      <c r="J88" s="21"/>
      <c r="K88" s="21"/>
      <c r="L88" s="18"/>
      <c r="M88" s="18"/>
      <c r="N88" s="23">
        <v>79</v>
      </c>
      <c r="O88" s="18">
        <f t="shared" si="31"/>
        <v>159</v>
      </c>
      <c r="P88" s="22" t="e">
        <f t="shared" si="25"/>
        <v>#N/A</v>
      </c>
      <c r="Q88" s="22" t="e">
        <f t="shared" si="26"/>
        <v>#N/A</v>
      </c>
      <c r="R88" s="18" t="e">
        <f t="shared" si="32"/>
        <v>#N/A</v>
      </c>
      <c r="S88" s="18" t="e">
        <f t="shared" si="33"/>
        <v>#N/A</v>
      </c>
      <c r="T88" s="18" t="e">
        <f t="shared" si="34"/>
        <v>#N/A</v>
      </c>
      <c r="U88" s="18" t="e">
        <f t="shared" si="35"/>
        <v>#N/A</v>
      </c>
      <c r="V88" s="18" t="e">
        <f t="shared" si="36"/>
        <v>#N/A</v>
      </c>
      <c r="W88" s="18" t="e">
        <f t="shared" si="37"/>
        <v>#N/A</v>
      </c>
    </row>
    <row r="89" spans="1:23" s="19" customFormat="1" x14ac:dyDescent="0.2">
      <c r="A89" s="23">
        <v>80</v>
      </c>
      <c r="B89" s="25">
        <v>5.2892000000000002E-2</v>
      </c>
      <c r="C89" s="21">
        <v>3.7650000000000003E-2</v>
      </c>
      <c r="D89" s="21">
        <f t="shared" si="27"/>
        <v>0.77956351000000002</v>
      </c>
      <c r="E89" s="21">
        <f t="shared" si="28"/>
        <v>0.72847753999999998</v>
      </c>
      <c r="F89" s="18">
        <v>0.77956351000000002</v>
      </c>
      <c r="G89" s="18">
        <v>0.72847753999999998</v>
      </c>
      <c r="H89" s="20">
        <f t="shared" si="29"/>
        <v>0.77300000000000002</v>
      </c>
      <c r="I89" s="20">
        <f t="shared" si="30"/>
        <v>0.71699999999999997</v>
      </c>
      <c r="J89" s="21"/>
      <c r="K89" s="21"/>
      <c r="L89" s="18"/>
      <c r="M89" s="18"/>
      <c r="N89" s="23">
        <v>80</v>
      </c>
      <c r="O89" s="18">
        <f t="shared" si="31"/>
        <v>160</v>
      </c>
      <c r="P89" s="22" t="e">
        <f t="shared" si="25"/>
        <v>#N/A</v>
      </c>
      <c r="Q89" s="22" t="e">
        <f t="shared" si="26"/>
        <v>#N/A</v>
      </c>
      <c r="R89" s="18" t="e">
        <f t="shared" si="32"/>
        <v>#N/A</v>
      </c>
      <c r="S89" s="18" t="e">
        <f t="shared" si="33"/>
        <v>#N/A</v>
      </c>
      <c r="T89" s="18" t="e">
        <f t="shared" si="34"/>
        <v>#N/A</v>
      </c>
      <c r="U89" s="18" t="e">
        <f t="shared" si="35"/>
        <v>#N/A</v>
      </c>
      <c r="V89" s="18" t="e">
        <f t="shared" si="36"/>
        <v>#N/A</v>
      </c>
      <c r="W89" s="18" t="e">
        <f t="shared" si="37"/>
        <v>#N/A</v>
      </c>
    </row>
    <row r="90" spans="1:23" s="19" customFormat="1" x14ac:dyDescent="0.2">
      <c r="A90" s="23">
        <v>81</v>
      </c>
      <c r="B90" s="25">
        <v>5.8881000000000003E-2</v>
      </c>
      <c r="C90" s="21">
        <v>4.2359000000000001E-2</v>
      </c>
      <c r="D90" s="21">
        <f t="shared" si="27"/>
        <v>0.77556323999999999</v>
      </c>
      <c r="E90" s="21">
        <f t="shared" si="28"/>
        <v>0.72265208999999997</v>
      </c>
      <c r="F90" s="18">
        <v>0.77556323999999999</v>
      </c>
      <c r="G90" s="18">
        <v>0.72265208999999997</v>
      </c>
      <c r="H90" s="20">
        <f t="shared" si="29"/>
        <v>0.77300000000000002</v>
      </c>
      <c r="I90" s="20">
        <f t="shared" si="30"/>
        <v>0.71699999999999997</v>
      </c>
      <c r="J90" s="21"/>
      <c r="K90" s="21"/>
      <c r="L90" s="18"/>
      <c r="M90" s="18"/>
      <c r="N90" s="23">
        <v>81</v>
      </c>
      <c r="O90" s="18">
        <f t="shared" si="31"/>
        <v>161</v>
      </c>
      <c r="P90" s="22" t="e">
        <f t="shared" si="25"/>
        <v>#N/A</v>
      </c>
      <c r="Q90" s="22" t="e">
        <f t="shared" si="26"/>
        <v>#N/A</v>
      </c>
      <c r="R90" s="18" t="e">
        <f t="shared" si="32"/>
        <v>#N/A</v>
      </c>
      <c r="S90" s="18" t="e">
        <f t="shared" si="33"/>
        <v>#N/A</v>
      </c>
      <c r="T90" s="18" t="e">
        <f t="shared" si="34"/>
        <v>#N/A</v>
      </c>
      <c r="U90" s="18" t="e">
        <f t="shared" si="35"/>
        <v>#N/A</v>
      </c>
      <c r="V90" s="18" t="e">
        <f t="shared" si="36"/>
        <v>#N/A</v>
      </c>
      <c r="W90" s="18" t="e">
        <f t="shared" si="37"/>
        <v>#N/A</v>
      </c>
    </row>
    <row r="91" spans="1:23" s="19" customFormat="1" x14ac:dyDescent="0.2">
      <c r="A91" s="23">
        <v>82</v>
      </c>
      <c r="B91" s="25">
        <v>6.5105999999999997E-2</v>
      </c>
      <c r="C91" s="21">
        <v>4.7884000000000003E-2</v>
      </c>
      <c r="D91" s="21">
        <f t="shared" si="27"/>
        <v>0.77152679999999996</v>
      </c>
      <c r="E91" s="21">
        <f t="shared" si="28"/>
        <v>0.71672221000000003</v>
      </c>
      <c r="F91" s="18">
        <v>0.77152679999999996</v>
      </c>
      <c r="G91" s="18">
        <v>0.71672221000000003</v>
      </c>
      <c r="H91" s="20">
        <f t="shared" si="29"/>
        <v>0.77300000000000002</v>
      </c>
      <c r="I91" s="20">
        <f t="shared" si="30"/>
        <v>0.71699999999999997</v>
      </c>
      <c r="J91" s="21"/>
      <c r="K91" s="21"/>
      <c r="L91" s="18"/>
      <c r="M91" s="18"/>
      <c r="N91" s="23">
        <v>82</v>
      </c>
      <c r="O91" s="18">
        <f t="shared" si="31"/>
        <v>162</v>
      </c>
      <c r="P91" s="22" t="e">
        <f t="shared" si="25"/>
        <v>#N/A</v>
      </c>
      <c r="Q91" s="22" t="e">
        <f t="shared" si="26"/>
        <v>#N/A</v>
      </c>
      <c r="R91" s="18" t="e">
        <f t="shared" si="32"/>
        <v>#N/A</v>
      </c>
      <c r="S91" s="18" t="e">
        <f t="shared" si="33"/>
        <v>#N/A</v>
      </c>
      <c r="T91" s="18" t="e">
        <f t="shared" si="34"/>
        <v>#N/A</v>
      </c>
      <c r="U91" s="18" t="e">
        <f t="shared" si="35"/>
        <v>#N/A</v>
      </c>
      <c r="V91" s="18" t="e">
        <f t="shared" si="36"/>
        <v>#N/A</v>
      </c>
      <c r="W91" s="18" t="e">
        <f t="shared" si="37"/>
        <v>#N/A</v>
      </c>
    </row>
    <row r="92" spans="1:23" s="19" customFormat="1" x14ac:dyDescent="0.2">
      <c r="A92" s="23">
        <v>83</v>
      </c>
      <c r="B92" s="25">
        <v>7.3435E-2</v>
      </c>
      <c r="C92" s="21">
        <v>5.525E-2</v>
      </c>
      <c r="D92" s="21">
        <f t="shared" si="27"/>
        <v>0.76745545999999998</v>
      </c>
      <c r="E92" s="21">
        <f t="shared" si="28"/>
        <v>0.71068752999999996</v>
      </c>
      <c r="F92" s="18">
        <v>0.76745545999999998</v>
      </c>
      <c r="G92" s="18">
        <v>0.71068752999999996</v>
      </c>
      <c r="H92" s="20">
        <f t="shared" si="29"/>
        <v>0.77300000000000002</v>
      </c>
      <c r="I92" s="20">
        <f t="shared" si="30"/>
        <v>0.71699999999999997</v>
      </c>
      <c r="J92" s="21"/>
      <c r="K92" s="21"/>
      <c r="L92" s="18"/>
      <c r="M92" s="18"/>
      <c r="N92" s="23">
        <v>83</v>
      </c>
      <c r="O92" s="18">
        <f t="shared" si="31"/>
        <v>163</v>
      </c>
      <c r="P92" s="22" t="e">
        <f t="shared" si="25"/>
        <v>#N/A</v>
      </c>
      <c r="Q92" s="22" t="e">
        <f t="shared" si="26"/>
        <v>#N/A</v>
      </c>
      <c r="R92" s="18" t="e">
        <f t="shared" si="32"/>
        <v>#N/A</v>
      </c>
      <c r="S92" s="18" t="e">
        <f t="shared" si="33"/>
        <v>#N/A</v>
      </c>
      <c r="T92" s="18" t="e">
        <f t="shared" si="34"/>
        <v>#N/A</v>
      </c>
      <c r="U92" s="18" t="e">
        <f t="shared" si="35"/>
        <v>#N/A</v>
      </c>
      <c r="V92" s="18" t="e">
        <f t="shared" si="36"/>
        <v>#N/A</v>
      </c>
      <c r="W92" s="18" t="e">
        <f t="shared" si="37"/>
        <v>#N/A</v>
      </c>
    </row>
    <row r="93" spans="1:23" s="19" customFormat="1" x14ac:dyDescent="0.2">
      <c r="A93" s="23">
        <v>84</v>
      </c>
      <c r="B93" s="25">
        <v>8.3471000000000004E-2</v>
      </c>
      <c r="C93" s="21">
        <v>6.2504000000000004E-2</v>
      </c>
      <c r="D93" s="21">
        <f t="shared" si="27"/>
        <v>0.76335056000000001</v>
      </c>
      <c r="E93" s="21">
        <f t="shared" si="28"/>
        <v>0.70454791999999999</v>
      </c>
      <c r="F93" s="18">
        <v>0.76335056000000001</v>
      </c>
      <c r="G93" s="18">
        <v>0.70454791999999999</v>
      </c>
      <c r="H93" s="20">
        <f t="shared" si="29"/>
        <v>0.77300000000000002</v>
      </c>
      <c r="I93" s="20">
        <f t="shared" si="30"/>
        <v>0.71699999999999997</v>
      </c>
      <c r="J93" s="21"/>
      <c r="K93" s="21"/>
      <c r="L93" s="18"/>
      <c r="M93" s="18"/>
      <c r="N93" s="23">
        <v>84</v>
      </c>
      <c r="O93" s="18">
        <f t="shared" si="31"/>
        <v>164</v>
      </c>
      <c r="P93" s="22" t="e">
        <f t="shared" si="25"/>
        <v>#N/A</v>
      </c>
      <c r="Q93" s="22" t="e">
        <f t="shared" si="26"/>
        <v>#N/A</v>
      </c>
      <c r="R93" s="18" t="e">
        <f t="shared" si="32"/>
        <v>#N/A</v>
      </c>
      <c r="S93" s="18" t="e">
        <f t="shared" si="33"/>
        <v>#N/A</v>
      </c>
      <c r="T93" s="18" t="e">
        <f t="shared" si="34"/>
        <v>#N/A</v>
      </c>
      <c r="U93" s="18" t="e">
        <f t="shared" si="35"/>
        <v>#N/A</v>
      </c>
      <c r="V93" s="18" t="e">
        <f t="shared" si="36"/>
        <v>#N/A</v>
      </c>
      <c r="W93" s="18" t="e">
        <f t="shared" si="37"/>
        <v>#N/A</v>
      </c>
    </row>
    <row r="94" spans="1:23" s="19" customFormat="1" x14ac:dyDescent="0.2">
      <c r="A94" s="23">
        <v>85</v>
      </c>
      <c r="B94" s="25">
        <v>9.3214000000000005E-2</v>
      </c>
      <c r="C94" s="21">
        <v>7.1405999999999997E-2</v>
      </c>
      <c r="D94" s="21">
        <f t="shared" si="27"/>
        <v>0.75921353999999996</v>
      </c>
      <c r="E94" s="21">
        <f t="shared" si="28"/>
        <v>0.69830351999999996</v>
      </c>
      <c r="F94" s="18">
        <v>0.75921353999999996</v>
      </c>
      <c r="G94" s="18">
        <v>0.69830351999999996</v>
      </c>
      <c r="H94" s="20">
        <f t="shared" si="29"/>
        <v>0.71799999999999997</v>
      </c>
      <c r="I94" s="20">
        <f t="shared" si="30"/>
        <v>0.66500000000000004</v>
      </c>
      <c r="J94" s="21"/>
      <c r="K94" s="21"/>
      <c r="L94" s="18"/>
      <c r="M94" s="18"/>
      <c r="N94" s="23">
        <v>85</v>
      </c>
      <c r="O94" s="18">
        <f t="shared" si="31"/>
        <v>165</v>
      </c>
      <c r="P94" s="22" t="e">
        <f t="shared" si="25"/>
        <v>#N/A</v>
      </c>
      <c r="Q94" s="22" t="e">
        <f t="shared" si="26"/>
        <v>#N/A</v>
      </c>
      <c r="R94" s="18" t="e">
        <f t="shared" si="32"/>
        <v>#N/A</v>
      </c>
      <c r="S94" s="18" t="e">
        <f t="shared" si="33"/>
        <v>#N/A</v>
      </c>
      <c r="T94" s="18" t="e">
        <f t="shared" si="34"/>
        <v>#N/A</v>
      </c>
      <c r="U94" s="18" t="e">
        <f t="shared" si="35"/>
        <v>#N/A</v>
      </c>
      <c r="V94" s="18" t="e">
        <f t="shared" si="36"/>
        <v>#N/A</v>
      </c>
      <c r="W94" s="18" t="e">
        <f t="shared" si="37"/>
        <v>#N/A</v>
      </c>
    </row>
    <row r="95" spans="1:23" s="19" customFormat="1" x14ac:dyDescent="0.2">
      <c r="A95" s="23">
        <v>86</v>
      </c>
      <c r="B95" s="25">
        <v>0.105286</v>
      </c>
      <c r="C95" s="21">
        <v>8.1604999999999997E-2</v>
      </c>
      <c r="D95" s="21">
        <f t="shared" si="27"/>
        <v>0.75504594000000003</v>
      </c>
      <c r="E95" s="21">
        <f t="shared" si="28"/>
        <v>0.69195476</v>
      </c>
      <c r="F95" s="18">
        <v>0.75504594000000003</v>
      </c>
      <c r="G95" s="18">
        <v>0.69195476</v>
      </c>
      <c r="H95" s="20">
        <f t="shared" si="29"/>
        <v>0.71799999999999997</v>
      </c>
      <c r="I95" s="20">
        <f t="shared" si="30"/>
        <v>0.66500000000000004</v>
      </c>
      <c r="J95" s="21"/>
      <c r="K95" s="21"/>
      <c r="L95" s="18"/>
      <c r="M95" s="18"/>
      <c r="N95" s="23">
        <v>86</v>
      </c>
      <c r="O95" s="18">
        <f t="shared" si="31"/>
        <v>166</v>
      </c>
      <c r="P95" s="22" t="e">
        <f t="shared" si="25"/>
        <v>#N/A</v>
      </c>
      <c r="Q95" s="22" t="e">
        <f t="shared" si="26"/>
        <v>#N/A</v>
      </c>
      <c r="R95" s="18" t="e">
        <f t="shared" si="32"/>
        <v>#N/A</v>
      </c>
      <c r="S95" s="18" t="e">
        <f t="shared" si="33"/>
        <v>#N/A</v>
      </c>
      <c r="T95" s="18" t="e">
        <f t="shared" si="34"/>
        <v>#N/A</v>
      </c>
      <c r="U95" s="18" t="e">
        <f t="shared" si="35"/>
        <v>#N/A</v>
      </c>
      <c r="V95" s="18" t="e">
        <f t="shared" si="36"/>
        <v>#N/A</v>
      </c>
      <c r="W95" s="18" t="e">
        <f t="shared" si="37"/>
        <v>#N/A</v>
      </c>
    </row>
    <row r="96" spans="1:23" s="19" customFormat="1" x14ac:dyDescent="0.2">
      <c r="A96" s="23">
        <v>87</v>
      </c>
      <c r="B96" s="25">
        <v>0.117324</v>
      </c>
      <c r="C96" s="21">
        <v>9.2016000000000001E-2</v>
      </c>
      <c r="D96" s="21">
        <f t="shared" si="27"/>
        <v>0.75084936999999996</v>
      </c>
      <c r="E96" s="21">
        <f t="shared" si="28"/>
        <v>0.68550239000000002</v>
      </c>
      <c r="F96" s="18">
        <v>0.75084936999999996</v>
      </c>
      <c r="G96" s="18">
        <v>0.68550239000000002</v>
      </c>
      <c r="H96" s="20">
        <f t="shared" si="29"/>
        <v>0.71799999999999997</v>
      </c>
      <c r="I96" s="20">
        <f t="shared" si="30"/>
        <v>0.66500000000000004</v>
      </c>
      <c r="J96" s="21"/>
      <c r="K96" s="21"/>
      <c r="L96" s="18"/>
      <c r="M96" s="18"/>
      <c r="N96" s="23">
        <v>87</v>
      </c>
      <c r="O96" s="18">
        <f t="shared" si="31"/>
        <v>167</v>
      </c>
      <c r="P96" s="22" t="e">
        <f t="shared" si="25"/>
        <v>#N/A</v>
      </c>
      <c r="Q96" s="22" t="e">
        <f t="shared" si="26"/>
        <v>#N/A</v>
      </c>
      <c r="R96" s="18" t="e">
        <f t="shared" si="32"/>
        <v>#N/A</v>
      </c>
      <c r="S96" s="18" t="e">
        <f t="shared" si="33"/>
        <v>#N/A</v>
      </c>
      <c r="T96" s="18" t="e">
        <f t="shared" si="34"/>
        <v>#N/A</v>
      </c>
      <c r="U96" s="18" t="e">
        <f t="shared" si="35"/>
        <v>#N/A</v>
      </c>
      <c r="V96" s="18" t="e">
        <f t="shared" si="36"/>
        <v>#N/A</v>
      </c>
      <c r="W96" s="18" t="e">
        <f t="shared" si="37"/>
        <v>#N/A</v>
      </c>
    </row>
    <row r="97" spans="1:23" s="19" customFormat="1" x14ac:dyDescent="0.2">
      <c r="A97" s="23">
        <v>88</v>
      </c>
      <c r="B97" s="25">
        <v>0.131771</v>
      </c>
      <c r="C97" s="21">
        <v>0.10509400000000001</v>
      </c>
      <c r="D97" s="21">
        <f t="shared" si="27"/>
        <v>0.74662556999999996</v>
      </c>
      <c r="E97" s="21">
        <f t="shared" si="28"/>
        <v>0.67894756999999994</v>
      </c>
      <c r="F97" s="18">
        <v>0.74662556999999996</v>
      </c>
      <c r="G97" s="18">
        <v>0.67894756999999994</v>
      </c>
      <c r="H97" s="20">
        <f t="shared" si="29"/>
        <v>0.71799999999999997</v>
      </c>
      <c r="I97" s="20">
        <f t="shared" si="30"/>
        <v>0.66500000000000004</v>
      </c>
      <c r="J97" s="21"/>
      <c r="K97" s="21"/>
      <c r="L97" s="18"/>
      <c r="M97" s="18"/>
      <c r="N97" s="23">
        <v>88</v>
      </c>
      <c r="O97" s="18">
        <f t="shared" si="31"/>
        <v>168</v>
      </c>
      <c r="P97" s="22" t="e">
        <f t="shared" si="25"/>
        <v>#N/A</v>
      </c>
      <c r="Q97" s="22" t="e">
        <f t="shared" si="26"/>
        <v>#N/A</v>
      </c>
      <c r="R97" s="18" t="e">
        <f t="shared" si="32"/>
        <v>#N/A</v>
      </c>
      <c r="S97" s="18" t="e">
        <f t="shared" si="33"/>
        <v>#N/A</v>
      </c>
      <c r="T97" s="18" t="e">
        <f t="shared" si="34"/>
        <v>#N/A</v>
      </c>
      <c r="U97" s="18" t="e">
        <f t="shared" si="35"/>
        <v>#N/A</v>
      </c>
      <c r="V97" s="18" t="e">
        <f t="shared" si="36"/>
        <v>#N/A</v>
      </c>
      <c r="W97" s="18" t="e">
        <f t="shared" si="37"/>
        <v>#N/A</v>
      </c>
    </row>
    <row r="98" spans="1:23" s="19" customFormat="1" x14ac:dyDescent="0.2">
      <c r="A98" s="23">
        <v>89</v>
      </c>
      <c r="B98" s="25">
        <v>0.148173</v>
      </c>
      <c r="C98" s="21">
        <v>0.11718099999999999</v>
      </c>
      <c r="D98" s="21">
        <f t="shared" si="27"/>
        <v>0.74237635999999996</v>
      </c>
      <c r="E98" s="21">
        <f t="shared" si="28"/>
        <v>0.67229185999999996</v>
      </c>
      <c r="F98" s="18">
        <v>0.74237635999999996</v>
      </c>
      <c r="G98" s="18">
        <v>0.67229185999999996</v>
      </c>
      <c r="H98" s="20">
        <f t="shared" si="29"/>
        <v>0.71799999999999997</v>
      </c>
      <c r="I98" s="20">
        <f t="shared" si="30"/>
        <v>0.66500000000000004</v>
      </c>
      <c r="J98" s="21"/>
      <c r="K98" s="21"/>
      <c r="L98" s="18"/>
      <c r="M98" s="18"/>
      <c r="N98" s="23">
        <v>89</v>
      </c>
      <c r="O98" s="18">
        <f t="shared" si="31"/>
        <v>169</v>
      </c>
      <c r="P98" s="22" t="e">
        <f t="shared" si="25"/>
        <v>#N/A</v>
      </c>
      <c r="Q98" s="22" t="e">
        <f t="shared" si="26"/>
        <v>#N/A</v>
      </c>
      <c r="R98" s="18" t="e">
        <f t="shared" si="32"/>
        <v>#N/A</v>
      </c>
      <c r="S98" s="18" t="e">
        <f t="shared" si="33"/>
        <v>#N/A</v>
      </c>
      <c r="T98" s="18" t="e">
        <f t="shared" si="34"/>
        <v>#N/A</v>
      </c>
      <c r="U98" s="18" t="e">
        <f t="shared" si="35"/>
        <v>#N/A</v>
      </c>
      <c r="V98" s="18" t="e">
        <f t="shared" si="36"/>
        <v>#N/A</v>
      </c>
      <c r="W98" s="18" t="e">
        <f t="shared" si="37"/>
        <v>#N/A</v>
      </c>
    </row>
    <row r="99" spans="1:23" s="19" customFormat="1" x14ac:dyDescent="0.2">
      <c r="A99" s="23">
        <v>90</v>
      </c>
      <c r="B99" s="25">
        <v>0.15778800000000001</v>
      </c>
      <c r="C99" s="21">
        <v>0.13162199999999999</v>
      </c>
      <c r="D99" s="21">
        <f t="shared" si="27"/>
        <v>0.73810368999999998</v>
      </c>
      <c r="E99" s="21">
        <f t="shared" si="28"/>
        <v>0.66553728999999995</v>
      </c>
      <c r="F99" s="18">
        <v>0.73810368999999998</v>
      </c>
      <c r="G99" s="18">
        <v>0.66553728999999995</v>
      </c>
      <c r="H99" s="20">
        <f t="shared" si="29"/>
        <v>0.66300000000000003</v>
      </c>
      <c r="I99" s="20">
        <f t="shared" si="30"/>
        <v>0.66500000000000004</v>
      </c>
      <c r="J99" s="21"/>
      <c r="K99" s="21"/>
      <c r="L99" s="18"/>
      <c r="M99" s="18"/>
      <c r="N99" s="23">
        <v>90</v>
      </c>
      <c r="O99" s="18">
        <f t="shared" si="31"/>
        <v>170</v>
      </c>
      <c r="P99" s="22" t="e">
        <f t="shared" si="25"/>
        <v>#N/A</v>
      </c>
      <c r="Q99" s="22" t="e">
        <f t="shared" si="26"/>
        <v>#N/A</v>
      </c>
      <c r="R99" s="18" t="e">
        <f t="shared" si="32"/>
        <v>#N/A</v>
      </c>
      <c r="S99" s="18" t="e">
        <f t="shared" si="33"/>
        <v>#N/A</v>
      </c>
      <c r="T99" s="18" t="e">
        <f t="shared" si="34"/>
        <v>#N/A</v>
      </c>
      <c r="U99" s="18" t="e">
        <f t="shared" si="35"/>
        <v>#N/A</v>
      </c>
      <c r="V99" s="18" t="e">
        <f t="shared" si="36"/>
        <v>#N/A</v>
      </c>
      <c r="W99" s="18" t="e">
        <f t="shared" si="37"/>
        <v>#N/A</v>
      </c>
    </row>
    <row r="100" spans="1:23" s="19" customFormat="1" x14ac:dyDescent="0.2">
      <c r="A100" s="23">
        <v>91</v>
      </c>
      <c r="B100" s="25">
        <v>0.17689299999999999</v>
      </c>
      <c r="C100" s="21">
        <v>0.14793000000000001</v>
      </c>
      <c r="D100" s="21">
        <f t="shared" si="27"/>
        <v>0.73380961</v>
      </c>
      <c r="E100" s="21">
        <f t="shared" si="28"/>
        <v>0.65868643999999998</v>
      </c>
      <c r="F100" s="18">
        <v>0.73380961</v>
      </c>
      <c r="G100" s="18">
        <v>0.65868643999999998</v>
      </c>
      <c r="H100" s="20">
        <f t="shared" si="29"/>
        <v>0.66300000000000003</v>
      </c>
      <c r="I100" s="20">
        <f t="shared" si="30"/>
        <v>0.66500000000000004</v>
      </c>
      <c r="J100" s="21"/>
      <c r="K100" s="21"/>
      <c r="L100" s="18"/>
      <c r="M100" s="18"/>
      <c r="N100" s="23">
        <v>91</v>
      </c>
      <c r="O100" s="18">
        <f t="shared" si="31"/>
        <v>171</v>
      </c>
      <c r="P100" s="22" t="e">
        <f t="shared" si="25"/>
        <v>#N/A</v>
      </c>
      <c r="Q100" s="22" t="e">
        <f t="shared" si="26"/>
        <v>#N/A</v>
      </c>
      <c r="R100" s="18" t="e">
        <f t="shared" si="32"/>
        <v>#N/A</v>
      </c>
      <c r="S100" s="18" t="e">
        <f t="shared" si="33"/>
        <v>#N/A</v>
      </c>
      <c r="T100" s="18" t="e">
        <f t="shared" si="34"/>
        <v>#N/A</v>
      </c>
      <c r="U100" s="18" t="e">
        <f t="shared" si="35"/>
        <v>#N/A</v>
      </c>
      <c r="V100" s="18" t="e">
        <f t="shared" si="36"/>
        <v>#N/A</v>
      </c>
      <c r="W100" s="18" t="e">
        <f t="shared" si="37"/>
        <v>#N/A</v>
      </c>
    </row>
    <row r="101" spans="1:23" s="19" customFormat="1" x14ac:dyDescent="0.2">
      <c r="A101" s="23">
        <v>92</v>
      </c>
      <c r="B101" s="25">
        <v>0.1943</v>
      </c>
      <c r="C101" s="21">
        <v>0.16517899999999999</v>
      </c>
      <c r="D101" s="21">
        <f t="shared" si="27"/>
        <v>0.72949626000000001</v>
      </c>
      <c r="E101" s="21">
        <f t="shared" si="28"/>
        <v>0.65174239</v>
      </c>
      <c r="F101" s="18">
        <v>0.72949626000000001</v>
      </c>
      <c r="G101" s="18">
        <v>0.65174239</v>
      </c>
      <c r="H101" s="20">
        <f t="shared" si="29"/>
        <v>0.66300000000000003</v>
      </c>
      <c r="I101" s="20">
        <f t="shared" si="30"/>
        <v>0.66500000000000004</v>
      </c>
      <c r="J101" s="21"/>
      <c r="K101" s="21"/>
      <c r="L101" s="18"/>
      <c r="M101" s="18"/>
      <c r="N101" s="23">
        <v>92</v>
      </c>
      <c r="O101" s="18">
        <f t="shared" si="31"/>
        <v>172</v>
      </c>
      <c r="P101" s="22" t="e">
        <f t="shared" si="25"/>
        <v>#N/A</v>
      </c>
      <c r="Q101" s="22" t="e">
        <f t="shared" si="26"/>
        <v>#N/A</v>
      </c>
      <c r="R101" s="18" t="e">
        <f t="shared" si="32"/>
        <v>#N/A</v>
      </c>
      <c r="S101" s="18" t="e">
        <f t="shared" si="33"/>
        <v>#N/A</v>
      </c>
      <c r="T101" s="18" t="e">
        <f t="shared" si="34"/>
        <v>#N/A</v>
      </c>
      <c r="U101" s="18" t="e">
        <f t="shared" si="35"/>
        <v>#N/A</v>
      </c>
      <c r="V101" s="18" t="e">
        <f t="shared" si="36"/>
        <v>#N/A</v>
      </c>
      <c r="W101" s="18" t="e">
        <f t="shared" si="37"/>
        <v>#N/A</v>
      </c>
    </row>
    <row r="102" spans="1:23" s="19" customFormat="1" x14ac:dyDescent="0.2">
      <c r="A102" s="23">
        <v>93</v>
      </c>
      <c r="B102" s="25">
        <v>0.214033</v>
      </c>
      <c r="C102" s="21">
        <v>0.182699</v>
      </c>
      <c r="D102" s="21">
        <f t="shared" si="27"/>
        <v>0.72516592999999996</v>
      </c>
      <c r="E102" s="21">
        <f t="shared" si="28"/>
        <v>0.64470888000000004</v>
      </c>
      <c r="F102" s="18">
        <v>0.72516592999999996</v>
      </c>
      <c r="G102" s="18">
        <v>0.64470888000000004</v>
      </c>
      <c r="H102" s="20">
        <f t="shared" si="29"/>
        <v>0.66300000000000003</v>
      </c>
      <c r="I102" s="20">
        <f t="shared" si="30"/>
        <v>0.66500000000000004</v>
      </c>
      <c r="J102" s="21"/>
      <c r="K102" s="21"/>
      <c r="L102" s="18"/>
      <c r="M102" s="18"/>
      <c r="N102" s="23">
        <v>93</v>
      </c>
      <c r="O102" s="18">
        <f t="shared" si="31"/>
        <v>173</v>
      </c>
      <c r="P102" s="22" t="e">
        <f t="shared" si="25"/>
        <v>#N/A</v>
      </c>
      <c r="Q102" s="22" t="e">
        <f t="shared" si="26"/>
        <v>#N/A</v>
      </c>
      <c r="R102" s="18" t="e">
        <f t="shared" si="32"/>
        <v>#N/A</v>
      </c>
      <c r="S102" s="18" t="e">
        <f t="shared" si="33"/>
        <v>#N/A</v>
      </c>
      <c r="T102" s="18" t="e">
        <f t="shared" si="34"/>
        <v>#N/A</v>
      </c>
      <c r="U102" s="18" t="e">
        <f t="shared" si="35"/>
        <v>#N/A</v>
      </c>
      <c r="V102" s="18" t="e">
        <f t="shared" si="36"/>
        <v>#N/A</v>
      </c>
      <c r="W102" s="18" t="e">
        <f t="shared" si="37"/>
        <v>#N/A</v>
      </c>
    </row>
    <row r="103" spans="1:23" s="19" customFormat="1" x14ac:dyDescent="0.2">
      <c r="A103" s="23">
        <v>94</v>
      </c>
      <c r="B103" s="25">
        <v>0.23701800000000001</v>
      </c>
      <c r="C103" s="21">
        <v>0.20327300000000001</v>
      </c>
      <c r="D103" s="21">
        <f t="shared" si="27"/>
        <v>0.72082100000000005</v>
      </c>
      <c r="E103" s="21">
        <f t="shared" si="28"/>
        <v>0.63759025000000003</v>
      </c>
      <c r="F103" s="18">
        <v>0.72082100000000005</v>
      </c>
      <c r="G103" s="18">
        <v>0.63759025000000003</v>
      </c>
      <c r="H103" s="20">
        <f t="shared" si="29"/>
        <v>0.66300000000000003</v>
      </c>
      <c r="I103" s="20">
        <f t="shared" si="30"/>
        <v>0.66500000000000004</v>
      </c>
      <c r="J103" s="21"/>
      <c r="K103" s="21"/>
      <c r="L103" s="18"/>
      <c r="M103" s="18"/>
      <c r="N103" s="23">
        <v>94</v>
      </c>
      <c r="O103" s="18">
        <f t="shared" si="31"/>
        <v>174</v>
      </c>
      <c r="P103" s="22" t="e">
        <f t="shared" si="25"/>
        <v>#N/A</v>
      </c>
      <c r="Q103" s="22" t="e">
        <f t="shared" si="26"/>
        <v>#N/A</v>
      </c>
      <c r="R103" s="18" t="e">
        <f t="shared" si="32"/>
        <v>#N/A</v>
      </c>
      <c r="S103" s="18" t="e">
        <f t="shared" si="33"/>
        <v>#N/A</v>
      </c>
      <c r="T103" s="18" t="e">
        <f t="shared" si="34"/>
        <v>#N/A</v>
      </c>
      <c r="U103" s="18" t="e">
        <f t="shared" si="35"/>
        <v>#N/A</v>
      </c>
      <c r="V103" s="18" t="e">
        <f t="shared" si="36"/>
        <v>#N/A</v>
      </c>
      <c r="W103" s="18" t="e">
        <f t="shared" si="37"/>
        <v>#N/A</v>
      </c>
    </row>
    <row r="104" spans="1:23" s="19" customFormat="1" x14ac:dyDescent="0.2">
      <c r="A104" s="23">
        <v>95</v>
      </c>
      <c r="B104" s="25">
        <v>0.26174500000000001</v>
      </c>
      <c r="C104" s="21">
        <v>0.226544</v>
      </c>
      <c r="D104" s="21">
        <f t="shared" si="27"/>
        <v>0.71646399000000005</v>
      </c>
      <c r="E104" s="21">
        <f t="shared" si="28"/>
        <v>0.63039157999999995</v>
      </c>
      <c r="F104" s="18">
        <v>0.71646399000000005</v>
      </c>
      <c r="G104" s="18">
        <v>0.63039157999999995</v>
      </c>
      <c r="H104" s="20">
        <f t="shared" si="29"/>
        <v>0.66300000000000003</v>
      </c>
      <c r="I104" s="20">
        <f t="shared" si="30"/>
        <v>0.66500000000000004</v>
      </c>
      <c r="J104" s="21"/>
      <c r="K104" s="21"/>
      <c r="L104" s="18"/>
      <c r="M104" s="18"/>
      <c r="N104" s="23">
        <v>95</v>
      </c>
      <c r="O104" s="18">
        <f t="shared" si="31"/>
        <v>175</v>
      </c>
      <c r="P104" s="22" t="e">
        <f t="shared" ref="P104:P109" si="38">P103-P103*VLOOKUP(O103,lifetable,2,FALSE)</f>
        <v>#N/A</v>
      </c>
      <c r="Q104" s="22" t="e">
        <f t="shared" ref="Q104:Q109" si="39">Q103-Q103*VLOOKUP(O103,lifetable,3,FALSE)</f>
        <v>#N/A</v>
      </c>
      <c r="R104" s="18" t="e">
        <f t="shared" si="32"/>
        <v>#N/A</v>
      </c>
      <c r="S104" s="18" t="e">
        <f t="shared" si="33"/>
        <v>#N/A</v>
      </c>
      <c r="T104" s="18" t="e">
        <f t="shared" si="34"/>
        <v>#N/A</v>
      </c>
      <c r="U104" s="18" t="e">
        <f t="shared" si="35"/>
        <v>#N/A</v>
      </c>
      <c r="V104" s="18" t="e">
        <f t="shared" si="36"/>
        <v>#N/A</v>
      </c>
      <c r="W104" s="18" t="e">
        <f t="shared" si="37"/>
        <v>#N/A</v>
      </c>
    </row>
    <row r="105" spans="1:23" s="19" customFormat="1" x14ac:dyDescent="0.2">
      <c r="A105" s="23">
        <v>96</v>
      </c>
      <c r="B105" s="25">
        <v>0.290462</v>
      </c>
      <c r="C105" s="21">
        <v>0.25041999999999998</v>
      </c>
      <c r="D105" s="21">
        <f t="shared" ref="D105:D110" si="40">IF(util=1,F105,IF(util=2,H105,"err"))</f>
        <v>0.71209750999999999</v>
      </c>
      <c r="E105" s="21">
        <f t="shared" ref="E105:E110" si="41">IF(util=1,G105,IF(util=2,I105,"err"))</f>
        <v>0.62311863999999995</v>
      </c>
      <c r="F105" s="18">
        <v>0.71209750999999999</v>
      </c>
      <c r="G105" s="18">
        <v>0.62311863999999995</v>
      </c>
      <c r="H105" s="20">
        <f t="shared" si="29"/>
        <v>0.66300000000000003</v>
      </c>
      <c r="I105" s="20">
        <f t="shared" ref="I105:I110" si="42">VLOOKUP($A105,$K$9:$M$26,3)</f>
        <v>0.66500000000000004</v>
      </c>
      <c r="J105" s="21"/>
      <c r="K105" s="21"/>
      <c r="L105" s="18"/>
      <c r="M105" s="18"/>
      <c r="N105" s="23">
        <v>96</v>
      </c>
      <c r="O105" s="18">
        <f t="shared" ref="O105:O136" si="43">Age+N105</f>
        <v>176</v>
      </c>
      <c r="P105" s="22" t="e">
        <f t="shared" si="38"/>
        <v>#N/A</v>
      </c>
      <c r="Q105" s="22" t="e">
        <f t="shared" si="39"/>
        <v>#N/A</v>
      </c>
      <c r="R105" s="18" t="e">
        <f t="shared" si="32"/>
        <v>#N/A</v>
      </c>
      <c r="S105" s="18" t="e">
        <f t="shared" si="33"/>
        <v>#N/A</v>
      </c>
      <c r="T105" s="18" t="e">
        <f t="shared" si="34"/>
        <v>#N/A</v>
      </c>
      <c r="U105" s="18" t="e">
        <f t="shared" si="35"/>
        <v>#N/A</v>
      </c>
      <c r="V105" s="18" t="e">
        <f t="shared" si="36"/>
        <v>#N/A</v>
      </c>
      <c r="W105" s="18" t="e">
        <f t="shared" si="37"/>
        <v>#N/A</v>
      </c>
    </row>
    <row r="106" spans="1:23" s="19" customFormat="1" x14ac:dyDescent="0.2">
      <c r="A106" s="23">
        <v>97</v>
      </c>
      <c r="B106" s="25">
        <v>0.30513800000000002</v>
      </c>
      <c r="C106" s="21">
        <v>0.26713999999999999</v>
      </c>
      <c r="D106" s="21">
        <f t="shared" si="40"/>
        <v>0.70772433999999995</v>
      </c>
      <c r="E106" s="21">
        <f t="shared" si="41"/>
        <v>0.61577799</v>
      </c>
      <c r="F106" s="18">
        <v>0.70772433999999995</v>
      </c>
      <c r="G106" s="18">
        <v>0.61577799</v>
      </c>
      <c r="H106" s="20">
        <f t="shared" si="29"/>
        <v>0.66300000000000003</v>
      </c>
      <c r="I106" s="20">
        <f t="shared" si="42"/>
        <v>0.66500000000000004</v>
      </c>
      <c r="J106" s="21"/>
      <c r="K106" s="21"/>
      <c r="L106" s="18"/>
      <c r="M106" s="18"/>
      <c r="N106" s="23">
        <v>97</v>
      </c>
      <c r="O106" s="18">
        <f t="shared" si="43"/>
        <v>177</v>
      </c>
      <c r="P106" s="22" t="e">
        <f t="shared" si="38"/>
        <v>#N/A</v>
      </c>
      <c r="Q106" s="22" t="e">
        <f t="shared" si="39"/>
        <v>#N/A</v>
      </c>
      <c r="R106" s="18" t="e">
        <f t="shared" si="32"/>
        <v>#N/A</v>
      </c>
      <c r="S106" s="18" t="e">
        <f t="shared" si="33"/>
        <v>#N/A</v>
      </c>
      <c r="T106" s="18" t="e">
        <f t="shared" si="34"/>
        <v>#N/A</v>
      </c>
      <c r="U106" s="18" t="e">
        <f t="shared" si="35"/>
        <v>#N/A</v>
      </c>
      <c r="V106" s="18" t="e">
        <f t="shared" si="36"/>
        <v>#N/A</v>
      </c>
      <c r="W106" s="18" t="e">
        <f t="shared" si="37"/>
        <v>#N/A</v>
      </c>
    </row>
    <row r="107" spans="1:23" s="19" customFormat="1" x14ac:dyDescent="0.2">
      <c r="A107" s="23">
        <v>98</v>
      </c>
      <c r="B107" s="25">
        <v>0.326401</v>
      </c>
      <c r="C107" s="21">
        <v>0.29338900000000001</v>
      </c>
      <c r="D107" s="21">
        <f t="shared" si="40"/>
        <v>0.70334735999999998</v>
      </c>
      <c r="E107" s="21">
        <f t="shared" si="41"/>
        <v>0.60837695999999997</v>
      </c>
      <c r="F107" s="18">
        <v>0.70334735999999998</v>
      </c>
      <c r="G107" s="18">
        <v>0.60837695999999997</v>
      </c>
      <c r="H107" s="20">
        <f t="shared" si="29"/>
        <v>0.66300000000000003</v>
      </c>
      <c r="I107" s="20">
        <f t="shared" si="42"/>
        <v>0.66500000000000004</v>
      </c>
      <c r="J107" s="21"/>
      <c r="K107" s="21"/>
      <c r="L107" s="18"/>
      <c r="M107" s="18"/>
      <c r="N107" s="23">
        <v>98</v>
      </c>
      <c r="O107" s="18">
        <f t="shared" si="43"/>
        <v>178</v>
      </c>
      <c r="P107" s="22" t="e">
        <f t="shared" si="38"/>
        <v>#N/A</v>
      </c>
      <c r="Q107" s="22" t="e">
        <f t="shared" si="39"/>
        <v>#N/A</v>
      </c>
      <c r="R107" s="18" t="e">
        <f t="shared" si="32"/>
        <v>#N/A</v>
      </c>
      <c r="S107" s="18" t="e">
        <f t="shared" si="33"/>
        <v>#N/A</v>
      </c>
      <c r="T107" s="18" t="e">
        <f t="shared" si="34"/>
        <v>#N/A</v>
      </c>
      <c r="U107" s="18" t="e">
        <f t="shared" si="35"/>
        <v>#N/A</v>
      </c>
      <c r="V107" s="18" t="e">
        <f t="shared" si="36"/>
        <v>#N/A</v>
      </c>
      <c r="W107" s="18" t="e">
        <f t="shared" si="37"/>
        <v>#N/A</v>
      </c>
    </row>
    <row r="108" spans="1:23" s="19" customFormat="1" x14ac:dyDescent="0.2">
      <c r="A108" s="23">
        <v>99</v>
      </c>
      <c r="B108" s="25">
        <v>0.36866500000000002</v>
      </c>
      <c r="C108" s="21">
        <v>0.31467800000000001</v>
      </c>
      <c r="D108" s="21">
        <f t="shared" si="40"/>
        <v>0.69896955999999999</v>
      </c>
      <c r="E108" s="21">
        <f t="shared" si="41"/>
        <v>0.60092374999999998</v>
      </c>
      <c r="F108" s="18">
        <v>0.69896955999999999</v>
      </c>
      <c r="G108" s="18">
        <v>0.60092374999999998</v>
      </c>
      <c r="H108" s="20">
        <f t="shared" si="29"/>
        <v>0.66300000000000003</v>
      </c>
      <c r="I108" s="20">
        <f t="shared" si="42"/>
        <v>0.66500000000000004</v>
      </c>
      <c r="J108" s="21"/>
      <c r="K108" s="21"/>
      <c r="L108" s="18"/>
      <c r="M108" s="18"/>
      <c r="N108" s="23">
        <v>99</v>
      </c>
      <c r="O108" s="18">
        <f t="shared" si="43"/>
        <v>179</v>
      </c>
      <c r="P108" s="22" t="e">
        <f t="shared" si="38"/>
        <v>#N/A</v>
      </c>
      <c r="Q108" s="22" t="e">
        <f t="shared" si="39"/>
        <v>#N/A</v>
      </c>
      <c r="R108" s="18" t="e">
        <f t="shared" si="32"/>
        <v>#N/A</v>
      </c>
      <c r="S108" s="18" t="e">
        <f t="shared" si="33"/>
        <v>#N/A</v>
      </c>
      <c r="T108" s="18" t="e">
        <f t="shared" si="34"/>
        <v>#N/A</v>
      </c>
      <c r="U108" s="18" t="e">
        <f t="shared" si="35"/>
        <v>#N/A</v>
      </c>
      <c r="V108" s="18" t="e">
        <f t="shared" si="36"/>
        <v>#N/A</v>
      </c>
      <c r="W108" s="18" t="e">
        <f t="shared" si="37"/>
        <v>#N/A</v>
      </c>
    </row>
    <row r="109" spans="1:23" s="19" customFormat="1" x14ac:dyDescent="0.2">
      <c r="A109" s="23">
        <v>100</v>
      </c>
      <c r="B109" s="18">
        <v>0.38807000000000003</v>
      </c>
      <c r="C109" s="24">
        <v>0.35030600000000001</v>
      </c>
      <c r="D109" s="21">
        <f t="shared" si="40"/>
        <v>0.69459409999999999</v>
      </c>
      <c r="E109" s="21">
        <f t="shared" si="41"/>
        <v>0.59342735999999996</v>
      </c>
      <c r="F109" s="18">
        <v>0.69459409999999999</v>
      </c>
      <c r="G109" s="18">
        <v>0.59342735999999996</v>
      </c>
      <c r="H109" s="20">
        <f t="shared" si="29"/>
        <v>0.66300000000000003</v>
      </c>
      <c r="I109" s="20">
        <f t="shared" si="42"/>
        <v>0.66500000000000004</v>
      </c>
      <c r="J109" s="24"/>
      <c r="K109" s="24"/>
      <c r="L109" s="18"/>
      <c r="M109" s="18"/>
      <c r="N109" s="23">
        <v>100</v>
      </c>
      <c r="O109" s="18">
        <f t="shared" si="43"/>
        <v>180</v>
      </c>
      <c r="P109" s="22" t="e">
        <f t="shared" si="38"/>
        <v>#N/A</v>
      </c>
      <c r="Q109" s="22" t="e">
        <f t="shared" si="39"/>
        <v>#N/A</v>
      </c>
      <c r="R109" s="18" t="e">
        <f t="shared" si="32"/>
        <v>#N/A</v>
      </c>
      <c r="S109" s="18" t="e">
        <f t="shared" si="33"/>
        <v>#N/A</v>
      </c>
      <c r="T109" s="18" t="e">
        <f t="shared" si="34"/>
        <v>#N/A</v>
      </c>
      <c r="U109" s="18" t="e">
        <f t="shared" si="35"/>
        <v>#N/A</v>
      </c>
      <c r="V109" s="18" t="e">
        <f t="shared" si="36"/>
        <v>#N/A</v>
      </c>
      <c r="W109" s="18" t="e">
        <f t="shared" si="37"/>
        <v>#N/A</v>
      </c>
    </row>
    <row r="110" spans="1:23" s="19" customFormat="1" x14ac:dyDescent="0.2">
      <c r="A110" s="18"/>
      <c r="B110" s="18"/>
      <c r="C110" s="18"/>
      <c r="D110" s="21">
        <f t="shared" si="40"/>
        <v>0.69022424999999998</v>
      </c>
      <c r="E110" s="21">
        <f t="shared" si="41"/>
        <v>0.58589765999999999</v>
      </c>
      <c r="F110" s="18">
        <v>0.69022424999999998</v>
      </c>
      <c r="G110" s="18">
        <v>0.58589765999999999</v>
      </c>
      <c r="H110" s="20"/>
      <c r="I110" s="20">
        <f t="shared" si="42"/>
        <v>0.88100000000000001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2:V34"/>
  <sheetViews>
    <sheetView tabSelected="1" topLeftCell="F1" workbookViewId="0">
      <selection activeCell="V34" sqref="V34"/>
    </sheetView>
  </sheetViews>
  <sheetFormatPr baseColWidth="10" defaultRowHeight="16" x14ac:dyDescent="0.2"/>
  <cols>
    <col min="1" max="1" width="15.83203125" style="12" customWidth="1"/>
    <col min="2" max="2" width="15.5" customWidth="1"/>
    <col min="3" max="3" width="14.1640625" customWidth="1"/>
    <col min="4" max="4" width="14.83203125" customWidth="1"/>
    <col min="5" max="5" width="15.83203125" customWidth="1"/>
    <col min="6" max="6" width="25.1640625" customWidth="1"/>
    <col min="7" max="8" width="10.83203125" customWidth="1"/>
    <col min="9" max="9" width="18.1640625" customWidth="1"/>
    <col min="10" max="10" width="14.83203125" customWidth="1"/>
    <col min="13" max="13" width="11.33203125" customWidth="1"/>
  </cols>
  <sheetData>
    <row r="2" spans="1:22" ht="17" x14ac:dyDescent="0.2">
      <c r="B2" s="77" t="s">
        <v>34</v>
      </c>
      <c r="C2" s="77"/>
      <c r="D2" s="77"/>
      <c r="E2" s="77"/>
      <c r="F2" s="68"/>
      <c r="G2" s="9" t="s">
        <v>30</v>
      </c>
      <c r="H2" s="9"/>
      <c r="I2" s="9"/>
      <c r="J2" s="67"/>
      <c r="K2" s="9" t="s">
        <v>31</v>
      </c>
      <c r="L2" s="9"/>
      <c r="M2" s="9"/>
      <c r="N2" s="67"/>
      <c r="O2" s="9" t="s">
        <v>32</v>
      </c>
      <c r="P2" s="9"/>
      <c r="Q2" s="9"/>
      <c r="R2" s="67"/>
      <c r="S2" s="9" t="s">
        <v>33</v>
      </c>
      <c r="T2" s="9"/>
      <c r="U2" s="9"/>
      <c r="V2" s="67"/>
    </row>
    <row r="3" spans="1:22" ht="34" x14ac:dyDescent="0.2">
      <c r="A3" s="9" t="s">
        <v>0</v>
      </c>
      <c r="B3" s="9" t="s">
        <v>30</v>
      </c>
      <c r="C3" s="9" t="s">
        <v>31</v>
      </c>
      <c r="D3" s="9" t="s">
        <v>32</v>
      </c>
      <c r="E3" s="10" t="s">
        <v>33</v>
      </c>
      <c r="F3" s="65" t="s">
        <v>93</v>
      </c>
      <c r="G3" s="9" t="s">
        <v>90</v>
      </c>
      <c r="H3" s="67" t="s">
        <v>92</v>
      </c>
      <c r="I3" s="9" t="s">
        <v>91</v>
      </c>
      <c r="J3" s="67" t="s">
        <v>92</v>
      </c>
      <c r="K3" s="9" t="s">
        <v>90</v>
      </c>
      <c r="L3" s="67" t="s">
        <v>92</v>
      </c>
      <c r="M3" s="9" t="s">
        <v>91</v>
      </c>
      <c r="N3" s="67" t="s">
        <v>92</v>
      </c>
      <c r="O3" s="9" t="s">
        <v>90</v>
      </c>
      <c r="P3" s="67" t="s">
        <v>92</v>
      </c>
      <c r="Q3" s="9" t="s">
        <v>91</v>
      </c>
      <c r="R3" s="67" t="s">
        <v>92</v>
      </c>
      <c r="S3" s="9" t="s">
        <v>90</v>
      </c>
      <c r="T3" s="67" t="s">
        <v>92</v>
      </c>
      <c r="U3" s="9" t="s">
        <v>91</v>
      </c>
      <c r="V3" s="67" t="s">
        <v>92</v>
      </c>
    </row>
    <row r="4" spans="1:22" x14ac:dyDescent="0.2">
      <c r="A4" s="12">
        <v>50</v>
      </c>
      <c r="B4" s="7">
        <f>(Stage4to1!F2*Stage4to1!C2+Stage3to1!F2*Stage3to1!C2+Stage2to1!F2*Stage2to1!C2+Stage1to1!F2*Stage1to1!C2)/(Stage4to1!C2+Stage3to1!C2+Stage2to1!C2+Stage1to1!C2)</f>
        <v>3.883279845122543</v>
      </c>
      <c r="C4" s="7">
        <f>(Stage4to2!F2*Stage4to2!C2+Stage3to2!F2*Stage3to2!C2+Stage2to2!F2*Stage2to2!C2)/(Stage4to2!C2+Stage3to2!C2+Stage2to2!C2)</f>
        <v>2.9973705642476731</v>
      </c>
      <c r="D4" s="7">
        <f>(Stage4to3!F2*Stage4to3!C2+Stage3to3!F2*Stage3to3!C2)/(Stage4to3!C2+Stage3to3!C2)</f>
        <v>2.2545527915270842</v>
      </c>
      <c r="E4" s="7">
        <f>Stage4to4!F2</f>
        <v>1.3878623898067632</v>
      </c>
      <c r="F4" s="66">
        <v>15.926122000508569</v>
      </c>
      <c r="G4" s="64">
        <f>F4-B4</f>
        <v>12.042842155386026</v>
      </c>
      <c r="H4" s="70">
        <f>IF(G4&lt;12,1,IF(G4&lt;18,1.2,1.7))</f>
        <v>1.2</v>
      </c>
      <c r="I4">
        <f>G4/F4</f>
        <v>0.75616915122221606</v>
      </c>
      <c r="J4" s="68">
        <f>IF(I4&lt;0.85,1,IF(I4&lt;0.95,1.2,1.7))</f>
        <v>1</v>
      </c>
      <c r="K4" s="64">
        <f>F4-C4</f>
        <v>12.928751436260896</v>
      </c>
      <c r="L4" s="70">
        <f>IF(K4&lt;12,1,IF(K4&lt;18,1.2,1.7))</f>
        <v>1.2</v>
      </c>
      <c r="M4">
        <f>K4/$F4</f>
        <v>0.81179532819402256</v>
      </c>
      <c r="N4" s="68">
        <f>IF(M4&lt;0.85,1,IF(M4&lt;0.95,1.2,1.7))</f>
        <v>1</v>
      </c>
      <c r="O4" s="64">
        <f>F4-D4</f>
        <v>13.671569208981484</v>
      </c>
      <c r="P4" s="70">
        <f>IF(O4&lt;12,1,IF(O4&lt;18,1.2,1.7))</f>
        <v>1.2</v>
      </c>
      <c r="Q4">
        <f>O4/$F4</f>
        <v>0.85843680015416879</v>
      </c>
      <c r="R4" s="71">
        <f>IF(Q4&lt;0.85,1,IF(Q4&lt;0.95,1.2,1.7))</f>
        <v>1.2</v>
      </c>
      <c r="S4" s="64">
        <f>F4-E4</f>
        <v>14.538259610701806</v>
      </c>
      <c r="T4" s="70">
        <f>IF(S4&lt;12,1,IF(S4&lt;18,1.2,1.7))</f>
        <v>1.2</v>
      </c>
      <c r="U4">
        <f>S4/F4</f>
        <v>0.91285622515246057</v>
      </c>
      <c r="V4" s="69">
        <f>IF(U4&lt;0.85,1,IF(U4&lt;0.95,1.2,1.7))</f>
        <v>1.2</v>
      </c>
    </row>
    <row r="5" spans="1:22" x14ac:dyDescent="0.2">
      <c r="A5" s="12">
        <v>51</v>
      </c>
      <c r="B5" s="7">
        <f>(Stage4to1!F3*Stage4to1!C3+Stage3to1!F3*Stage3to1!C3+Stage2to1!F3*Stage2to1!C3+Stage1to1!F3*Stage1to1!C3)/(Stage4to1!C3+Stage3to1!C3+Stage2to1!C3+Stage1to1!C3)</f>
        <v>3.7804777033199346</v>
      </c>
      <c r="C5" s="7">
        <f>(Stage4to2!F3*Stage4to2!C3+Stage3to2!F3*Stage3to2!D3+Stage2to2!F3*Stage2to2!C3)/(Stage4to2!C3+Stage3to2!D3+Stage2to2!C3)</f>
        <v>3.7395920351824028</v>
      </c>
      <c r="D5" s="7">
        <f>(Stage4to3!F3*Stage4to3!C3+Stage3to3!F3*Stage3to3!C3)/(Stage4to3!C3+Stage3to3!C3)</f>
        <v>2.2514389420997936</v>
      </c>
      <c r="E5" s="7">
        <f>Stage4to4!F3</f>
        <v>1.3878623898067632</v>
      </c>
      <c r="F5" s="66">
        <v>15.626546505635281</v>
      </c>
      <c r="G5" s="64">
        <f>F5-B5</f>
        <v>11.846068802315346</v>
      </c>
      <c r="H5" s="78">
        <f t="shared" ref="H5:H34" si="0">IF(G5&lt;12,1,IF(G5&lt;18,1.2,1.7))</f>
        <v>1</v>
      </c>
      <c r="I5">
        <f t="shared" ref="I5:I34" si="1">G5/F5</f>
        <v>0.75807337200470937</v>
      </c>
      <c r="J5" s="68">
        <f t="shared" ref="J5:J34" si="2">IF(I5&lt;0.85,1,IF(I5&lt;0.95,1.2,1.7))</f>
        <v>1</v>
      </c>
      <c r="K5" s="64">
        <f t="shared" ref="K5:K34" si="3">F5-C5</f>
        <v>11.886954470452878</v>
      </c>
      <c r="L5" s="78">
        <f>IF(K5&lt;12,1,IF(K5&lt;18,1.2,1.7))</f>
        <v>1</v>
      </c>
      <c r="M5">
        <f>K5/$F5</f>
        <v>0.76068979580140617</v>
      </c>
      <c r="N5" s="68">
        <f t="shared" ref="N5:N34" si="4">IF(M5&lt;0.85,1,IF(M5&lt;0.95,1.2,1.7))</f>
        <v>1</v>
      </c>
      <c r="O5" s="64">
        <f t="shared" ref="O5:O34" si="5">F5-D5</f>
        <v>13.375107563535487</v>
      </c>
      <c r="P5" s="70">
        <f t="shared" ref="P5:P34" si="6">IF(O5&lt;12,1,IF(O5&lt;18,1.2,1.7))</f>
        <v>1.2</v>
      </c>
      <c r="Q5">
        <f>O5/$F5</f>
        <v>0.85592216800507548</v>
      </c>
      <c r="R5" s="71">
        <f t="shared" ref="R5:R34" si="7">IF(Q5&lt;0.85,1,IF(Q5&lt;0.95,1.2,1.7))</f>
        <v>1.2</v>
      </c>
      <c r="S5" s="64">
        <f t="shared" ref="S5:S34" si="8">F5-E5</f>
        <v>14.238684115828518</v>
      </c>
      <c r="T5" s="70">
        <f t="shared" ref="T5:T34" si="9">IF(S5&lt;12,1,IF(S5&lt;18,1.2,1.7))</f>
        <v>1.2</v>
      </c>
      <c r="U5">
        <f t="shared" ref="U5:U6" si="10">S5/F5</f>
        <v>0.91118559757869289</v>
      </c>
      <c r="V5" s="69">
        <f t="shared" ref="V5:V34" si="11">IF(U5&lt;0.85,1,IF(U5&lt;0.95,1.2,1.7))</f>
        <v>1.2</v>
      </c>
    </row>
    <row r="6" spans="1:22" x14ac:dyDescent="0.2">
      <c r="A6" s="12">
        <v>52</v>
      </c>
      <c r="B6" s="7">
        <f>(Stage4to1!F4*Stage4to1!C4+Stage3to1!F4*Stage3to1!C4+Stage2to1!F4*Stage2to1!C4+Stage1to1!F4*Stage1to1!C4)/(Stage4to1!C4+Stage3to1!C4+Stage2to1!C4+Stage1to1!C4)</f>
        <v>3.7409630088154908</v>
      </c>
      <c r="C6" s="7">
        <f>(Stage4to2!F4*Stage4to2!C4+Stage3to2!F4*Stage3to2!C4+Stage2to2!F4*Stage2to2!C4)/(Stage4to2!C4+Stage3to2!C4+Stage2to2!C4)</f>
        <v>2.923061863757686</v>
      </c>
      <c r="D6" s="7">
        <f>(Stage4to3!F4*Stage4to3!C4+Stage3to3!F4*Stage3to3!C4)/(Stage4to3!C4+Stage3to3!C4)</f>
        <v>2.2378267025863372</v>
      </c>
      <c r="E6" s="7">
        <f>Stage4to4!F4</f>
        <v>1.3878623898067632</v>
      </c>
      <c r="F6" s="66">
        <v>15.322131149663623</v>
      </c>
      <c r="G6" s="64">
        <f t="shared" ref="G6:G34" si="12">F6-B6</f>
        <v>11.581168140848131</v>
      </c>
      <c r="H6" s="64">
        <f t="shared" si="0"/>
        <v>1</v>
      </c>
      <c r="I6">
        <f t="shared" si="1"/>
        <v>0.75584577809219322</v>
      </c>
      <c r="J6" s="68">
        <f t="shared" si="2"/>
        <v>1</v>
      </c>
      <c r="K6" s="64">
        <f t="shared" si="3"/>
        <v>12.399069285905936</v>
      </c>
      <c r="L6" s="70">
        <f t="shared" ref="L6:L34" si="13">IF(K6&lt;12,1,IF(K6&lt;18,1.2,1.7))</f>
        <v>1.2</v>
      </c>
      <c r="M6">
        <f t="shared" ref="M6:M34" si="14">K6/$F6</f>
        <v>0.8092261556042184</v>
      </c>
      <c r="N6" s="68">
        <f t="shared" si="4"/>
        <v>1</v>
      </c>
      <c r="O6" s="64">
        <f t="shared" si="5"/>
        <v>13.084304447077285</v>
      </c>
      <c r="P6" s="70">
        <f t="shared" si="6"/>
        <v>1.2</v>
      </c>
      <c r="Q6">
        <f t="shared" ref="Q6:Q33" si="15">O6/$F6</f>
        <v>0.8539480780625307</v>
      </c>
      <c r="R6" s="71">
        <f t="shared" si="7"/>
        <v>1.2</v>
      </c>
      <c r="S6" s="64">
        <f t="shared" si="8"/>
        <v>13.93426875985686</v>
      </c>
      <c r="T6" s="70">
        <f t="shared" si="9"/>
        <v>1.2</v>
      </c>
      <c r="U6">
        <f t="shared" si="10"/>
        <v>0.9094210605397911</v>
      </c>
      <c r="V6" s="69">
        <f t="shared" si="11"/>
        <v>1.2</v>
      </c>
    </row>
    <row r="7" spans="1:22" x14ac:dyDescent="0.2">
      <c r="A7" s="12">
        <v>53</v>
      </c>
      <c r="B7" s="7">
        <f>(Stage4to1!F5*Stage4to1!C5+Stage3to1!F5*Stage3to1!C5+Stage2to1!F5*Stage2to1!C5+Stage1to1!F5*Stage1to1!C5)/(Stage4to1!C5+Stage3to1!C5+Stage2to1!C5+Stage1to1!C5)</f>
        <v>3.7208410668113507</v>
      </c>
      <c r="C7" s="7">
        <f>(Stage4to2!F5*Stage4to2!C5+Stage3to2!F5*Stage3to2!C5+Stage2to2!F5*Stage2to2!C5)/(Stage4to2!C5+Stage3to2!C5+Stage2to2!C5)</f>
        <v>2.8571874046319983</v>
      </c>
      <c r="D7" s="7">
        <f>(Stage4to3!F5*Stage4to3!C5+Stage3to3!F5*Stage3to3!C5)/(Stage4to3!C5+Stage3to3!C5)</f>
        <v>2.1934221311869702</v>
      </c>
      <c r="E7" s="7">
        <f>Stage4to4!F5</f>
        <v>1.3814874473913044</v>
      </c>
      <c r="F7" s="66">
        <v>15.012754432058637</v>
      </c>
      <c r="G7" s="64">
        <f t="shared" si="12"/>
        <v>11.291913365247286</v>
      </c>
      <c r="H7" s="64">
        <f t="shared" si="0"/>
        <v>1</v>
      </c>
      <c r="I7">
        <f t="shared" si="1"/>
        <v>0.75215467064020125</v>
      </c>
      <c r="J7" s="68">
        <f t="shared" si="2"/>
        <v>1</v>
      </c>
      <c r="K7" s="64">
        <f t="shared" si="3"/>
        <v>12.155567027426638</v>
      </c>
      <c r="L7" s="70">
        <f t="shared" si="13"/>
        <v>1.2</v>
      </c>
      <c r="M7">
        <f t="shared" si="14"/>
        <v>0.80968266565856262</v>
      </c>
      <c r="N7" s="68">
        <f t="shared" si="4"/>
        <v>1</v>
      </c>
      <c r="O7" s="64">
        <f t="shared" si="5"/>
        <v>12.819332300871666</v>
      </c>
      <c r="P7" s="70">
        <f>IF(O7&lt;12,1,IF(O7&lt;18,1.2,1.7))</f>
        <v>1.2</v>
      </c>
      <c r="Q7">
        <f>O7/$F7</f>
        <v>0.85389608941427309</v>
      </c>
      <c r="R7" s="71">
        <f t="shared" si="7"/>
        <v>1.2</v>
      </c>
      <c r="S7" s="64">
        <f t="shared" si="8"/>
        <v>13.631266984667333</v>
      </c>
      <c r="T7" s="70">
        <f t="shared" si="9"/>
        <v>1.2</v>
      </c>
      <c r="U7">
        <f t="shared" ref="U7:U34" si="16">S7/F7</f>
        <v>0.90797908181051445</v>
      </c>
      <c r="V7" s="69">
        <f t="shared" si="11"/>
        <v>1.2</v>
      </c>
    </row>
    <row r="8" spans="1:22" x14ac:dyDescent="0.2">
      <c r="A8" s="12">
        <v>54</v>
      </c>
      <c r="B8" s="7">
        <f>(Stage4to1!F6*Stage4to1!C6+Stage3to1!F6*Stage3to1!C6+Stage2to1!F6*Stage2to1!C6+Stage1to1!F6*Stage1to1!C6)/(Stage4to1!C6+Stage3to1!C6+Stage2to1!C6+Stage1to1!C6)</f>
        <v>3.7270800689037218</v>
      </c>
      <c r="C8" s="7">
        <f>(Stage4to2!F6*Stage4to2!C6+Stage3to2!F6*Stage3to2!C6+Stage2to2!F6*Stage2to2!C6)/(Stage4to2!C6+Stage3to2!C6+Stage2to2!C6)</f>
        <v>2.8879178194211073</v>
      </c>
      <c r="D8" s="7">
        <f>(Stage4to3!F6*Stage4to3!C6+Stage3to3!F6*Stage3to3!C6)/(Stage4to3!C6+Stage3to3!C6)</f>
        <v>2.0040733193946783</v>
      </c>
      <c r="E8" s="7">
        <f>Stage4to4!F6</f>
        <v>1.3746094473913042</v>
      </c>
      <c r="F8" s="66">
        <v>14.697495065074159</v>
      </c>
      <c r="G8" s="64">
        <f t="shared" si="12"/>
        <v>10.970414996170437</v>
      </c>
      <c r="H8" s="64">
        <f t="shared" si="0"/>
        <v>1</v>
      </c>
      <c r="I8">
        <f t="shared" si="1"/>
        <v>0.74641392615531954</v>
      </c>
      <c r="J8" s="68">
        <f t="shared" si="2"/>
        <v>1</v>
      </c>
      <c r="K8" s="64">
        <f t="shared" si="3"/>
        <v>11.809577245653053</v>
      </c>
      <c r="L8" s="78">
        <f t="shared" si="13"/>
        <v>1</v>
      </c>
      <c r="M8">
        <f t="shared" si="14"/>
        <v>0.80350952277006016</v>
      </c>
      <c r="N8" s="68">
        <f t="shared" si="4"/>
        <v>1</v>
      </c>
      <c r="O8" s="64">
        <f t="shared" si="5"/>
        <v>12.693421745679482</v>
      </c>
      <c r="P8" s="70">
        <f t="shared" si="6"/>
        <v>1.2</v>
      </c>
      <c r="Q8">
        <f t="shared" si="15"/>
        <v>0.86364524631432049</v>
      </c>
      <c r="R8" s="71">
        <f t="shared" si="7"/>
        <v>1.2</v>
      </c>
      <c r="S8" s="64">
        <f t="shared" si="8"/>
        <v>13.322885617682855</v>
      </c>
      <c r="T8" s="64">
        <f t="shared" si="9"/>
        <v>1.2</v>
      </c>
      <c r="U8">
        <f t="shared" si="16"/>
        <v>0.90647321592522212</v>
      </c>
      <c r="V8" s="69">
        <f t="shared" si="11"/>
        <v>1.2</v>
      </c>
    </row>
    <row r="9" spans="1:22" x14ac:dyDescent="0.2">
      <c r="A9" s="12">
        <v>55</v>
      </c>
      <c r="B9" s="7">
        <f>(Stage4to1!F7*Stage4to1!C7+Stage3to1!F7*Stage3to1!C7+Stage2to1!F7*Stage2to1!C7+Stage1to1!F7*Stage1to1!C7)/(Stage4to1!C7+Stage3to1!C7+Stage2to1!C7+Stage1to1!C7)</f>
        <v>3.1346584973379392</v>
      </c>
      <c r="C9" s="7">
        <f>(Stage4to2!F7*Stage4to2!C7+Stage3to2!F7*Stage3to2!C7+Stage2to2!F7*Stage2to2!C7)/(Stage4to2!C7+Stage3to2!C7+Stage2to2!C7)</f>
        <v>2.3637925947343223</v>
      </c>
      <c r="D9" s="7">
        <f>(Stage4to3!F7*Stage4to3!C7+Stage3to3!F7*Stage3to3!C7)/(Stage4to3!C7+Stage3to3!C7)</f>
        <v>1.7276353079131217</v>
      </c>
      <c r="E9" s="7">
        <f>Stage4to4!F7</f>
        <v>1.0618765434782607</v>
      </c>
      <c r="F9" s="66">
        <v>14.376846049254485</v>
      </c>
      <c r="G9" s="64">
        <f t="shared" si="12"/>
        <v>11.242187551916546</v>
      </c>
      <c r="H9" s="64">
        <f t="shared" si="0"/>
        <v>1</v>
      </c>
      <c r="I9">
        <f t="shared" si="1"/>
        <v>0.7819648004438019</v>
      </c>
      <c r="J9" s="68">
        <f t="shared" si="2"/>
        <v>1</v>
      </c>
      <c r="K9" s="64">
        <f t="shared" si="3"/>
        <v>12.013053454520163</v>
      </c>
      <c r="L9" s="70">
        <f t="shared" si="13"/>
        <v>1.2</v>
      </c>
      <c r="M9">
        <f t="shared" si="14"/>
        <v>0.83558336879757455</v>
      </c>
      <c r="N9" s="80">
        <f t="shared" si="4"/>
        <v>1</v>
      </c>
      <c r="O9" s="64">
        <f t="shared" si="5"/>
        <v>12.649210741341363</v>
      </c>
      <c r="P9" s="70">
        <f t="shared" si="6"/>
        <v>1.2</v>
      </c>
      <c r="Q9">
        <f t="shared" si="15"/>
        <v>0.87983210629130237</v>
      </c>
      <c r="R9" s="71">
        <f t="shared" si="7"/>
        <v>1.2</v>
      </c>
      <c r="S9" s="64">
        <f t="shared" si="8"/>
        <v>13.314969505776224</v>
      </c>
      <c r="T9" s="64">
        <f t="shared" si="9"/>
        <v>1.2</v>
      </c>
      <c r="U9">
        <f t="shared" si="16"/>
        <v>0.92613981259587008</v>
      </c>
      <c r="V9" s="69">
        <f t="shared" si="11"/>
        <v>1.2</v>
      </c>
    </row>
    <row r="10" spans="1:22" x14ac:dyDescent="0.2">
      <c r="A10" s="12">
        <v>56</v>
      </c>
      <c r="B10" s="7">
        <f>(Stage4to1!F8*Stage4to1!C8+Stage3to1!F8*Stage3to1!C8+Stage2to1!F8*Stage2to1!C8+Stage1to1!F8*Stage1to1!C8)/(Stage4to1!C8+Stage3to1!C8+Stage2to1!C8+Stage1to1!C8)</f>
        <v>3.1023550071773291</v>
      </c>
      <c r="C10" s="7">
        <f>(Stage4to2!F8*Stage4to2!C8+Stage3to2!F8*Stage3to2!C8+Stage2to2!F8*Stage2to2!C8)/(Stage4to2!C8+Stage3to2!C8+Stage2to2!C8)</f>
        <v>2.3474720646031262</v>
      </c>
      <c r="D10" s="7">
        <f>(Stage4to3!F8*Stage4to3!C8+Stage3to3!F8*Stage3to3!C8)/(Stage4to3!C8+Stage3to3!C8)</f>
        <v>1.726156009685885</v>
      </c>
      <c r="E10" s="7">
        <f>Stage4to4!F8</f>
        <v>1.0618765434782607</v>
      </c>
      <c r="F10" s="66">
        <v>14.051780177708862</v>
      </c>
      <c r="G10" s="64">
        <f t="shared" si="12"/>
        <v>10.949425170531534</v>
      </c>
      <c r="H10" s="64">
        <f t="shared" si="0"/>
        <v>1</v>
      </c>
      <c r="I10">
        <f t="shared" si="1"/>
        <v>0.77921978795976543</v>
      </c>
      <c r="J10" s="68">
        <f t="shared" si="2"/>
        <v>1</v>
      </c>
      <c r="K10" s="64">
        <f t="shared" si="3"/>
        <v>11.704308113105736</v>
      </c>
      <c r="L10" s="78">
        <f t="shared" si="13"/>
        <v>1</v>
      </c>
      <c r="M10">
        <f t="shared" si="14"/>
        <v>0.83294130459519611</v>
      </c>
      <c r="N10" s="80">
        <f t="shared" si="4"/>
        <v>1</v>
      </c>
      <c r="O10" s="64">
        <f t="shared" si="5"/>
        <v>12.325624168022976</v>
      </c>
      <c r="P10" s="70">
        <f t="shared" si="6"/>
        <v>1.2</v>
      </c>
      <c r="Q10">
        <f t="shared" si="15"/>
        <v>0.87715748553879425</v>
      </c>
      <c r="R10" s="71">
        <f t="shared" si="7"/>
        <v>1.2</v>
      </c>
      <c r="S10" s="64">
        <f t="shared" si="8"/>
        <v>12.9899036342306</v>
      </c>
      <c r="T10" s="64">
        <f t="shared" si="9"/>
        <v>1.2</v>
      </c>
      <c r="U10">
        <f t="shared" si="16"/>
        <v>0.92443117312902623</v>
      </c>
      <c r="V10" s="69">
        <f t="shared" si="11"/>
        <v>1.2</v>
      </c>
    </row>
    <row r="11" spans="1:22" x14ac:dyDescent="0.2">
      <c r="A11" s="12">
        <v>57</v>
      </c>
      <c r="B11" s="7">
        <f>(Stage4to1!F9*Stage4to1!C9+Stage3to1!F9*Stage3to1!C9+Stage2to1!F9*Stage2to1!C9+Stage1to1!F9*Stage1to1!C9)/(Stage4to1!C9+Stage3to1!C9+Stage2to1!C9+Stage1to1!C9)</f>
        <v>3.0669189300316182</v>
      </c>
      <c r="C11" s="7">
        <f>(Stage4to2!F9*Stage4to2!C9+Stage3to2!F9*Stage3to2!C9+Stage2to2!F9*Stage2to2!C9)/(Stage4to2!C9+Stage3to2!C9+Stage2to2!C9)</f>
        <v>2.3115314770959876</v>
      </c>
      <c r="D11" s="7">
        <f>(Stage4to3!F9*Stage4to3!C9+Stage3to3!F9*Stage3to3!C9)/(Stage4to3!C9+Stage3to3!C9)</f>
        <v>1.7201453274522027</v>
      </c>
      <c r="E11" s="7">
        <f>Stage4to4!F9</f>
        <v>1.0618765434782607</v>
      </c>
      <c r="F11" s="66">
        <v>13.723301505379617</v>
      </c>
      <c r="G11" s="64">
        <f t="shared" si="12"/>
        <v>10.656382575347997</v>
      </c>
      <c r="H11" s="64">
        <f t="shared" si="0"/>
        <v>1</v>
      </c>
      <c r="I11">
        <f t="shared" si="1"/>
        <v>0.77651741245870254</v>
      </c>
      <c r="J11" s="68">
        <f t="shared" si="2"/>
        <v>1</v>
      </c>
      <c r="K11" s="64">
        <f t="shared" si="3"/>
        <v>11.411770028283629</v>
      </c>
      <c r="L11" s="64">
        <f t="shared" si="13"/>
        <v>1</v>
      </c>
      <c r="M11">
        <f t="shared" si="14"/>
        <v>0.83156156146610538</v>
      </c>
      <c r="N11" s="80">
        <f t="shared" si="4"/>
        <v>1</v>
      </c>
      <c r="O11" s="64">
        <f t="shared" si="5"/>
        <v>12.003156177927414</v>
      </c>
      <c r="P11" s="70">
        <f t="shared" si="6"/>
        <v>1.2</v>
      </c>
      <c r="Q11">
        <f t="shared" si="15"/>
        <v>0.87465513843167442</v>
      </c>
      <c r="R11" s="71">
        <f t="shared" si="7"/>
        <v>1.2</v>
      </c>
      <c r="S11" s="64">
        <f t="shared" si="8"/>
        <v>12.661424961901355</v>
      </c>
      <c r="T11" s="64">
        <f t="shared" si="9"/>
        <v>1.2</v>
      </c>
      <c r="U11">
        <f t="shared" si="16"/>
        <v>0.92262237020282623</v>
      </c>
      <c r="V11" s="69">
        <f t="shared" si="11"/>
        <v>1.2</v>
      </c>
    </row>
    <row r="12" spans="1:22" x14ac:dyDescent="0.2">
      <c r="A12" s="12">
        <v>58</v>
      </c>
      <c r="B12" s="7">
        <f>(Stage4to1!F10*Stage4to1!C10+Stage3to1!F10*Stage3to1!C10+Stage2to1!F10*Stage2to1!C10+Stage1to1!F10*Stage1to1!C10)/(Stage4to1!C10+Stage3to1!C10+Stage2to1!C10+Stage1to1!C10)</f>
        <v>3.0404360250569065</v>
      </c>
      <c r="C12" s="7">
        <f>(Stage4to2!F10*Stage4to2!C10+Stage3to2!F10*Stage3to2!C10+Stage2to2!F10*Stage2to2!C10)/(Stage4to2!C10+Stage3to2!C10+Stage2to2!C10)</f>
        <v>2.2537764949769699</v>
      </c>
      <c r="D12" s="7">
        <f>(Stage4to3!F10*Stage4to3!C10+Stage3to3!F10*Stage3to3!C10)/(Stage4to3!C10+Stage3to3!C10)</f>
        <v>1.6893219781678686</v>
      </c>
      <c r="E12" s="7">
        <f>Stage4to4!F10</f>
        <v>1.0599637666666666</v>
      </c>
      <c r="F12" s="66">
        <v>13.390654143540313</v>
      </c>
      <c r="G12" s="64">
        <f t="shared" si="12"/>
        <v>10.350218118483408</v>
      </c>
      <c r="H12" s="64">
        <f t="shared" si="0"/>
        <v>1</v>
      </c>
      <c r="I12">
        <f t="shared" si="1"/>
        <v>0.77294342812045369</v>
      </c>
      <c r="J12" s="68">
        <f t="shared" si="2"/>
        <v>1</v>
      </c>
      <c r="K12" s="64">
        <f t="shared" si="3"/>
        <v>11.136877648563344</v>
      </c>
      <c r="L12" s="64">
        <f t="shared" si="13"/>
        <v>1</v>
      </c>
      <c r="M12">
        <f t="shared" si="14"/>
        <v>0.83169033634819123</v>
      </c>
      <c r="N12" s="80">
        <f t="shared" si="4"/>
        <v>1</v>
      </c>
      <c r="O12" s="64">
        <f t="shared" si="5"/>
        <v>11.701332165372445</v>
      </c>
      <c r="P12" s="64">
        <f t="shared" si="6"/>
        <v>1</v>
      </c>
      <c r="Q12">
        <f t="shared" si="15"/>
        <v>0.87384320735497445</v>
      </c>
      <c r="R12" s="71">
        <f t="shared" si="7"/>
        <v>1.2</v>
      </c>
      <c r="S12" s="64">
        <f t="shared" si="8"/>
        <v>12.330690376873648</v>
      </c>
      <c r="T12" s="64">
        <f t="shared" si="9"/>
        <v>1.2</v>
      </c>
      <c r="U12">
        <f t="shared" si="16"/>
        <v>0.92084301817488168</v>
      </c>
      <c r="V12" s="69">
        <f t="shared" si="11"/>
        <v>1.2</v>
      </c>
    </row>
    <row r="13" spans="1:22" x14ac:dyDescent="0.2">
      <c r="A13" s="12">
        <v>59</v>
      </c>
      <c r="B13" s="7">
        <f>(Stage4to1!F11*Stage4to1!C11+Stage3to1!F11*Stage3to1!C11+Stage2to1!F11*Stage2to1!C11+Stage1to1!F11*Stage1to1!C11)/(Stage4to1!C11+Stage3to1!C11+Stage2to1!C11+Stage1to1!C11)</f>
        <v>3.0386911272348942</v>
      </c>
      <c r="C13" s="7">
        <f>(Stage4to2!F11*Stage4to2!C11+Stage3to2!F11*Stage3to2!C11+Stage2to2!F11*Stage2to2!C11)/(Stage4to2!C11+Stage3to2!C11+Stage2to2!C11)</f>
        <v>2.2526513722016897</v>
      </c>
      <c r="D13" s="7">
        <f>(Stage4to3!F11*Stage4to3!C11+Stage3to3!F11*Stage3to3!C11)/(Stage4to3!C11+Stage3to3!C11)</f>
        <v>1.5599738533024379</v>
      </c>
      <c r="E13" s="7">
        <f>Stage4to4!F11</f>
        <v>1.0527437666666666</v>
      </c>
      <c r="F13" s="66">
        <v>13.054301269697056</v>
      </c>
      <c r="G13" s="64">
        <f t="shared" si="12"/>
        <v>10.015610142462162</v>
      </c>
      <c r="H13" s="64">
        <f t="shared" si="0"/>
        <v>1</v>
      </c>
      <c r="I13">
        <f t="shared" si="1"/>
        <v>0.76722682704675993</v>
      </c>
      <c r="J13" s="68">
        <f t="shared" si="2"/>
        <v>1</v>
      </c>
      <c r="K13" s="64">
        <f t="shared" si="3"/>
        <v>10.801649897495366</v>
      </c>
      <c r="L13" s="64">
        <f t="shared" si="13"/>
        <v>1</v>
      </c>
      <c r="M13">
        <f t="shared" si="14"/>
        <v>0.82743991228157354</v>
      </c>
      <c r="N13" s="80">
        <f t="shared" si="4"/>
        <v>1</v>
      </c>
      <c r="O13" s="64">
        <f t="shared" si="5"/>
        <v>11.494327416394619</v>
      </c>
      <c r="P13" s="64">
        <f t="shared" si="6"/>
        <v>1</v>
      </c>
      <c r="Q13">
        <f t="shared" si="15"/>
        <v>0.88050116041648241</v>
      </c>
      <c r="R13" s="71">
        <f t="shared" si="7"/>
        <v>1.2</v>
      </c>
      <c r="S13" s="64">
        <f t="shared" si="8"/>
        <v>12.001557503030391</v>
      </c>
      <c r="T13" s="64">
        <f t="shared" si="9"/>
        <v>1.2</v>
      </c>
      <c r="U13">
        <f t="shared" si="16"/>
        <v>0.91935655958006735</v>
      </c>
      <c r="V13" s="69">
        <f t="shared" si="11"/>
        <v>1.2</v>
      </c>
    </row>
    <row r="14" spans="1:22" x14ac:dyDescent="0.2">
      <c r="A14" s="12">
        <v>60</v>
      </c>
      <c r="B14" s="7">
        <f>(Stage4to1!F12*Stage4to1!C12+Stage3to1!F12*Stage3to1!C12+Stage2to1!F12*Stage2to1!C12+Stage1to1!F12*Stage1to1!C12)/(Stage4to1!C12+Stage3to1!C12+Stage2to1!C12+Stage1to1!C12)</f>
        <v>2.7416891174531339</v>
      </c>
      <c r="C14" s="7">
        <f>(Stage4to2!F12*Stage4to2!C12+Stage3to2!F12*Stage3to2!C12+Stage2to2!F12*Stage2to2!C12)/(Stage4to2!C12+Stage3to2!C12+Stage2to2!C12)</f>
        <v>1.9970318019517257</v>
      </c>
      <c r="D14" s="7">
        <f>(Stage4to3!F12*Stage4to3!C12+Stage3to3!F12*Stage3to3!C12)/(Stage4to3!C12+Stage3to3!C12)</f>
        <v>1.4229725622058025</v>
      </c>
      <c r="E14" s="7">
        <f>Stage4to4!F12</f>
        <v>0.87410138399999981</v>
      </c>
      <c r="F14" s="66">
        <v>12.71338456</v>
      </c>
      <c r="G14" s="64">
        <f t="shared" si="12"/>
        <v>9.9716954425468654</v>
      </c>
      <c r="H14" s="64">
        <f t="shared" si="0"/>
        <v>1</v>
      </c>
      <c r="I14">
        <f t="shared" si="1"/>
        <v>0.78434624513134887</v>
      </c>
      <c r="J14" s="68">
        <f t="shared" si="2"/>
        <v>1</v>
      </c>
      <c r="K14" s="64">
        <f t="shared" si="3"/>
        <v>10.716352758048274</v>
      </c>
      <c r="L14" s="64">
        <f t="shared" si="13"/>
        <v>1</v>
      </c>
      <c r="M14">
        <f t="shared" si="14"/>
        <v>0.84291894951129154</v>
      </c>
      <c r="N14" s="80">
        <f t="shared" si="4"/>
        <v>1</v>
      </c>
      <c r="O14" s="64">
        <f t="shared" si="5"/>
        <v>11.290411997794198</v>
      </c>
      <c r="P14" s="64">
        <f t="shared" si="6"/>
        <v>1</v>
      </c>
      <c r="Q14">
        <f t="shared" si="15"/>
        <v>0.88807287662147127</v>
      </c>
      <c r="R14" s="71">
        <f t="shared" si="7"/>
        <v>1.2</v>
      </c>
      <c r="S14" s="64">
        <f t="shared" si="8"/>
        <v>11.839283176</v>
      </c>
      <c r="T14" s="64">
        <f t="shared" si="9"/>
        <v>1</v>
      </c>
      <c r="U14">
        <f t="shared" si="16"/>
        <v>0.93124557981592282</v>
      </c>
      <c r="V14" s="69">
        <f t="shared" si="11"/>
        <v>1.2</v>
      </c>
    </row>
    <row r="15" spans="1:22" x14ac:dyDescent="0.2">
      <c r="A15" s="12">
        <v>61</v>
      </c>
      <c r="B15" s="7">
        <f>(Stage4to1!F13*Stage4to1!C13+Stage3to1!F13*Stage3to1!C13+Stage2to1!F13*Stage2to1!C13+Stage1to1!F13*Stage1to1!C13)/(Stage4to1!C13+Stage3to1!C13+Stage2to1!C13+Stage1to1!C13)</f>
        <v>2.7175240524726618</v>
      </c>
      <c r="C15" s="7">
        <f>(Stage4to2!F13*Stage4to2!C13+Stage3to2!F13*Stage3to2!C13+Stage2to2!F13*Stage2to2!C13)/(Stage4to2!C13+Stage3to2!C13+Stage2to2!C13)</f>
        <v>1.9878833243938518</v>
      </c>
      <c r="D15" s="7">
        <f>(Stage4to3!F13*Stage4to3!C13+Stage3to3!F13*Stage3to3!C13)/(Stage4to3!C13+Stage3to3!C13)</f>
        <v>1.4222512779251737</v>
      </c>
      <c r="E15" s="7">
        <f>Stage4to4!F13</f>
        <v>0.87410138399999981</v>
      </c>
      <c r="F15" s="66">
        <v>12.369370774719757</v>
      </c>
      <c r="G15" s="64">
        <f t="shared" si="12"/>
        <v>9.6518467222470949</v>
      </c>
      <c r="H15" s="64">
        <f t="shared" si="0"/>
        <v>1</v>
      </c>
      <c r="I15">
        <f t="shared" si="1"/>
        <v>0.78030215910200729</v>
      </c>
      <c r="J15" s="68">
        <f t="shared" si="2"/>
        <v>1</v>
      </c>
      <c r="K15" s="64">
        <f t="shared" si="3"/>
        <v>10.381487450325904</v>
      </c>
      <c r="L15" s="64">
        <f t="shared" si="13"/>
        <v>1</v>
      </c>
      <c r="M15">
        <f t="shared" si="14"/>
        <v>0.83928985874878581</v>
      </c>
      <c r="N15" s="80">
        <f t="shared" si="4"/>
        <v>1</v>
      </c>
      <c r="O15" s="64">
        <f t="shared" si="5"/>
        <v>10.947119496794583</v>
      </c>
      <c r="P15" s="64">
        <f t="shared" si="6"/>
        <v>1</v>
      </c>
      <c r="Q15">
        <f t="shared" si="15"/>
        <v>0.88501830013601512</v>
      </c>
      <c r="R15" s="71">
        <f t="shared" si="7"/>
        <v>1.2</v>
      </c>
      <c r="S15" s="64">
        <f t="shared" si="8"/>
        <v>11.495269390719757</v>
      </c>
      <c r="T15" s="64">
        <f t="shared" si="9"/>
        <v>1</v>
      </c>
      <c r="U15">
        <f t="shared" si="16"/>
        <v>0.92933339941701254</v>
      </c>
      <c r="V15" s="69">
        <f t="shared" si="11"/>
        <v>1.2</v>
      </c>
    </row>
    <row r="16" spans="1:22" x14ac:dyDescent="0.2">
      <c r="A16" s="12">
        <v>62</v>
      </c>
      <c r="B16" s="7">
        <f>(Stage4to1!F14*Stage4to1!C14+Stage3to1!F14*Stage3to1!C14+Stage2to1!F14*Stage2to1!C14+Stage1to1!F14*Stage1to1!C14)/(Stage4to1!C14+Stage3to1!C14+Stage2to1!C14+Stage1to1!C14)</f>
        <v>2.6892300262457089</v>
      </c>
      <c r="C16" s="7">
        <f>(Stage4to2!F14*Stage4to2!C14+Stage3to2!F14*Stage3to2!C14+Stage2to2!F14*Stage2to2!C14)/(Stage4to2!C14+Stage3to2!C14+Stage2to2!C14)</f>
        <v>1.9680343081952691</v>
      </c>
      <c r="D16" s="7">
        <f>(Stage4to3!F14*Stage4to3!C14+Stage3to3!F14*Stage3to3!C14)/(Stage4to3!C14+Stage3to3!C14)</f>
        <v>1.4201084286226622</v>
      </c>
      <c r="E16" s="7">
        <f>Stage4to4!F14</f>
        <v>0.87410138399999981</v>
      </c>
      <c r="F16" s="66">
        <v>12.021492932772711</v>
      </c>
      <c r="G16" s="64">
        <f t="shared" si="12"/>
        <v>9.3322629065270029</v>
      </c>
      <c r="H16" s="64">
        <f t="shared" si="0"/>
        <v>1</v>
      </c>
      <c r="I16">
        <f t="shared" si="1"/>
        <v>0.77629816518758732</v>
      </c>
      <c r="J16" s="68">
        <f t="shared" si="2"/>
        <v>1</v>
      </c>
      <c r="K16" s="64">
        <f t="shared" si="3"/>
        <v>10.053458624577441</v>
      </c>
      <c r="L16" s="64">
        <f t="shared" si="13"/>
        <v>1</v>
      </c>
      <c r="M16">
        <f t="shared" si="14"/>
        <v>0.83629035767844939</v>
      </c>
      <c r="N16" s="80">
        <f t="shared" si="4"/>
        <v>1</v>
      </c>
      <c r="O16" s="64">
        <f t="shared" si="5"/>
        <v>10.601384504150049</v>
      </c>
      <c r="P16" s="64">
        <f t="shared" si="6"/>
        <v>1</v>
      </c>
      <c r="Q16">
        <f t="shared" si="15"/>
        <v>0.88186921237118598</v>
      </c>
      <c r="R16" s="71">
        <f t="shared" si="7"/>
        <v>1.2</v>
      </c>
      <c r="S16" s="64">
        <f t="shared" si="8"/>
        <v>11.147391548772712</v>
      </c>
      <c r="T16" s="64">
        <f t="shared" si="9"/>
        <v>1</v>
      </c>
      <c r="U16">
        <f t="shared" si="16"/>
        <v>0.92728845003792792</v>
      </c>
      <c r="V16" s="69">
        <f t="shared" si="11"/>
        <v>1.2</v>
      </c>
    </row>
    <row r="17" spans="1:22" x14ac:dyDescent="0.2">
      <c r="A17" s="12">
        <v>63</v>
      </c>
      <c r="B17" s="7">
        <f>(Stage4to1!F15*Stage4to1!C15+Stage3to1!F15*Stage3to1!C15+Stage2to1!F15*Stage2to1!C15+Stage1to1!F15*Stage1to1!C15)/(Stage4to1!C15+Stage3to1!C15+Stage2to1!C15+Stage1to1!C15)</f>
        <v>2.6644111334523051</v>
      </c>
      <c r="C17" s="7">
        <f>(Stage4to2!F15*Stage4to2!C15+Stage3to2!F15*Stage3to2!C15+Stage2to2!F15*Stage2to2!C15)/(Stage4to2!C15+Stage3to2!C15+Stage2to2!C15)</f>
        <v>1.9317636775486271</v>
      </c>
      <c r="D17" s="7">
        <f>(Stage4to3!F15*Stage4to3!C15+Stage3to3!F15*Stage3to3!C15)/(Stage4to3!C15+Stage3to3!C15)</f>
        <v>1.4045730009269701</v>
      </c>
      <c r="E17" s="7">
        <f>Stage4to4!F15</f>
        <v>0.87410138399999981</v>
      </c>
      <c r="F17" s="66">
        <v>11.673321209999999</v>
      </c>
      <c r="G17" s="64">
        <f t="shared" si="12"/>
        <v>9.0089100765476946</v>
      </c>
      <c r="H17" s="64">
        <f t="shared" si="0"/>
        <v>1</v>
      </c>
      <c r="I17">
        <f t="shared" si="1"/>
        <v>0.77175209304016879</v>
      </c>
      <c r="J17" s="68">
        <f t="shared" si="2"/>
        <v>1</v>
      </c>
      <c r="K17" s="64">
        <f t="shared" si="3"/>
        <v>9.7415575324513721</v>
      </c>
      <c r="L17" s="64">
        <f t="shared" si="13"/>
        <v>1</v>
      </c>
      <c r="M17">
        <f t="shared" si="14"/>
        <v>0.83451464730587777</v>
      </c>
      <c r="N17" s="80">
        <f t="shared" si="4"/>
        <v>1</v>
      </c>
      <c r="O17" s="64">
        <f t="shared" si="5"/>
        <v>10.26874820907303</v>
      </c>
      <c r="P17" s="64">
        <f t="shared" si="6"/>
        <v>1</v>
      </c>
      <c r="Q17">
        <f>O17/$F17</f>
        <v>0.8796766596533182</v>
      </c>
      <c r="R17" s="71">
        <f t="shared" si="7"/>
        <v>1.2</v>
      </c>
      <c r="S17" s="64">
        <f t="shared" si="8"/>
        <v>10.799219826</v>
      </c>
      <c r="T17" s="64">
        <f t="shared" si="9"/>
        <v>1</v>
      </c>
      <c r="U17">
        <f t="shared" si="16"/>
        <v>0.92511973514005619</v>
      </c>
      <c r="V17" s="69">
        <f t="shared" si="11"/>
        <v>1.2</v>
      </c>
    </row>
    <row r="18" spans="1:22" x14ac:dyDescent="0.2">
      <c r="A18" s="12">
        <v>64</v>
      </c>
      <c r="B18" s="7">
        <f>(Stage4to1!F16*Stage4to1!C16+Stage3to1!F16*Stage3to1!C16+Stage2to1!F16*Stage2to1!C16+Stage1to1!F16*Stage1to1!C16)/(Stage4to1!C16+Stage3to1!C16+Stage2to1!C16+Stage1to1!C16)</f>
        <v>2.655466663654841</v>
      </c>
      <c r="C18" s="7">
        <f>(Stage4to2!F16*Stage4to2!C16+Stage3to2!F16*Stage3to2!C16+Stage2to2!F16*Stage2to2!C16)/(Stage4to2!C16+Stage3to2!C16+Stage2to2!C16)</f>
        <v>1.9244637158239815</v>
      </c>
      <c r="D18" s="7">
        <f>(Stage4to3!F16*Stage4to3!C16+Stage3to3!F16*Stage3to3!C16)/(Stage4to3!C16+Stage3to3!C16)</f>
        <v>1.3291629713635928</v>
      </c>
      <c r="E18" s="7">
        <f>Stage4to4!F16</f>
        <v>0.87065833319999986</v>
      </c>
      <c r="F18" s="66">
        <v>11.321559175838875</v>
      </c>
      <c r="G18" s="64">
        <f t="shared" si="12"/>
        <v>8.6660925121840329</v>
      </c>
      <c r="H18" s="64">
        <f t="shared" si="0"/>
        <v>1</v>
      </c>
      <c r="I18">
        <f t="shared" si="1"/>
        <v>0.76545044526006423</v>
      </c>
      <c r="J18" s="68">
        <f t="shared" si="2"/>
        <v>1</v>
      </c>
      <c r="K18" s="64">
        <f t="shared" si="3"/>
        <v>9.3970954600148939</v>
      </c>
      <c r="L18" s="64">
        <f t="shared" si="13"/>
        <v>1</v>
      </c>
      <c r="M18">
        <f t="shared" si="14"/>
        <v>0.83001778412897909</v>
      </c>
      <c r="N18" s="80">
        <f t="shared" si="4"/>
        <v>1</v>
      </c>
      <c r="O18" s="64">
        <f t="shared" si="5"/>
        <v>9.9923962044752823</v>
      </c>
      <c r="P18" s="64">
        <f t="shared" si="6"/>
        <v>1</v>
      </c>
      <c r="Q18">
        <f t="shared" si="15"/>
        <v>0.88259894677756634</v>
      </c>
      <c r="R18" s="71">
        <f t="shared" si="7"/>
        <v>1.2</v>
      </c>
      <c r="S18" s="64">
        <f t="shared" si="8"/>
        <v>10.450900842638875</v>
      </c>
      <c r="T18" s="64">
        <f t="shared" si="9"/>
        <v>1</v>
      </c>
      <c r="U18">
        <f t="shared" si="16"/>
        <v>0.92309731197995637</v>
      </c>
      <c r="V18" s="69">
        <f t="shared" si="11"/>
        <v>1.2</v>
      </c>
    </row>
    <row r="19" spans="1:22" x14ac:dyDescent="0.2">
      <c r="A19" s="12">
        <v>65</v>
      </c>
      <c r="B19" s="7">
        <f>(Stage4to1!F17*Stage4to1!C17+Stage3to1!F17*Stage3to1!C17+Stage2to1!F17*Stage2to1!C17+Stage1to1!F17*Stage1to1!C17)/(Stage4to1!C17+Stage3to1!C17+Stage2to1!C17+Stage1to1!C17)</f>
        <v>2.0574112707282448</v>
      </c>
      <c r="C19" s="7">
        <f>(Stage4to2!F17*Stage4to2!C17+Stage3to2!F17*Stage3to2!C17+Stage2to2!F17*Stage2to2!C17)/(Stage4to2!C17+Stage3to2!C17+Stage2to2!C17)</f>
        <v>1.4165907292700213</v>
      </c>
      <c r="D19" s="7">
        <f>(Stage4to3!F17*Stage4to3!C17+Stage3to3!F17*Stage3to3!C17)/(Stage4to3!C17+Stage3to3!C17)</f>
        <v>1.0060514338012749</v>
      </c>
      <c r="E19" s="7">
        <f>Stage4to4!F17</f>
        <v>0.67076911439999976</v>
      </c>
      <c r="F19" s="66">
        <v>10.965912530000001</v>
      </c>
      <c r="G19" s="64">
        <f t="shared" si="12"/>
        <v>8.9085012592717554</v>
      </c>
      <c r="H19" s="64">
        <f t="shared" si="0"/>
        <v>1</v>
      </c>
      <c r="I19">
        <f t="shared" si="1"/>
        <v>0.81238120720918738</v>
      </c>
      <c r="J19" s="68">
        <f t="shared" si="2"/>
        <v>1</v>
      </c>
      <c r="K19" s="64">
        <f t="shared" si="3"/>
        <v>9.5493218007299792</v>
      </c>
      <c r="L19" s="64">
        <f t="shared" si="13"/>
        <v>1</v>
      </c>
      <c r="M19">
        <f t="shared" si="14"/>
        <v>0.8708187097613096</v>
      </c>
      <c r="N19" s="69">
        <f t="shared" si="4"/>
        <v>1.2</v>
      </c>
      <c r="O19" s="64">
        <f t="shared" si="5"/>
        <v>9.9598610961987255</v>
      </c>
      <c r="P19" s="64">
        <f t="shared" si="6"/>
        <v>1</v>
      </c>
      <c r="Q19">
        <f t="shared" si="15"/>
        <v>0.90825647833238055</v>
      </c>
      <c r="R19" s="71">
        <f t="shared" si="7"/>
        <v>1.2</v>
      </c>
      <c r="S19" s="64">
        <f t="shared" si="8"/>
        <v>10.2951434156</v>
      </c>
      <c r="T19" s="64">
        <f t="shared" si="9"/>
        <v>1</v>
      </c>
      <c r="U19">
        <f t="shared" si="16"/>
        <v>0.93883143673041858</v>
      </c>
      <c r="V19" s="69">
        <f t="shared" si="11"/>
        <v>1.2</v>
      </c>
    </row>
    <row r="20" spans="1:22" x14ac:dyDescent="0.2">
      <c r="A20" s="12">
        <v>66</v>
      </c>
      <c r="B20" s="7">
        <f>(Stage4to1!F18*Stage4to1!C18+Stage3to1!F18*Stage3to1!C18+Stage2to1!F18*Stage2to1!C18+Stage1to1!F18*Stage1to1!C18)/(Stage4to1!C18+Stage3to1!C18+Stage2to1!C18+Stage1to1!C18)</f>
        <v>2.0443830074511089</v>
      </c>
      <c r="C20" s="7">
        <f>(Stage4to2!F18*Stage4to2!C18+Stage3to2!F18*Stage3to2!C18+Stage2to2!F18*Stage2to2!C18)/(Stage4to2!C18+Stage3to2!C18+Stage2to2!C18)</f>
        <v>1.4134018887832445</v>
      </c>
      <c r="D20" s="7">
        <f>(Stage4to3!F18*Stage4to3!C18+Stage3to3!F18*Stage3to3!C18)/(Stage4to3!C18+Stage3to3!C18)</f>
        <v>1.0063157615443055</v>
      </c>
      <c r="E20" s="7">
        <f>Stage4to4!F18</f>
        <v>0.67076911439999976</v>
      </c>
      <c r="F20" s="66">
        <v>10.608452959999999</v>
      </c>
      <c r="G20" s="64">
        <f>F20-B20</f>
        <v>8.5640699525488913</v>
      </c>
      <c r="H20" s="64">
        <f>IF(G20&lt;12,1,IF(G20&lt;18,1.2,1.7))</f>
        <v>1</v>
      </c>
      <c r="I20">
        <f>G20/F20</f>
        <v>0.80728735705765831</v>
      </c>
      <c r="J20" s="68">
        <f>IF(I20&lt;0.85,1,IF(I20&lt;0.95,1.2,1.7))</f>
        <v>1</v>
      </c>
      <c r="K20" s="64">
        <f t="shared" si="3"/>
        <v>9.1950510712167546</v>
      </c>
      <c r="L20" s="64">
        <f t="shared" si="13"/>
        <v>1</v>
      </c>
      <c r="M20">
        <f t="shared" si="14"/>
        <v>0.86676644614322307</v>
      </c>
      <c r="N20" s="69">
        <f t="shared" si="4"/>
        <v>1.2</v>
      </c>
      <c r="O20" s="64">
        <f t="shared" si="5"/>
        <v>9.6021371984556936</v>
      </c>
      <c r="P20" s="64">
        <f t="shared" si="6"/>
        <v>1</v>
      </c>
      <c r="Q20">
        <f t="shared" si="15"/>
        <v>0.9051401966583914</v>
      </c>
      <c r="R20" s="71">
        <f t="shared" si="7"/>
        <v>1.2</v>
      </c>
      <c r="S20" s="64">
        <f t="shared" si="8"/>
        <v>9.9376838455999987</v>
      </c>
      <c r="T20" s="64">
        <f t="shared" si="9"/>
        <v>1</v>
      </c>
      <c r="U20">
        <f t="shared" si="16"/>
        <v>0.93677031731872806</v>
      </c>
      <c r="V20" s="69">
        <f t="shared" si="11"/>
        <v>1.2</v>
      </c>
    </row>
    <row r="21" spans="1:22" x14ac:dyDescent="0.2">
      <c r="A21" s="12">
        <v>67</v>
      </c>
      <c r="B21" s="7">
        <f>(Stage4to1!F19*Stage4to1!C19+Stage3to1!F19*Stage3to1!C19+Stage2to1!F19*Stage2to1!C19+Stage1to1!F19*Stage1to1!C19)/(Stage4to1!C19+Stage3to1!C19+Stage2to1!C19+Stage1to1!C19)</f>
        <v>2.0289052658432607</v>
      </c>
      <c r="C21" s="7">
        <f>(Stage4to2!F19*Stage4to2!C19+Stage3to2!F19*Stage3to2!C19+Stage2to2!F19*Stage2to2!C19)/(Stage4to2!C19+Stage3to2!C19+Stage2to2!C19)</f>
        <v>1.404624671115265</v>
      </c>
      <c r="D21" s="7">
        <f>(Stage4to3!F19*Stage4to3!C19+Stage3to3!F19*Stage3to3!C19)/(Stage4to3!C19+Stage3to3!C19)</f>
        <v>1.0062074595002162</v>
      </c>
      <c r="E21" s="7">
        <f>Stage4to4!F19</f>
        <v>0.67076911439999976</v>
      </c>
      <c r="F21" s="66">
        <v>10.24776249</v>
      </c>
      <c r="G21" s="64">
        <f t="shared" si="12"/>
        <v>8.2188572241567392</v>
      </c>
      <c r="H21" s="64">
        <f t="shared" si="0"/>
        <v>1</v>
      </c>
      <c r="I21">
        <f t="shared" si="1"/>
        <v>0.80201480393177416</v>
      </c>
      <c r="J21" s="68">
        <f t="shared" si="2"/>
        <v>1</v>
      </c>
      <c r="K21" s="64">
        <f t="shared" si="3"/>
        <v>8.8431378188847347</v>
      </c>
      <c r="L21" s="64">
        <f t="shared" si="13"/>
        <v>1</v>
      </c>
      <c r="M21">
        <f t="shared" si="14"/>
        <v>0.86293352597838513</v>
      </c>
      <c r="N21" s="69">
        <f t="shared" si="4"/>
        <v>1.2</v>
      </c>
      <c r="O21" s="64">
        <f t="shared" si="5"/>
        <v>9.241555030499784</v>
      </c>
      <c r="P21" s="64">
        <f t="shared" si="6"/>
        <v>1</v>
      </c>
      <c r="Q21">
        <f t="shared" si="15"/>
        <v>0.9018119847642746</v>
      </c>
      <c r="R21" s="71">
        <f t="shared" si="7"/>
        <v>1.2</v>
      </c>
      <c r="S21" s="64">
        <f t="shared" si="8"/>
        <v>9.576993375599999</v>
      </c>
      <c r="T21" s="64">
        <f t="shared" si="9"/>
        <v>1</v>
      </c>
      <c r="U21">
        <f>S21/F21</f>
        <v>0.93454482234004232</v>
      </c>
      <c r="V21" s="69">
        <f t="shared" si="11"/>
        <v>1.2</v>
      </c>
    </row>
    <row r="22" spans="1:22" x14ac:dyDescent="0.2">
      <c r="A22" s="12">
        <v>68</v>
      </c>
      <c r="B22" s="7">
        <f>(Stage4to1!F20*Stage4to1!C20+Stage3to1!F20*Stage3to1!C20+Stage2to1!F20*Stage2to1!C20+Stage1to1!F20*Stage1to1!C20)/(Stage4to1!C20+Stage3to1!C20+Stage2to1!C20+Stage1to1!C20)</f>
        <v>2.0181856827280997</v>
      </c>
      <c r="C22" s="7">
        <f>(Stage4to2!F20*Stage4to2!C20+Stage3to2!F20*Stage3to2!C20+Stage2to2!F20*Stage2to2!C20)/(Stage4to2!C20+Stage3to2!C20+Stage2to2!C20)</f>
        <v>1.389664695637242</v>
      </c>
      <c r="D22" s="7">
        <f>(Stage4to3!F20*Stage4to3!C20+Stage3to3!F20*Stage3to3!C20)/(Stage4to3!C20+Stage3to3!C20)</f>
        <v>1.0028799640395729</v>
      </c>
      <c r="E22" s="7">
        <f>Stage4to4!F20</f>
        <v>0.67076911439999976</v>
      </c>
      <c r="F22" s="66">
        <v>9.8845251422827083</v>
      </c>
      <c r="G22" s="64">
        <f t="shared" si="12"/>
        <v>7.8663394595546086</v>
      </c>
      <c r="H22" s="64">
        <f t="shared" si="0"/>
        <v>1</v>
      </c>
      <c r="I22">
        <f t="shared" si="1"/>
        <v>0.79582370891091436</v>
      </c>
      <c r="J22" s="68">
        <f t="shared" si="2"/>
        <v>1</v>
      </c>
      <c r="K22" s="64">
        <f t="shared" si="3"/>
        <v>8.4948604466454665</v>
      </c>
      <c r="L22" s="64">
        <f t="shared" si="13"/>
        <v>1</v>
      </c>
      <c r="M22">
        <f t="shared" si="14"/>
        <v>0.85941007022252203</v>
      </c>
      <c r="N22" s="69">
        <f t="shared" si="4"/>
        <v>1.2</v>
      </c>
      <c r="O22" s="64">
        <f t="shared" si="5"/>
        <v>8.8816451782431347</v>
      </c>
      <c r="P22" s="64">
        <f t="shared" si="6"/>
        <v>1</v>
      </c>
      <c r="Q22">
        <f>O22/$F22</f>
        <v>0.89854040031224292</v>
      </c>
      <c r="R22" s="71">
        <f t="shared" si="7"/>
        <v>1.2</v>
      </c>
      <c r="S22" s="64">
        <f t="shared" si="8"/>
        <v>9.2137560278827078</v>
      </c>
      <c r="T22" s="64">
        <f t="shared" si="9"/>
        <v>1</v>
      </c>
      <c r="U22">
        <f t="shared" si="16"/>
        <v>0.93213947005600972</v>
      </c>
      <c r="V22" s="69">
        <f t="shared" si="11"/>
        <v>1.2</v>
      </c>
    </row>
    <row r="23" spans="1:22" x14ac:dyDescent="0.2">
      <c r="A23" s="12">
        <v>69</v>
      </c>
      <c r="B23" s="7">
        <f>(Stage4to1!F21*Stage4to1!C21+Stage3to1!F21*Stage3to1!C21+Stage2to1!F21*Stage2to1!C21+Stage1to1!F21*Stage1to1!C21)/(Stage4to1!C21+Stage3to1!C21+Stage2to1!C21+Stage1to1!C21)</f>
        <v>2.0201117090343321</v>
      </c>
      <c r="C23" s="7">
        <f>(Stage4to2!F21*Stage4to2!C21+Stage3to2!F21*Stage3to2!C21+Stage2to2!F21*Stage2to2!C21)/(Stage4to2!C21+Stage3to2!C21+Stage2to2!C21)</f>
        <v>1.3891026240599169</v>
      </c>
      <c r="D23" s="7">
        <f>(Stage4to3!F21*Stage4to3!C21+Stage3to3!F21*Stage3to3!C21)/(Stage4to3!C21+Stage3to3!C21)</f>
        <v>0.97379457875282149</v>
      </c>
      <c r="E23" s="7">
        <f>Stage4to4!F21</f>
        <v>0.67192397999999987</v>
      </c>
      <c r="F23" s="66">
        <v>9.5200574865054612</v>
      </c>
      <c r="G23" s="64">
        <f t="shared" si="12"/>
        <v>7.4999457774711296</v>
      </c>
      <c r="H23" s="64">
        <f t="shared" si="0"/>
        <v>1</v>
      </c>
      <c r="I23">
        <f t="shared" si="1"/>
        <v>0.78780467324931491</v>
      </c>
      <c r="J23" s="68">
        <f t="shared" si="2"/>
        <v>1</v>
      </c>
      <c r="K23" s="64">
        <f t="shared" si="3"/>
        <v>8.1309548624455452</v>
      </c>
      <c r="L23" s="64">
        <f t="shared" si="13"/>
        <v>1</v>
      </c>
      <c r="M23">
        <f t="shared" si="14"/>
        <v>0.85408673991423389</v>
      </c>
      <c r="N23" s="69">
        <f t="shared" si="4"/>
        <v>1.2</v>
      </c>
      <c r="O23" s="64">
        <f t="shared" si="5"/>
        <v>8.5462629077526397</v>
      </c>
      <c r="P23" s="64">
        <f t="shared" si="6"/>
        <v>1</v>
      </c>
      <c r="Q23">
        <f t="shared" si="15"/>
        <v>0.89771127116268357</v>
      </c>
      <c r="R23" s="71">
        <f t="shared" si="7"/>
        <v>1.2</v>
      </c>
      <c r="S23" s="64">
        <f t="shared" si="8"/>
        <v>8.8481335065054623</v>
      </c>
      <c r="T23" s="64">
        <f t="shared" si="9"/>
        <v>1</v>
      </c>
      <c r="U23">
        <f t="shared" si="16"/>
        <v>0.92942017619615835</v>
      </c>
      <c r="V23" s="69">
        <f t="shared" si="11"/>
        <v>1.2</v>
      </c>
    </row>
    <row r="24" spans="1:22" x14ac:dyDescent="0.2">
      <c r="A24" s="12">
        <v>70</v>
      </c>
      <c r="B24" s="7">
        <f>(Stage4to1!F22*Stage4to1!C22+Stage3to1!F22*Stage3to1!C22+Stage2to1!F22*Stage2to1!C22+Stage1to1!F22*Stage1to1!C22)/(Stage4to1!C22+Stage3to1!C22+Stage2to1!C22+Stage1to1!C22)</f>
        <v>1.7186920588116255</v>
      </c>
      <c r="C24" s="7">
        <f>(Stage4to2!F22*Stage4to2!C22+Stage3to2!F22*Stage3to2!C22+Stage2to2!F22*Stage2to2!C22)/(Stage4to2!C22+Stage3to2!C22+Stage2to2!C22)</f>
        <v>1.1713933155350835</v>
      </c>
      <c r="D24" s="7">
        <f>(Stage4to3!F22*Stage4to3!C22+Stage3to3!F22*Stage3to3!C22)/(Stage4to3!C22+Stage3to3!C22)</f>
        <v>0.8363654749575733</v>
      </c>
      <c r="E24" s="7">
        <f>Stage4to4!F22</f>
        <v>0.56607497999999989</v>
      </c>
      <c r="F24" s="66">
        <v>9.1530410752475895</v>
      </c>
      <c r="G24" s="64">
        <f t="shared" si="12"/>
        <v>7.4343490164359638</v>
      </c>
      <c r="H24" s="64">
        <f t="shared" si="0"/>
        <v>1</v>
      </c>
      <c r="I24">
        <f t="shared" si="1"/>
        <v>0.81222721009529231</v>
      </c>
      <c r="J24" s="68">
        <f t="shared" si="2"/>
        <v>1</v>
      </c>
      <c r="K24" s="64">
        <f t="shared" si="3"/>
        <v>7.981647759712506</v>
      </c>
      <c r="L24" s="64">
        <f t="shared" si="13"/>
        <v>1</v>
      </c>
      <c r="M24">
        <f t="shared" si="14"/>
        <v>0.87202140732189415</v>
      </c>
      <c r="N24" s="69">
        <f t="shared" si="4"/>
        <v>1.2</v>
      </c>
      <c r="O24" s="64">
        <f t="shared" si="5"/>
        <v>8.3166756002900168</v>
      </c>
      <c r="P24" s="64">
        <f t="shared" si="6"/>
        <v>1</v>
      </c>
      <c r="Q24">
        <f t="shared" si="15"/>
        <v>0.90862430660129545</v>
      </c>
      <c r="R24" s="71">
        <f t="shared" si="7"/>
        <v>1.2</v>
      </c>
      <c r="S24" s="64">
        <f t="shared" si="8"/>
        <v>8.5869660952475897</v>
      </c>
      <c r="T24" s="64">
        <f t="shared" si="9"/>
        <v>1</v>
      </c>
      <c r="U24">
        <f t="shared" si="16"/>
        <v>0.93815443683183875</v>
      </c>
      <c r="V24" s="69">
        <f t="shared" si="11"/>
        <v>1.2</v>
      </c>
    </row>
    <row r="25" spans="1:22" x14ac:dyDescent="0.2">
      <c r="A25" s="12">
        <v>71</v>
      </c>
      <c r="B25" s="7">
        <f>(Stage4to1!F23*Stage4to1!C23+Stage3to1!F23*Stage3to1!C23+Stage2to1!F23*Stage2to1!C23+Stage1to1!F23*Stage1to1!C23)/(Stage4to1!C23+Stage3to1!C23+Stage2to1!C23+Stage1to1!C23)</f>
        <v>1.7079115847840809</v>
      </c>
      <c r="C25" s="7">
        <f>(Stage4to2!F23*Stage4to2!C23+Stage3to2!F23*Stage3to2!C23+Stage2to2!F23*Stage2to2!C23)/(Stage4to2!C23+Stage3to2!C23+Stage2to2!C23)</f>
        <v>1.1666984645158287</v>
      </c>
      <c r="D25" s="7">
        <f>(Stage4to3!F23*Stage4to3!C23+Stage3to3!F23*Stage3to3!C23)/(Stage4to3!C23+Stage3to3!C23)</f>
        <v>0.83647320960093952</v>
      </c>
      <c r="E25" s="7">
        <f>Stage4to4!F23</f>
        <v>0.56607497999999989</v>
      </c>
      <c r="F25" s="66">
        <v>8.7820776504988061</v>
      </c>
      <c r="G25" s="64">
        <f t="shared" si="12"/>
        <v>7.0741660657147252</v>
      </c>
      <c r="H25" s="64">
        <f t="shared" si="0"/>
        <v>1</v>
      </c>
      <c r="I25">
        <f t="shared" si="1"/>
        <v>0.80552306040164945</v>
      </c>
      <c r="J25" s="68">
        <f t="shared" si="2"/>
        <v>1</v>
      </c>
      <c r="K25" s="64">
        <f t="shared" si="3"/>
        <v>7.6153791859829774</v>
      </c>
      <c r="L25" s="64">
        <f t="shared" si="13"/>
        <v>1</v>
      </c>
      <c r="M25">
        <f t="shared" si="14"/>
        <v>0.86715006278160589</v>
      </c>
      <c r="N25" s="69">
        <f t="shared" si="4"/>
        <v>1.2</v>
      </c>
      <c r="O25" s="64">
        <f t="shared" si="5"/>
        <v>7.945604440897867</v>
      </c>
      <c r="P25" s="64">
        <f t="shared" si="6"/>
        <v>1</v>
      </c>
      <c r="Q25">
        <f t="shared" si="15"/>
        <v>0.90475224168014168</v>
      </c>
      <c r="R25" s="71">
        <f t="shared" si="7"/>
        <v>1.2</v>
      </c>
      <c r="S25" s="64">
        <f t="shared" si="8"/>
        <v>8.2160026704988063</v>
      </c>
      <c r="T25" s="64">
        <f t="shared" si="9"/>
        <v>1</v>
      </c>
      <c r="U25">
        <f t="shared" si="16"/>
        <v>0.9355420206324585</v>
      </c>
      <c r="V25" s="69">
        <f t="shared" si="11"/>
        <v>1.2</v>
      </c>
    </row>
    <row r="26" spans="1:22" x14ac:dyDescent="0.2">
      <c r="A26" s="12">
        <v>72</v>
      </c>
      <c r="B26" s="7">
        <f>(Stage4to1!F24*Stage4to1!C24+Stage3to1!F24*Stage3to1!C24+Stage2to1!F24*Stage2to1!C24+Stage1to1!F24*Stage1to1!C24)/(Stage4to1!C24+Stage3to1!C24+Stage2to1!C24+Stage1to1!C24)</f>
        <v>1.6931033925326704</v>
      </c>
      <c r="C26" s="7">
        <f>(Stage4to2!F24*Stage4to2!C24+Stage3to2!F24*Stage3to2!C24+Stage2to2!F24*Stage2to2!C24)/(Stage4to2!C24+Stage3to2!C24+Stage2to2!C24)</f>
        <v>1.1576324792811523</v>
      </c>
      <c r="D26" s="7">
        <f>(Stage4to3!F24*Stage4to3!C24+Stage3to3!F24*Stage3to3!C24)/(Stage4to3!C24+Stage3to3!C24)</f>
        <v>0.83469324997677452</v>
      </c>
      <c r="E26" s="7">
        <f>Stage4to4!F24</f>
        <v>0.56607497999999989</v>
      </c>
      <c r="F26" s="66">
        <v>8.4096590310481645</v>
      </c>
      <c r="G26" s="64">
        <f t="shared" si="12"/>
        <v>6.7165556385154943</v>
      </c>
      <c r="H26" s="64">
        <f t="shared" si="0"/>
        <v>1</v>
      </c>
      <c r="I26">
        <f t="shared" si="1"/>
        <v>0.79867157678072409</v>
      </c>
      <c r="J26" s="68">
        <f t="shared" si="2"/>
        <v>1</v>
      </c>
      <c r="K26" s="64">
        <f t="shared" si="3"/>
        <v>7.2520265517670124</v>
      </c>
      <c r="L26" s="64">
        <f t="shared" si="13"/>
        <v>1</v>
      </c>
      <c r="M26">
        <f t="shared" si="14"/>
        <v>0.86234489709901274</v>
      </c>
      <c r="N26" s="69">
        <f t="shared" si="4"/>
        <v>1.2</v>
      </c>
      <c r="O26" s="64">
        <f t="shared" si="5"/>
        <v>7.5749657810713895</v>
      </c>
      <c r="P26" s="64">
        <f t="shared" si="6"/>
        <v>1</v>
      </c>
      <c r="Q26">
        <f t="shared" si="15"/>
        <v>0.9007458867362973</v>
      </c>
      <c r="R26" s="71">
        <f t="shared" si="7"/>
        <v>1.2</v>
      </c>
      <c r="S26" s="64">
        <f t="shared" si="8"/>
        <v>7.8435840510481647</v>
      </c>
      <c r="T26" s="64">
        <f t="shared" si="9"/>
        <v>1</v>
      </c>
      <c r="U26">
        <f t="shared" si="16"/>
        <v>0.932687523012518</v>
      </c>
      <c r="V26" s="69">
        <f t="shared" si="11"/>
        <v>1.2</v>
      </c>
    </row>
    <row r="27" spans="1:22" x14ac:dyDescent="0.2">
      <c r="A27" s="12">
        <v>73</v>
      </c>
      <c r="B27" s="7">
        <f>(Stage4to1!F25*Stage4to1!C25+Stage3to1!F25*Stage3to1!C25+Stage2to1!F25*Stage2to1!C25+Stage1to1!F25*Stage1to1!C25)/(Stage4to1!C25+Stage3to1!C25+Stage2to1!C25+Stage1to1!C25)</f>
        <v>1.6757473876615383</v>
      </c>
      <c r="C27" s="7">
        <f>(Stage4to2!F25*Stage4to2!C25+Stage3to2!F25*Stage3to2!C25+Stage2to2!F25*Stage2to2!C25)/(Stage4to2!C25+Stage3to2!C25+Stage2to2!C25)</f>
        <v>1.1416433472263616</v>
      </c>
      <c r="D27" s="7">
        <f>(Stage4to3!F25*Stage4to3!C25+Stage3to3!F25*Stage3to3!C25)/(Stage4to3!C25+Stage3to3!C25)</f>
        <v>0.82665613599802634</v>
      </c>
      <c r="E27" s="7">
        <f>Stage4to4!F25</f>
        <v>0.56607497999999989</v>
      </c>
      <c r="F27" s="66">
        <v>8.0383277353736702</v>
      </c>
      <c r="G27" s="64">
        <f t="shared" si="12"/>
        <v>6.3625803477121323</v>
      </c>
      <c r="H27" s="64">
        <f t="shared" si="0"/>
        <v>1</v>
      </c>
      <c r="I27">
        <f t="shared" si="1"/>
        <v>0.79153034775041564</v>
      </c>
      <c r="J27" s="68">
        <f t="shared" si="2"/>
        <v>1</v>
      </c>
      <c r="K27" s="64">
        <f t="shared" si="3"/>
        <v>6.8966843881473086</v>
      </c>
      <c r="L27" s="64">
        <f t="shared" si="13"/>
        <v>1</v>
      </c>
      <c r="M27">
        <f t="shared" si="14"/>
        <v>0.85797501858472169</v>
      </c>
      <c r="N27" s="69">
        <f t="shared" si="4"/>
        <v>1.2</v>
      </c>
      <c r="O27" s="64">
        <f t="shared" si="5"/>
        <v>7.2116715993756442</v>
      </c>
      <c r="P27" s="64">
        <f t="shared" si="6"/>
        <v>1</v>
      </c>
      <c r="Q27">
        <f t="shared" si="15"/>
        <v>0.8971606827673595</v>
      </c>
      <c r="R27" s="71">
        <f t="shared" si="7"/>
        <v>1.2</v>
      </c>
      <c r="S27" s="64">
        <f t="shared" si="8"/>
        <v>7.4722527553736704</v>
      </c>
      <c r="T27" s="64">
        <f t="shared" si="9"/>
        <v>1</v>
      </c>
      <c r="U27">
        <f t="shared" si="16"/>
        <v>0.92957801689163333</v>
      </c>
      <c r="V27" s="69">
        <f t="shared" si="11"/>
        <v>1.2</v>
      </c>
    </row>
    <row r="28" spans="1:22" x14ac:dyDescent="0.2">
      <c r="A28" s="12">
        <v>74</v>
      </c>
      <c r="B28" s="7">
        <f>(Stage4to1!F26*Stage4to1!C26+Stage3to1!F26*Stage3to1!C26+Stage2to1!F26*Stage2to1!C26+Stage1to1!F26*Stage1to1!C26)/(Stage4to1!C26+Stage3to1!C26+Stage2to1!C26+Stage1to1!C26)</f>
        <v>1.6524349228887076</v>
      </c>
      <c r="C28" s="7">
        <f>(Stage4to2!F26*Stage4to2!C26+Stage3to2!F26*Stage3to2!C26+Stage2to2!F26*Stage2to2!C26)/(Stage4to2!C26+Stage3to2!C26+Stage2to2!C26)</f>
        <v>1.1193894306303473</v>
      </c>
      <c r="D28" s="7">
        <f>(Stage4to3!F26*Stage4to3!C26+Stage3to3!F26*Stage3to3!C26)/(Stage4to3!C26+Stage3to3!C26)</f>
        <v>0.79323760077429362</v>
      </c>
      <c r="E28" s="7">
        <f>Stage4to4!F26</f>
        <v>0.56273774399999998</v>
      </c>
      <c r="F28" s="66">
        <v>7.6737154870642286</v>
      </c>
      <c r="G28" s="64">
        <f>F28-B28</f>
        <v>6.0212805641755214</v>
      </c>
      <c r="H28" s="64">
        <f t="shared" si="0"/>
        <v>1</v>
      </c>
      <c r="I28">
        <f>G28/F28</f>
        <v>0.78466299334732215</v>
      </c>
      <c r="J28" s="68">
        <f t="shared" si="2"/>
        <v>1</v>
      </c>
      <c r="K28" s="64">
        <f>F28-C28</f>
        <v>6.5543260564338812</v>
      </c>
      <c r="L28" s="64">
        <f t="shared" si="13"/>
        <v>1</v>
      </c>
      <c r="M28">
        <f>K28/$F28</f>
        <v>0.85412680043750255</v>
      </c>
      <c r="N28" s="69">
        <f t="shared" si="4"/>
        <v>1.2</v>
      </c>
      <c r="O28" s="64">
        <f>F28-D28</f>
        <v>6.8804778862899347</v>
      </c>
      <c r="P28" s="64">
        <f t="shared" si="6"/>
        <v>1</v>
      </c>
      <c r="Q28">
        <f>O28/$F28</f>
        <v>0.89662926621250505</v>
      </c>
      <c r="R28" s="71">
        <f t="shared" si="7"/>
        <v>1.2</v>
      </c>
      <c r="S28" s="64">
        <f>F28-E28</f>
        <v>7.1109777430642289</v>
      </c>
      <c r="T28" s="64">
        <f t="shared" si="9"/>
        <v>1</v>
      </c>
      <c r="U28">
        <f>S28/F28</f>
        <v>0.92666684802836119</v>
      </c>
      <c r="V28" s="69">
        <f t="shared" si="11"/>
        <v>1.2</v>
      </c>
    </row>
    <row r="29" spans="1:22" x14ac:dyDescent="0.2">
      <c r="A29" s="12">
        <v>75</v>
      </c>
      <c r="B29" s="7">
        <f>(Stage4to1!F27*Stage4to1!C27+Stage3to1!F27*Stage3to1!C27+Stage2to1!F27*Stage2to1!C27+Stage1to1!F27*Stage1to1!C27)/(Stage4to1!C27+Stage3to1!C27+Stage2to1!C27+Stage1to1!C27)</f>
        <v>1.6821780466125578</v>
      </c>
      <c r="C29" s="7">
        <f>(Stage4to2!F27*Stage4to2!C27+Stage3to2!F27*Stage3to2!C27+Stage2to2!F27*Stage2to2!C27)/(Stage4to2!C27+Stage3to2!C27+Stage2to2!C27)</f>
        <v>1.1457670650146436</v>
      </c>
      <c r="D29" s="7">
        <f>(Stage4to3!F27*Stage4to3!C27+Stage3to3!F27*Stage3to3!C27)/(Stage4to3!C27+Stage3to3!C27)</f>
        <v>0.81226787367784858</v>
      </c>
      <c r="E29" s="7">
        <f>Stage4to4!F27</f>
        <v>0.54661244399999998</v>
      </c>
      <c r="F29" s="66">
        <v>7.3079651138669099</v>
      </c>
      <c r="G29" s="64">
        <f>F29-B29</f>
        <v>5.6257870672543522</v>
      </c>
      <c r="H29" s="64">
        <f t="shared" si="0"/>
        <v>1</v>
      </c>
      <c r="I29">
        <f>G29/F29</f>
        <v>0.76981580776560987</v>
      </c>
      <c r="J29" s="68">
        <f t="shared" si="2"/>
        <v>1</v>
      </c>
      <c r="K29" s="64">
        <f>F29-C29</f>
        <v>6.1621980488522663</v>
      </c>
      <c r="L29" s="64">
        <f t="shared" si="13"/>
        <v>1</v>
      </c>
      <c r="M29">
        <f>K29/$F29</f>
        <v>0.84321667561869673</v>
      </c>
      <c r="N29" s="80">
        <f t="shared" si="4"/>
        <v>1</v>
      </c>
      <c r="O29" s="64">
        <f>F29-D29</f>
        <v>6.4956972401890614</v>
      </c>
      <c r="P29" s="64">
        <f t="shared" si="6"/>
        <v>1</v>
      </c>
      <c r="Q29">
        <f>O29/$F29</f>
        <v>0.88885170344661812</v>
      </c>
      <c r="R29" s="71">
        <f t="shared" si="7"/>
        <v>1.2</v>
      </c>
      <c r="S29" s="64">
        <f>F29-E29</f>
        <v>6.76135266986691</v>
      </c>
      <c r="T29" s="64">
        <f t="shared" si="9"/>
        <v>1</v>
      </c>
      <c r="U29">
        <f>S29/F29</f>
        <v>0.92520319466730905</v>
      </c>
      <c r="V29" s="69">
        <f t="shared" si="11"/>
        <v>1.2</v>
      </c>
    </row>
    <row r="30" spans="1:22" x14ac:dyDescent="0.2">
      <c r="A30" s="12">
        <v>76</v>
      </c>
      <c r="B30" s="7">
        <f>(Stage4to1!F28*Stage4to1!C28+Stage3to1!F28*Stage3to1!C28+Stage2to1!F28*Stage2to1!C28+Stage1to1!F28*Stage1to1!C28)/(Stage4to1!C28+Stage3to1!C28+Stage2to1!C28+Stage1to1!C28)</f>
        <v>1.6789610208697061</v>
      </c>
      <c r="C30" s="7">
        <f>(Stage4to2!F28*Stage4to2!C28+Stage3to2!F28*Stage3to2!C28+Stage2to2!F28*Stage2to2!C28)/(Stage4to2!C28+Stage3to2!C28+Stage2to2!C28)</f>
        <v>1.143875660292369</v>
      </c>
      <c r="D30" s="7">
        <f>(Stage4to3!F28*Stage4to3!C28+Stage3to3!F28*Stage3to3!C28)/(Stage4to3!C28+Stage3to3!C28)</f>
        <v>0.81254082810717199</v>
      </c>
      <c r="E30" s="7">
        <f>Stage4to4!F28</f>
        <v>0.54661244399999998</v>
      </c>
      <c r="F30" s="66">
        <v>6.9454341390477792</v>
      </c>
      <c r="G30" s="64">
        <f t="shared" si="12"/>
        <v>5.2664731181780731</v>
      </c>
      <c r="H30" s="64">
        <f t="shared" si="0"/>
        <v>1</v>
      </c>
      <c r="I30">
        <f t="shared" si="1"/>
        <v>0.75826406423891424</v>
      </c>
      <c r="J30" s="68">
        <f t="shared" si="2"/>
        <v>1</v>
      </c>
      <c r="K30" s="64">
        <f t="shared" si="3"/>
        <v>5.8015584787554104</v>
      </c>
      <c r="L30" s="64">
        <f t="shared" si="13"/>
        <v>1</v>
      </c>
      <c r="M30">
        <f t="shared" si="14"/>
        <v>0.83530537654062409</v>
      </c>
      <c r="N30" s="80">
        <f t="shared" si="4"/>
        <v>1</v>
      </c>
      <c r="O30" s="64">
        <f t="shared" si="5"/>
        <v>6.1328933109406076</v>
      </c>
      <c r="P30" s="64">
        <f t="shared" si="6"/>
        <v>1</v>
      </c>
      <c r="Q30">
        <f t="shared" si="15"/>
        <v>0.88301079358898493</v>
      </c>
      <c r="R30" s="71">
        <f t="shared" si="7"/>
        <v>1.2</v>
      </c>
      <c r="S30" s="64">
        <f t="shared" si="8"/>
        <v>6.3988216950477792</v>
      </c>
      <c r="T30" s="64">
        <f t="shared" si="9"/>
        <v>1</v>
      </c>
      <c r="U30">
        <f t="shared" si="16"/>
        <v>0.92129902421406584</v>
      </c>
      <c r="V30" s="69">
        <f t="shared" si="11"/>
        <v>1.2</v>
      </c>
    </row>
    <row r="31" spans="1:22" x14ac:dyDescent="0.2">
      <c r="A31" s="12">
        <v>77</v>
      </c>
      <c r="B31" s="7">
        <f>(Stage4to1!F29*Stage4to1!C29+Stage3to1!F29*Stage3to1!C29+Stage2to1!F29*Stage2to1!C29+Stage1to1!F29*Stage1to1!C29)/(Stage4to1!C29+Stage3to1!C29+Stage2to1!C29+Stage1to1!C29)</f>
        <v>1.6721882867429112</v>
      </c>
      <c r="C31" s="7">
        <f>(Stage4to2!F29*Stage4to2!C29+Stage3to2!F29*Stage3to2!C29+Stage2to2!F29*Stage2to2!C29)/(Stage4to2!C29+Stage3to2!C29+Stage2to2!C29)</f>
        <v>1.1405088848613367</v>
      </c>
      <c r="D31" s="7">
        <f>(Stage4to3!F29*Stage4to3!C29+Stage3to3!F29*Stage3to3!C29)/(Stage4to3!C29+Stage3to3!C29)</f>
        <v>0.81159644247870033</v>
      </c>
      <c r="E31" s="7">
        <f>Stage4to4!F29</f>
        <v>0.54661244399999998</v>
      </c>
      <c r="F31" s="66">
        <v>6.5885520751733786</v>
      </c>
      <c r="G31" s="64">
        <f t="shared" si="12"/>
        <v>4.9163637884304672</v>
      </c>
      <c r="H31" s="64">
        <f t="shared" si="0"/>
        <v>1</v>
      </c>
      <c r="I31">
        <f t="shared" si="1"/>
        <v>0.74619791000150704</v>
      </c>
      <c r="J31" s="68">
        <f t="shared" si="2"/>
        <v>1</v>
      </c>
      <c r="K31" s="64">
        <f t="shared" si="3"/>
        <v>5.4480431903120419</v>
      </c>
      <c r="L31" s="64">
        <f t="shared" si="13"/>
        <v>1</v>
      </c>
      <c r="M31">
        <f t="shared" si="14"/>
        <v>0.82689536762425542</v>
      </c>
      <c r="N31" s="80">
        <f t="shared" si="4"/>
        <v>1</v>
      </c>
      <c r="O31" s="64">
        <f t="shared" si="5"/>
        <v>5.776955632694678</v>
      </c>
      <c r="P31" s="64">
        <f t="shared" si="6"/>
        <v>1</v>
      </c>
      <c r="Q31">
        <f t="shared" si="15"/>
        <v>0.87681717724643726</v>
      </c>
      <c r="R31" s="71">
        <f t="shared" si="7"/>
        <v>1.2</v>
      </c>
      <c r="S31" s="64">
        <f t="shared" si="8"/>
        <v>6.0419396311733786</v>
      </c>
      <c r="T31" s="64">
        <f t="shared" si="9"/>
        <v>1</v>
      </c>
      <c r="U31">
        <f t="shared" si="16"/>
        <v>0.91703602889325031</v>
      </c>
      <c r="V31" s="69">
        <f t="shared" si="11"/>
        <v>1.2</v>
      </c>
    </row>
    <row r="32" spans="1:22" x14ac:dyDescent="0.2">
      <c r="A32" s="12">
        <v>78</v>
      </c>
      <c r="B32" s="7">
        <f>(Stage4to1!F30*Stage4to1!C30+Stage3to1!F30*Stage3to1!C30+Stage2to1!F30*Stage2to1!C30+Stage1to1!F30*Stage1to1!C30)/(Stage4to1!C30+Stage3to1!C30+Stage2to1!C30+Stage1to1!C30)</f>
        <v>1.6611034773876729</v>
      </c>
      <c r="C32" s="7">
        <f>(Stage4to2!F30*Stage4to2!C30+Stage3to2!F30*Stage3to2!C30+Stage2to2!F30*Stage2to2!C30)/(Stage4to2!C30+Stage3to2!C30+Stage2to2!C30)</f>
        <v>1.1340681669289296</v>
      </c>
      <c r="D32" s="7">
        <f>(Stage4to3!F30*Stage4to3!C30+Stage3to3!F30*Stage3to3!C30)/(Stage4to3!C30+Stage3to3!C30)</f>
        <v>0.80734229853226969</v>
      </c>
      <c r="E32" s="7">
        <f>Stage4to4!F30</f>
        <v>0.54661244399999998</v>
      </c>
      <c r="F32" s="66">
        <v>6.2360656249528823</v>
      </c>
      <c r="G32" s="64">
        <f t="shared" si="12"/>
        <v>4.5749621475652091</v>
      </c>
      <c r="H32" s="64">
        <f t="shared" si="0"/>
        <v>1</v>
      </c>
      <c r="I32">
        <f t="shared" si="1"/>
        <v>0.73362957074393775</v>
      </c>
      <c r="J32" s="68">
        <f t="shared" si="2"/>
        <v>1</v>
      </c>
      <c r="K32" s="64">
        <f t="shared" si="3"/>
        <v>5.1019974580239529</v>
      </c>
      <c r="L32" s="64">
        <f t="shared" si="13"/>
        <v>1</v>
      </c>
      <c r="M32">
        <f t="shared" si="14"/>
        <v>0.81814364454551458</v>
      </c>
      <c r="N32" s="80">
        <f t="shared" si="4"/>
        <v>1</v>
      </c>
      <c r="O32" s="64">
        <f t="shared" si="5"/>
        <v>5.4287233264206129</v>
      </c>
      <c r="P32" s="64">
        <f t="shared" si="6"/>
        <v>1</v>
      </c>
      <c r="Q32">
        <f t="shared" si="15"/>
        <v>0.87053659356922353</v>
      </c>
      <c r="R32" s="71">
        <f t="shared" si="7"/>
        <v>1.2</v>
      </c>
      <c r="S32" s="64">
        <f t="shared" si="8"/>
        <v>5.6894531809528823</v>
      </c>
      <c r="T32" s="64">
        <f t="shared" si="9"/>
        <v>1</v>
      </c>
      <c r="U32">
        <f t="shared" si="16"/>
        <v>0.91234658567209515</v>
      </c>
      <c r="V32" s="69">
        <f t="shared" si="11"/>
        <v>1.2</v>
      </c>
    </row>
    <row r="33" spans="1:22" x14ac:dyDescent="0.2">
      <c r="A33" s="12">
        <v>79</v>
      </c>
      <c r="B33" s="7">
        <f>(Stage4to1!F31*Stage4to1!C31+Stage3to1!F31*Stage3to1!C31+Stage2to1!F31*Stage2to1!C31+Stage1to1!F31*Stage1to1!C31)/(Stage4to1!C31+Stage3to1!C31+Stage2to1!C31+Stage1to1!C31)</f>
        <v>1.6413838261338374</v>
      </c>
      <c r="C33" s="7">
        <f>(Stage4to2!F31*Stage4to2!C31+Stage3to2!F31*Stage3to2!C31+Stage2to2!F31*Stage2to2!C31)/(Stage4to2!C31+Stage3to2!C31+Stage2to2!C31)</f>
        <v>1.11777066251632</v>
      </c>
      <c r="D33" s="7">
        <f>(Stage4to3!F31*Stage4to3!C31+Stage3to3!F31*Stage3to3!C31)/(Stage4to3!C31+Stage3to3!C31)</f>
        <v>0.7939948802644553</v>
      </c>
      <c r="E33" s="7">
        <f>Stage4to4!F31</f>
        <v>0.54407288879999993</v>
      </c>
      <c r="F33" s="66">
        <v>5.89039822365425</v>
      </c>
      <c r="G33" s="64">
        <f t="shared" si="12"/>
        <v>4.2490143975204129</v>
      </c>
      <c r="H33" s="64">
        <f t="shared" si="0"/>
        <v>1</v>
      </c>
      <c r="I33">
        <f t="shared" si="1"/>
        <v>0.72134586426729475</v>
      </c>
      <c r="J33" s="68">
        <f t="shared" si="2"/>
        <v>1</v>
      </c>
      <c r="K33" s="64">
        <f t="shared" si="3"/>
        <v>4.7726275611379299</v>
      </c>
      <c r="L33" s="64">
        <f t="shared" si="13"/>
        <v>1</v>
      </c>
      <c r="M33">
        <f t="shared" si="14"/>
        <v>0.81023852376777261</v>
      </c>
      <c r="N33" s="80">
        <f t="shared" si="4"/>
        <v>1</v>
      </c>
      <c r="O33" s="64">
        <f t="shared" si="5"/>
        <v>5.0964033433897944</v>
      </c>
      <c r="P33" s="64">
        <f t="shared" si="6"/>
        <v>1</v>
      </c>
      <c r="Q33">
        <f t="shared" si="15"/>
        <v>0.86520522889675155</v>
      </c>
      <c r="R33" s="71">
        <f t="shared" si="7"/>
        <v>1.2</v>
      </c>
      <c r="S33" s="64">
        <f>F33-E33</f>
        <v>5.3463253348542503</v>
      </c>
      <c r="T33" s="64">
        <f t="shared" si="9"/>
        <v>1</v>
      </c>
      <c r="U33">
        <f>S33/F33</f>
        <v>0.90763393778452028</v>
      </c>
      <c r="V33" s="69">
        <f t="shared" si="11"/>
        <v>1.2</v>
      </c>
    </row>
    <row r="34" spans="1:22" x14ac:dyDescent="0.2">
      <c r="A34" s="13">
        <v>80</v>
      </c>
      <c r="B34" s="8" t="e">
        <f>(Stage4to1!F32*Stage4to1!C32+Stage3to1!F32*Stage3to1!C32+Stage2to1!F32*Stage2to1!C32+Stage1to1!F32*Stage1to1!C32)/(Stage4to1!C32+Stage3to1!C32+Stage2to1!C32+Stage1to1!C32)</f>
        <v>#DIV/0!</v>
      </c>
      <c r="C34" s="8" t="e">
        <f>(Stage4to2!F32*Stage4to2!C32+Stage3to2!F32*Stage3to2!C32+Stage2to2!F32*Stage2to2!C32)/(Stage4to2!C32+Stage3to2!C32+Stage2to2!C32)</f>
        <v>#DIV/0!</v>
      </c>
      <c r="D34" s="8" t="e">
        <f>(Stage4to3!F32*Stage4to3!C32+Stage3to3!F32*Stage3to3!C32)/(Stage4to3!C32+Stage3to3!C32)</f>
        <v>#DIV/0!</v>
      </c>
      <c r="E34" s="8" t="e">
        <f>Stage4to4!F32</f>
        <v>#DIV/0!</v>
      </c>
      <c r="F34" s="66">
        <v>5.5490187430000004</v>
      </c>
      <c r="G34" s="64" t="e">
        <f t="shared" si="12"/>
        <v>#DIV/0!</v>
      </c>
      <c r="H34" s="64" t="e">
        <f t="shared" si="0"/>
        <v>#DIV/0!</v>
      </c>
      <c r="I34" t="e">
        <f t="shared" si="1"/>
        <v>#DIV/0!</v>
      </c>
      <c r="J34" s="68" t="e">
        <f t="shared" si="2"/>
        <v>#DIV/0!</v>
      </c>
      <c r="K34" s="64" t="e">
        <f t="shared" si="3"/>
        <v>#DIV/0!</v>
      </c>
      <c r="L34" s="64" t="e">
        <f t="shared" si="13"/>
        <v>#DIV/0!</v>
      </c>
      <c r="M34" t="e">
        <f t="shared" si="14"/>
        <v>#DIV/0!</v>
      </c>
      <c r="N34" s="68" t="e">
        <f t="shared" si="4"/>
        <v>#DIV/0!</v>
      </c>
      <c r="O34" s="64" t="e">
        <f t="shared" si="5"/>
        <v>#DIV/0!</v>
      </c>
      <c r="P34" s="64" t="e">
        <f t="shared" si="6"/>
        <v>#DIV/0!</v>
      </c>
      <c r="Q34" t="e">
        <f>O34/$F34</f>
        <v>#DIV/0!</v>
      </c>
      <c r="R34" t="e">
        <f t="shared" si="7"/>
        <v>#DIV/0!</v>
      </c>
      <c r="S34" s="64" t="e">
        <f t="shared" si="8"/>
        <v>#DIV/0!</v>
      </c>
      <c r="T34" s="64" t="e">
        <f t="shared" si="9"/>
        <v>#DIV/0!</v>
      </c>
      <c r="U34" t="e">
        <f t="shared" si="16"/>
        <v>#DIV/0!</v>
      </c>
      <c r="V34" s="69" t="e">
        <f t="shared" si="11"/>
        <v>#DIV/0!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F51"/>
  <sheetViews>
    <sheetView workbookViewId="0">
      <selection activeCell="B2" sqref="B2:B31"/>
    </sheetView>
  </sheetViews>
  <sheetFormatPr baseColWidth="10" defaultRowHeight="16" x14ac:dyDescent="0.2"/>
  <cols>
    <col min="1" max="1" width="8.1640625" customWidth="1"/>
    <col min="2" max="2" width="18" customWidth="1"/>
    <col min="3" max="3" width="20.6640625" customWidth="1"/>
    <col min="4" max="4" width="20" customWidth="1"/>
    <col min="5" max="5" width="16.83203125" customWidth="1"/>
    <col min="6" max="6" width="17.6640625" customWidth="1"/>
  </cols>
  <sheetData>
    <row r="1" spans="1:6" ht="51" x14ac:dyDescent="0.2">
      <c r="A1" s="3" t="s">
        <v>0</v>
      </c>
      <c r="B1" s="9" t="s">
        <v>1</v>
      </c>
      <c r="C1" s="9" t="s">
        <v>2</v>
      </c>
      <c r="D1" s="9" t="s">
        <v>3</v>
      </c>
      <c r="E1" s="15" t="s">
        <v>23</v>
      </c>
      <c r="F1" s="14" t="s">
        <v>23</v>
      </c>
    </row>
    <row r="2" spans="1:6" x14ac:dyDescent="0.2">
      <c r="A2">
        <v>50</v>
      </c>
      <c r="B2" s="7">
        <v>17.516331000000001</v>
      </c>
      <c r="C2" s="7">
        <v>110.38721865760337</v>
      </c>
      <c r="D2" s="7">
        <v>35.872475712102592</v>
      </c>
      <c r="E2" s="16">
        <f>D2/C2</f>
        <v>0.32496946791793935</v>
      </c>
      <c r="F2" s="11">
        <f>D2/B2</f>
        <v>2.047944613064379</v>
      </c>
    </row>
    <row r="3" spans="1:6" x14ac:dyDescent="0.2">
      <c r="A3">
        <v>51</v>
      </c>
      <c r="B3" s="7">
        <v>17.516331000000001</v>
      </c>
      <c r="C3" s="7">
        <v>121.693</v>
      </c>
      <c r="D3" s="7">
        <v>34.200000000000003</v>
      </c>
      <c r="E3" s="16">
        <f>D3/C3</f>
        <v>0.2810350636437593</v>
      </c>
      <c r="F3" s="11">
        <f>D3/B3</f>
        <v>1.9524636751840325</v>
      </c>
    </row>
    <row r="4" spans="1:6" x14ac:dyDescent="0.2">
      <c r="A4">
        <v>52</v>
      </c>
      <c r="B4" s="7">
        <v>17.516331000000001</v>
      </c>
      <c r="C4" s="7">
        <v>138.042</v>
      </c>
      <c r="D4" s="7">
        <v>34.04</v>
      </c>
      <c r="E4" s="16">
        <f t="shared" ref="E3:E32" si="0">D4/C4</f>
        <v>0.24659161704408802</v>
      </c>
      <c r="F4" s="11">
        <f>D4/B4</f>
        <v>1.9433293422007152</v>
      </c>
    </row>
    <row r="5" spans="1:6" x14ac:dyDescent="0.2">
      <c r="A5">
        <v>53</v>
      </c>
      <c r="B5" s="7">
        <v>17.516331000000001</v>
      </c>
      <c r="C5" s="7">
        <v>159.31100000000001</v>
      </c>
      <c r="D5" s="7">
        <v>33.880000000000003</v>
      </c>
      <c r="E5" s="16">
        <f t="shared" si="0"/>
        <v>0.21266579206708891</v>
      </c>
      <c r="F5" s="11">
        <f t="shared" ref="F3:F32" si="1">D5/B5</f>
        <v>1.9341950092173983</v>
      </c>
    </row>
    <row r="6" spans="1:6" x14ac:dyDescent="0.2">
      <c r="A6">
        <v>54</v>
      </c>
      <c r="B6" s="7">
        <v>17.516331000000001</v>
      </c>
      <c r="C6" s="7">
        <v>184.11699999999999</v>
      </c>
      <c r="D6" s="7">
        <v>33.700000000000003</v>
      </c>
      <c r="E6" s="16">
        <f t="shared" si="0"/>
        <v>0.1830357870267276</v>
      </c>
      <c r="F6" s="11">
        <f>D6/B6</f>
        <v>1.9239188846111666</v>
      </c>
    </row>
    <row r="7" spans="1:6" x14ac:dyDescent="0.2">
      <c r="A7">
        <v>55</v>
      </c>
      <c r="B7" s="7">
        <v>35.513751999999997</v>
      </c>
      <c r="C7" s="7">
        <v>213.27152261968314</v>
      </c>
      <c r="D7" s="7">
        <v>53.055873857707368</v>
      </c>
      <c r="E7" s="16">
        <f t="shared" si="0"/>
        <v>0.24877148719156172</v>
      </c>
      <c r="F7" s="11">
        <f>D7/B7</f>
        <v>1.4939529300567107</v>
      </c>
    </row>
    <row r="8" spans="1:6" x14ac:dyDescent="0.2">
      <c r="A8">
        <v>56</v>
      </c>
      <c r="B8" s="7">
        <v>35.513751999999997</v>
      </c>
      <c r="C8" s="7">
        <v>230.58699999999999</v>
      </c>
      <c r="D8" s="7">
        <v>53.06</v>
      </c>
      <c r="E8" s="16">
        <f t="shared" si="0"/>
        <v>0.2301083755805835</v>
      </c>
      <c r="F8" s="11">
        <f>D8/B8</f>
        <v>1.4940691144095393</v>
      </c>
    </row>
    <row r="9" spans="1:6" x14ac:dyDescent="0.2">
      <c r="A9">
        <v>57</v>
      </c>
      <c r="B9" s="7">
        <v>35.513751999999997</v>
      </c>
      <c r="C9" s="7">
        <v>255.66098343331865</v>
      </c>
      <c r="D9" s="7">
        <v>52.960303383100737</v>
      </c>
      <c r="E9" s="16">
        <f t="shared" si="0"/>
        <v>0.20715051108654525</v>
      </c>
      <c r="F9" s="11">
        <f>D9/B9</f>
        <v>1.491261846484166</v>
      </c>
    </row>
    <row r="10" spans="1:6" x14ac:dyDescent="0.2">
      <c r="A10">
        <v>58</v>
      </c>
      <c r="B10" s="7">
        <v>35.513751999999997</v>
      </c>
      <c r="C10" s="7">
        <v>288.04554169531934</v>
      </c>
      <c r="D10" s="7">
        <v>52.599561438469486</v>
      </c>
      <c r="E10" s="16">
        <f t="shared" si="0"/>
        <v>0.18260849006337601</v>
      </c>
      <c r="F10" s="11">
        <f t="shared" si="1"/>
        <v>1.4811040365002688</v>
      </c>
    </row>
    <row r="11" spans="1:6" x14ac:dyDescent="0.2">
      <c r="A11">
        <v>59</v>
      </c>
      <c r="B11" s="7">
        <v>35.513751999999997</v>
      </c>
      <c r="C11" s="7">
        <v>324.88685066420845</v>
      </c>
      <c r="D11" s="7">
        <v>52.226193525776139</v>
      </c>
      <c r="E11" s="16">
        <f t="shared" si="0"/>
        <v>0.16075194615911151</v>
      </c>
      <c r="F11" s="11">
        <f t="shared" si="1"/>
        <v>1.470590703166935</v>
      </c>
    </row>
    <row r="12" spans="1:6" x14ac:dyDescent="0.2">
      <c r="A12">
        <v>60</v>
      </c>
      <c r="B12" s="7">
        <v>65.085517999999993</v>
      </c>
      <c r="C12" s="7">
        <v>366.7882968452812</v>
      </c>
      <c r="D12" s="7">
        <v>80.040364998034107</v>
      </c>
      <c r="E12" s="16">
        <f t="shared" si="0"/>
        <v>0.21821951705235779</v>
      </c>
      <c r="F12" s="11">
        <f t="shared" si="1"/>
        <v>1.2297722666666664</v>
      </c>
    </row>
    <row r="13" spans="1:6" x14ac:dyDescent="0.2">
      <c r="A13">
        <v>61</v>
      </c>
      <c r="B13" s="7">
        <v>65.085517999999993</v>
      </c>
      <c r="C13" s="7">
        <v>386.18230957546314</v>
      </c>
      <c r="D13" s="7">
        <v>80.040364998034107</v>
      </c>
      <c r="E13" s="16">
        <f t="shared" si="0"/>
        <v>0.20726056842433788</v>
      </c>
      <c r="F13" s="11">
        <f t="shared" si="1"/>
        <v>1.2297722666666664</v>
      </c>
    </row>
    <row r="14" spans="1:6" x14ac:dyDescent="0.2">
      <c r="A14">
        <v>62</v>
      </c>
      <c r="B14" s="7">
        <v>65.085517999999993</v>
      </c>
      <c r="C14" s="7">
        <v>414.47144902317422</v>
      </c>
      <c r="D14" s="7">
        <v>80.040364998034107</v>
      </c>
      <c r="E14" s="16">
        <f t="shared" si="0"/>
        <v>0.19311430301574001</v>
      </c>
      <c r="F14" s="11">
        <f t="shared" si="1"/>
        <v>1.2297722666666664</v>
      </c>
    </row>
    <row r="15" spans="1:6" x14ac:dyDescent="0.2">
      <c r="A15">
        <v>63</v>
      </c>
      <c r="B15" s="7">
        <v>65.085517999999993</v>
      </c>
      <c r="C15" s="7">
        <v>451.06635753550307</v>
      </c>
      <c r="D15" s="7">
        <v>79.725089164151228</v>
      </c>
      <c r="E15" s="16">
        <f t="shared" si="0"/>
        <v>0.17674802793927305</v>
      </c>
      <c r="F15" s="11">
        <f t="shared" si="1"/>
        <v>1.2249282423188401</v>
      </c>
    </row>
    <row r="16" spans="1:6" x14ac:dyDescent="0.2">
      <c r="A16">
        <v>64</v>
      </c>
      <c r="B16" s="7">
        <v>65.085517999999993</v>
      </c>
      <c r="C16" s="7">
        <v>492.5557719123446</v>
      </c>
      <c r="D16" s="7">
        <v>79.357746500559244</v>
      </c>
      <c r="E16" s="16">
        <f t="shared" si="0"/>
        <v>0.16111423523158264</v>
      </c>
      <c r="F16" s="11">
        <f t="shared" si="1"/>
        <v>1.2192842423188404</v>
      </c>
    </row>
    <row r="17" spans="1:6" x14ac:dyDescent="0.2">
      <c r="A17">
        <v>65</v>
      </c>
      <c r="B17" s="7">
        <v>99.622283999999979</v>
      </c>
      <c r="C17" s="7">
        <v>539.49322221877071</v>
      </c>
      <c r="D17" s="7">
        <v>94.013980010075045</v>
      </c>
      <c r="E17" s="16">
        <f t="shared" si="0"/>
        <v>0.17426350533825852</v>
      </c>
      <c r="F17" s="11">
        <f t="shared" si="1"/>
        <v>0.94370432231884049</v>
      </c>
    </row>
    <row r="18" spans="1:6" x14ac:dyDescent="0.2">
      <c r="A18">
        <v>66</v>
      </c>
      <c r="B18" s="7">
        <v>99.622283999999979</v>
      </c>
      <c r="C18" s="7">
        <v>559.32525293576737</v>
      </c>
      <c r="D18" s="7">
        <v>94.013980010075045</v>
      </c>
      <c r="E18" s="16">
        <f t="shared" si="0"/>
        <v>0.16808463325519035</v>
      </c>
      <c r="F18" s="11">
        <f t="shared" si="1"/>
        <v>0.94370432231884049</v>
      </c>
    </row>
    <row r="19" spans="1:6" x14ac:dyDescent="0.2">
      <c r="A19">
        <v>67</v>
      </c>
      <c r="B19" s="7">
        <v>99.622283999999979</v>
      </c>
      <c r="C19" s="7">
        <v>588.46448740536539</v>
      </c>
      <c r="D19" s="7">
        <v>94.013980010075045</v>
      </c>
      <c r="E19" s="16">
        <f t="shared" si="0"/>
        <v>0.15976151836213229</v>
      </c>
      <c r="F19" s="11">
        <f t="shared" si="1"/>
        <v>0.94370432231884049</v>
      </c>
    </row>
    <row r="20" spans="1:6" x14ac:dyDescent="0.2">
      <c r="A20">
        <v>68</v>
      </c>
      <c r="B20" s="7">
        <v>99.622283999999979</v>
      </c>
      <c r="C20" s="7">
        <v>625.97437415900674</v>
      </c>
      <c r="D20" s="7">
        <v>94.175844218044475</v>
      </c>
      <c r="E20" s="16">
        <f t="shared" si="0"/>
        <v>0.15044680438327723</v>
      </c>
      <c r="F20" s="11">
        <f t="shared" si="1"/>
        <v>0.94532910144927507</v>
      </c>
    </row>
    <row r="21" spans="1:6" x14ac:dyDescent="0.2">
      <c r="A21">
        <v>69</v>
      </c>
      <c r="B21" s="7">
        <v>99.622283999999979</v>
      </c>
      <c r="C21" s="7">
        <v>667.61021820524047</v>
      </c>
      <c r="D21" s="7">
        <v>94.545177232260471</v>
      </c>
      <c r="E21" s="16">
        <f t="shared" si="0"/>
        <v>0.14161733097259885</v>
      </c>
      <c r="F21" s="11">
        <f t="shared" si="1"/>
        <v>0.94903643478260835</v>
      </c>
    </row>
    <row r="22" spans="1:6" x14ac:dyDescent="0.2">
      <c r="A22">
        <v>70</v>
      </c>
      <c r="B22" s="7">
        <v>138.44874999999999</v>
      </c>
      <c r="C22" s="7">
        <v>713.22664234888566</v>
      </c>
      <c r="D22" s="7">
        <v>110.26200510456518</v>
      </c>
      <c r="E22" s="16">
        <f t="shared" si="0"/>
        <v>0.15459602678531018</v>
      </c>
      <c r="F22" s="11">
        <f t="shared" si="1"/>
        <v>0.79641026086956501</v>
      </c>
    </row>
    <row r="23" spans="1:6" x14ac:dyDescent="0.2">
      <c r="A23">
        <v>71</v>
      </c>
      <c r="B23" s="7">
        <v>138.44874999999999</v>
      </c>
      <c r="C23" s="7">
        <v>725.24520809768524</v>
      </c>
      <c r="D23" s="7">
        <v>110.26200510456518</v>
      </c>
      <c r="E23" s="16">
        <f t="shared" si="0"/>
        <v>0.15203410360170722</v>
      </c>
      <c r="F23" s="11">
        <f t="shared" si="1"/>
        <v>0.79641026086956501</v>
      </c>
    </row>
    <row r="24" spans="1:6" x14ac:dyDescent="0.2">
      <c r="A24">
        <v>72</v>
      </c>
      <c r="B24" s="7">
        <v>138.44874999999999</v>
      </c>
      <c r="C24" s="7">
        <v>743.62895158560866</v>
      </c>
      <c r="D24" s="7">
        <v>110.26200510456518</v>
      </c>
      <c r="E24" s="16">
        <f t="shared" si="0"/>
        <v>0.14827556790178509</v>
      </c>
      <c r="F24" s="11">
        <f t="shared" si="1"/>
        <v>0.79641026086956501</v>
      </c>
    </row>
    <row r="25" spans="1:6" x14ac:dyDescent="0.2">
      <c r="A25">
        <v>73</v>
      </c>
      <c r="B25" s="7">
        <v>138.44874999999999</v>
      </c>
      <c r="C25" s="7">
        <v>767.33679168388119</v>
      </c>
      <c r="D25" s="7">
        <v>109.6119669543768</v>
      </c>
      <c r="E25" s="16">
        <f t="shared" si="0"/>
        <v>0.14284727142281156</v>
      </c>
      <c r="F25" s="11">
        <f t="shared" si="1"/>
        <v>0.79171510724637673</v>
      </c>
    </row>
    <row r="26" spans="1:6" x14ac:dyDescent="0.2">
      <c r="A26">
        <v>74</v>
      </c>
      <c r="B26" s="7">
        <v>138.44874999999999</v>
      </c>
      <c r="C26" s="7">
        <v>792.44382752440185</v>
      </c>
      <c r="D26" s="7">
        <v>106.47102631271009</v>
      </c>
      <c r="E26" s="16">
        <f t="shared" si="0"/>
        <v>0.13435782148158826</v>
      </c>
      <c r="F26" s="11">
        <f t="shared" si="1"/>
        <v>0.76902844057970987</v>
      </c>
    </row>
    <row r="27" spans="1:6" x14ac:dyDescent="0.2">
      <c r="A27">
        <v>75</v>
      </c>
      <c r="B27" s="7">
        <v>169.87109000000001</v>
      </c>
      <c r="C27" s="7">
        <v>817.49938811770721</v>
      </c>
      <c r="D27" s="7">
        <v>130.63569944227561</v>
      </c>
      <c r="E27" s="16">
        <f t="shared" si="0"/>
        <v>0.15979914033093576</v>
      </c>
      <c r="F27" s="11">
        <f t="shared" si="1"/>
        <v>0.7690284405797102</v>
      </c>
    </row>
    <row r="28" spans="1:6" x14ac:dyDescent="0.2">
      <c r="A28">
        <v>76</v>
      </c>
      <c r="B28" s="7">
        <v>169.87109000000001</v>
      </c>
      <c r="C28" s="7">
        <v>810.7249336251225</v>
      </c>
      <c r="D28" s="7">
        <v>130.63569944227561</v>
      </c>
      <c r="E28" s="16">
        <f t="shared" si="0"/>
        <v>0.16113442923007631</v>
      </c>
      <c r="F28" s="11">
        <f t="shared" si="1"/>
        <v>0.7690284405797102</v>
      </c>
    </row>
    <row r="29" spans="1:6" x14ac:dyDescent="0.2">
      <c r="A29">
        <v>77</v>
      </c>
      <c r="B29" s="7">
        <v>169.87109000000001</v>
      </c>
      <c r="C29" s="7">
        <v>803.14740116272174</v>
      </c>
      <c r="D29" s="7">
        <v>130.63569944227561</v>
      </c>
      <c r="E29" s="16">
        <f t="shared" si="0"/>
        <v>0.16265469981369976</v>
      </c>
      <c r="F29" s="11">
        <f t="shared" si="1"/>
        <v>0.7690284405797102</v>
      </c>
    </row>
    <row r="30" spans="1:6" x14ac:dyDescent="0.2">
      <c r="A30">
        <v>78</v>
      </c>
      <c r="B30" s="7">
        <v>169.87109000000001</v>
      </c>
      <c r="C30" s="7">
        <v>794.92497922798418</v>
      </c>
      <c r="D30" s="7">
        <v>130.02876746795656</v>
      </c>
      <c r="E30" s="16">
        <f t="shared" si="0"/>
        <v>0.16357363382169471</v>
      </c>
      <c r="F30" s="11">
        <f t="shared" si="1"/>
        <v>0.7654555431884057</v>
      </c>
    </row>
    <row r="31" spans="1:6" x14ac:dyDescent="0.2">
      <c r="A31">
        <v>79</v>
      </c>
      <c r="B31" s="7">
        <v>169.87109000000001</v>
      </c>
      <c r="C31" s="7">
        <v>785.94138039794643</v>
      </c>
      <c r="D31" s="7">
        <v>127.09611297019656</v>
      </c>
      <c r="E31" s="16">
        <f t="shared" si="0"/>
        <v>0.16171194969508268</v>
      </c>
      <c r="F31" s="11">
        <f>D31/B31</f>
        <v>0.74819154318840564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F51"/>
  <sheetViews>
    <sheetView workbookViewId="0">
      <selection activeCell="H20" sqref="H20"/>
    </sheetView>
  </sheetViews>
  <sheetFormatPr baseColWidth="10" defaultRowHeight="16" x14ac:dyDescent="0.2"/>
  <cols>
    <col min="2" max="2" width="22" customWidth="1"/>
    <col min="3" max="3" width="21.33203125" customWidth="1"/>
    <col min="4" max="4" width="16.83203125" customWidth="1"/>
    <col min="5" max="5" width="18.83203125" customWidth="1"/>
    <col min="6" max="6" width="16.6640625" customWidth="1"/>
  </cols>
  <sheetData>
    <row r="1" spans="1:6" ht="51" x14ac:dyDescent="0.2">
      <c r="A1" s="3" t="s">
        <v>0</v>
      </c>
      <c r="B1" s="9" t="s">
        <v>24</v>
      </c>
      <c r="C1" s="9" t="s">
        <v>2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6.715834000000001</v>
      </c>
      <c r="C2" s="7">
        <v>37.625909961438197</v>
      </c>
      <c r="D2" s="7">
        <v>44.455182099272839</v>
      </c>
      <c r="E2" s="16">
        <f>D2/C2</f>
        <v>1.1815045043384673</v>
      </c>
      <c r="F2" s="11">
        <f>D2/B2</f>
        <v>6.6194581490955304</v>
      </c>
    </row>
    <row r="3" spans="1:6" x14ac:dyDescent="0.2">
      <c r="A3">
        <v>51</v>
      </c>
      <c r="B3" s="7">
        <v>6.715834000000001</v>
      </c>
      <c r="C3" s="7">
        <v>41.522161300071112</v>
      </c>
      <c r="D3" s="7">
        <v>44.329915207799978</v>
      </c>
      <c r="E3" s="16">
        <f t="shared" ref="E3:E32" si="0">D3/C3</f>
        <v>1.067620610773073</v>
      </c>
      <c r="F3" s="11">
        <f t="shared" ref="F3:F32" si="1">D3/B3</f>
        <v>6.6008056792052887</v>
      </c>
    </row>
    <row r="4" spans="1:6" x14ac:dyDescent="0.2">
      <c r="A4">
        <v>52</v>
      </c>
      <c r="B4" s="7">
        <v>6.715834000000001</v>
      </c>
      <c r="C4" s="7">
        <v>47.414620268116437</v>
      </c>
      <c r="D4" s="7">
        <v>44.200263975125601</v>
      </c>
      <c r="E4" s="16">
        <f t="shared" si="0"/>
        <v>0.93220748632353168</v>
      </c>
      <c r="F4" s="11">
        <f t="shared" si="1"/>
        <v>6.5815003728688941</v>
      </c>
    </row>
    <row r="5" spans="1:6" x14ac:dyDescent="0.2">
      <c r="A5">
        <v>53</v>
      </c>
      <c r="B5" s="7">
        <v>6.715834000000001</v>
      </c>
      <c r="C5" s="7">
        <v>55.655311065552581</v>
      </c>
      <c r="D5" s="7">
        <v>44.066074949307577</v>
      </c>
      <c r="E5" s="16">
        <f t="shared" si="0"/>
        <v>0.79176765174136143</v>
      </c>
      <c r="F5" s="11">
        <f t="shared" si="1"/>
        <v>6.5615193808107186</v>
      </c>
    </row>
    <row r="6" spans="1:6" x14ac:dyDescent="0.2">
      <c r="A6">
        <v>54</v>
      </c>
      <c r="B6" s="7">
        <v>6.715834000000001</v>
      </c>
      <c r="C6" s="7">
        <v>65.532572735764347</v>
      </c>
      <c r="D6" s="7">
        <v>43.912186884909239</v>
      </c>
      <c r="E6" s="16">
        <f t="shared" si="0"/>
        <v>0.67008183948414102</v>
      </c>
      <c r="F6" s="11">
        <f t="shared" si="1"/>
        <v>6.5386051657782538</v>
      </c>
    </row>
    <row r="7" spans="1:6" x14ac:dyDescent="0.2">
      <c r="A7">
        <v>55</v>
      </c>
      <c r="B7" s="7">
        <v>14.493368999999998</v>
      </c>
      <c r="C7" s="7">
        <v>76.891662282222569</v>
      </c>
      <c r="D7" s="7">
        <v>73.175259271748374</v>
      </c>
      <c r="E7" s="16">
        <f t="shared" si="0"/>
        <v>0.95166702214300503</v>
      </c>
      <c r="F7" s="11">
        <f t="shared" si="1"/>
        <v>5.0488785093202546</v>
      </c>
    </row>
    <row r="8" spans="1:6" x14ac:dyDescent="0.2">
      <c r="A8">
        <v>56</v>
      </c>
      <c r="B8" s="7">
        <v>14.493368999999998</v>
      </c>
      <c r="C8" s="7">
        <v>82.785027010353105</v>
      </c>
      <c r="D8" s="7">
        <v>73.037826997176253</v>
      </c>
      <c r="E8" s="16">
        <f t="shared" si="0"/>
        <v>0.88225890157699816</v>
      </c>
      <c r="F8" s="11">
        <f t="shared" si="1"/>
        <v>5.0393960850079971</v>
      </c>
    </row>
    <row r="9" spans="1:6" x14ac:dyDescent="0.2">
      <c r="A9">
        <v>57</v>
      </c>
      <c r="B9" s="7">
        <v>14.493368999999998</v>
      </c>
      <c r="C9" s="7">
        <v>91.707928282894983</v>
      </c>
      <c r="D9" s="7">
        <v>72.821870547391612</v>
      </c>
      <c r="E9" s="16">
        <f t="shared" si="0"/>
        <v>0.79406297700625383</v>
      </c>
      <c r="F9" s="11">
        <f t="shared" si="1"/>
        <v>5.0244957226571421</v>
      </c>
    </row>
    <row r="10" spans="1:6" x14ac:dyDescent="0.2">
      <c r="A10">
        <v>58</v>
      </c>
      <c r="B10" s="7">
        <v>14.493368999999998</v>
      </c>
      <c r="C10" s="7">
        <v>104.19363142854627</v>
      </c>
      <c r="D10" s="7">
        <v>72.594475176929194</v>
      </c>
      <c r="E10" s="16">
        <f t="shared" si="0"/>
        <v>0.69672660585510837</v>
      </c>
      <c r="F10" s="11">
        <f t="shared" si="1"/>
        <v>5.0088061082919513</v>
      </c>
    </row>
    <row r="11" spans="1:6" x14ac:dyDescent="0.2">
      <c r="A11">
        <v>59</v>
      </c>
      <c r="B11" s="7">
        <v>14.493368999999998</v>
      </c>
      <c r="C11" s="7">
        <v>118.89493056896255</v>
      </c>
      <c r="D11" s="7">
        <v>72.359120968500619</v>
      </c>
      <c r="E11" s="16">
        <f t="shared" si="0"/>
        <v>0.60859719268291435</v>
      </c>
      <c r="F11" s="11">
        <f t="shared" si="1"/>
        <v>4.9925673574239795</v>
      </c>
    </row>
    <row r="12" spans="1:6" x14ac:dyDescent="0.2">
      <c r="A12">
        <v>60</v>
      </c>
      <c r="B12" s="7">
        <v>26.968920000000001</v>
      </c>
      <c r="C12" s="7">
        <v>135.32481872777203</v>
      </c>
      <c r="D12" s="7">
        <v>114.05079555486026</v>
      </c>
      <c r="E12" s="16">
        <f t="shared" si="0"/>
        <v>0.84279289362501986</v>
      </c>
      <c r="F12" s="11">
        <f t="shared" si="1"/>
        <v>4.2289715552146792</v>
      </c>
    </row>
    <row r="13" spans="1:6" x14ac:dyDescent="0.2">
      <c r="A13">
        <v>61</v>
      </c>
      <c r="B13" s="7">
        <v>26.968920000000001</v>
      </c>
      <c r="C13" s="7">
        <v>141.9063610998144</v>
      </c>
      <c r="D13" s="7">
        <v>113.91350852457765</v>
      </c>
      <c r="E13" s="16">
        <f t="shared" si="0"/>
        <v>0.80273715456950456</v>
      </c>
      <c r="F13" s="11">
        <f t="shared" si="1"/>
        <v>4.223880990583889</v>
      </c>
    </row>
    <row r="14" spans="1:6" x14ac:dyDescent="0.2">
      <c r="A14">
        <v>62</v>
      </c>
      <c r="B14" s="7">
        <v>26.968920000000001</v>
      </c>
      <c r="C14" s="7">
        <v>151.95496778048579</v>
      </c>
      <c r="D14" s="7">
        <v>113.77141644823516</v>
      </c>
      <c r="E14" s="16">
        <f t="shared" si="0"/>
        <v>0.74871797947790297</v>
      </c>
      <c r="F14" s="11">
        <f t="shared" si="1"/>
        <v>4.2186122561910215</v>
      </c>
    </row>
    <row r="15" spans="1:6" x14ac:dyDescent="0.2">
      <c r="A15">
        <v>63</v>
      </c>
      <c r="B15" s="7">
        <v>26.968920000000001</v>
      </c>
      <c r="C15" s="7">
        <v>166.07558240535877</v>
      </c>
      <c r="D15" s="7">
        <v>113.69683823142202</v>
      </c>
      <c r="E15" s="16">
        <f t="shared" si="0"/>
        <v>0.68460899901533845</v>
      </c>
      <c r="F15" s="11">
        <f t="shared" si="1"/>
        <v>4.2158469167998573</v>
      </c>
    </row>
    <row r="16" spans="1:6" x14ac:dyDescent="0.2">
      <c r="A16">
        <v>64</v>
      </c>
      <c r="B16" s="7">
        <v>26.968920000000001</v>
      </c>
      <c r="C16" s="7">
        <v>182.74364536954002</v>
      </c>
      <c r="D16" s="7">
        <v>113.64605072478223</v>
      </c>
      <c r="E16" s="16">
        <f t="shared" si="0"/>
        <v>0.62188783908173539</v>
      </c>
      <c r="F16" s="11">
        <f t="shared" si="1"/>
        <v>4.2139637302784916</v>
      </c>
    </row>
    <row r="17" spans="1:6" x14ac:dyDescent="0.2">
      <c r="A17">
        <v>65</v>
      </c>
      <c r="B17" s="7">
        <v>41.374766999999999</v>
      </c>
      <c r="C17" s="7">
        <v>201.38729601243344</v>
      </c>
      <c r="D17" s="7">
        <v>116.85261785585823</v>
      </c>
      <c r="E17" s="16">
        <f>D17/C17</f>
        <v>0.58023827803241312</v>
      </c>
      <c r="F17" s="11">
        <f t="shared" si="1"/>
        <v>2.8242483602592428</v>
      </c>
    </row>
    <row r="18" spans="1:6" x14ac:dyDescent="0.2">
      <c r="A18">
        <v>66</v>
      </c>
      <c r="B18" s="7">
        <v>41.374766999999999</v>
      </c>
      <c r="C18" s="7">
        <v>208.55645470017006</v>
      </c>
      <c r="D18" s="7">
        <v>116.99096689515551</v>
      </c>
      <c r="E18" s="16">
        <f>D18/C18</f>
        <v>0.56095586714564583</v>
      </c>
      <c r="F18" s="11">
        <f t="shared" si="1"/>
        <v>2.827592162516722</v>
      </c>
    </row>
    <row r="19" spans="1:6" x14ac:dyDescent="0.2">
      <c r="A19">
        <v>67</v>
      </c>
      <c r="B19" s="7">
        <v>41.374766999999999</v>
      </c>
      <c r="C19" s="7">
        <v>219.57775493049351</v>
      </c>
      <c r="D19" s="7">
        <v>117.13415815082824</v>
      </c>
      <c r="E19" s="16">
        <f t="shared" si="0"/>
        <v>0.53345184346158658</v>
      </c>
      <c r="F19" s="11">
        <f>D19/B19</f>
        <v>2.8310529978532144</v>
      </c>
    </row>
    <row r="20" spans="1:6" x14ac:dyDescent="0.2">
      <c r="A20">
        <v>68</v>
      </c>
      <c r="B20" s="7">
        <v>41.374766999999999</v>
      </c>
      <c r="C20" s="7">
        <v>235.09650016329053</v>
      </c>
      <c r="D20" s="7">
        <v>117.28236110044951</v>
      </c>
      <c r="E20" s="16">
        <f t="shared" si="0"/>
        <v>0.49886902195051358</v>
      </c>
      <c r="F20" s="11">
        <f t="shared" si="1"/>
        <v>2.8346349624264837</v>
      </c>
    </row>
    <row r="21" spans="1:6" x14ac:dyDescent="0.2">
      <c r="A21">
        <v>69</v>
      </c>
      <c r="B21" s="7">
        <v>41.374766999999999</v>
      </c>
      <c r="C21" s="7">
        <v>253.13102589023939</v>
      </c>
      <c r="D21" s="7">
        <v>117.43575115330751</v>
      </c>
      <c r="E21" s="16">
        <f t="shared" si="0"/>
        <v>0.46393266388541815</v>
      </c>
      <c r="F21" s="11">
        <f t="shared" si="1"/>
        <v>2.838342295759817</v>
      </c>
    </row>
    <row r="22" spans="1:6" x14ac:dyDescent="0.2">
      <c r="A22">
        <v>70</v>
      </c>
      <c r="B22" s="7">
        <v>58.420325999999996</v>
      </c>
      <c r="C22" s="7">
        <v>272.75798360505451</v>
      </c>
      <c r="D22" s="7">
        <v>132.19547214846926</v>
      </c>
      <c r="E22" s="16">
        <f t="shared" si="0"/>
        <v>0.48466215507695054</v>
      </c>
      <c r="F22" s="11">
        <f t="shared" si="1"/>
        <v>2.2628335238743666</v>
      </c>
    </row>
    <row r="23" spans="1:6" x14ac:dyDescent="0.2">
      <c r="A23">
        <v>71</v>
      </c>
      <c r="B23" s="7">
        <v>58.420325999999996</v>
      </c>
      <c r="C23" s="7">
        <v>277.64088966459582</v>
      </c>
      <c r="D23" s="7">
        <v>131.49353267807717</v>
      </c>
      <c r="E23" s="16">
        <f t="shared" si="0"/>
        <v>0.47361011138138903</v>
      </c>
      <c r="F23" s="11">
        <f t="shared" si="1"/>
        <v>2.250818194305817</v>
      </c>
    </row>
    <row r="24" spans="1:6" x14ac:dyDescent="0.2">
      <c r="A24">
        <v>72</v>
      </c>
      <c r="B24" s="7">
        <v>58.420325999999996</v>
      </c>
      <c r="C24" s="7">
        <v>285.4184704221376</v>
      </c>
      <c r="D24" s="7">
        <v>130.2562926374508</v>
      </c>
      <c r="E24" s="16">
        <f t="shared" si="0"/>
        <v>0.45636952802949321</v>
      </c>
      <c r="F24" s="11">
        <f t="shared" si="1"/>
        <v>2.2296399482168381</v>
      </c>
    </row>
    <row r="25" spans="1:6" x14ac:dyDescent="0.2">
      <c r="A25">
        <v>73</v>
      </c>
      <c r="B25" s="7">
        <v>58.420325999999996</v>
      </c>
      <c r="C25" s="7">
        <v>296.60657716206845</v>
      </c>
      <c r="D25" s="7">
        <v>128.97574919540247</v>
      </c>
      <c r="E25" s="16">
        <f t="shared" si="0"/>
        <v>0.43483779230198588</v>
      </c>
      <c r="F25" s="11">
        <f t="shared" si="1"/>
        <v>2.2077204635147445</v>
      </c>
    </row>
    <row r="26" spans="1:6" x14ac:dyDescent="0.2">
      <c r="A26">
        <v>74</v>
      </c>
      <c r="B26" s="7">
        <v>58.420325999999996</v>
      </c>
      <c r="C26" s="7">
        <v>309.20670648255555</v>
      </c>
      <c r="D26" s="7">
        <v>127.65038673288248</v>
      </c>
      <c r="E26" s="16">
        <f t="shared" si="0"/>
        <v>0.41283188254548453</v>
      </c>
      <c r="F26" s="11">
        <f t="shared" si="1"/>
        <v>2.185033796848078</v>
      </c>
    </row>
    <row r="27" spans="1:6" x14ac:dyDescent="0.2">
      <c r="A27">
        <v>75</v>
      </c>
      <c r="B27" s="7">
        <v>73.279182000000006</v>
      </c>
      <c r="C27" s="7">
        <v>321.86648656539995</v>
      </c>
      <c r="D27" s="7">
        <v>160.11748927538133</v>
      </c>
      <c r="E27" s="16">
        <f t="shared" si="0"/>
        <v>0.49746555158313166</v>
      </c>
      <c r="F27" s="11">
        <f t="shared" si="1"/>
        <v>2.185033796848078</v>
      </c>
    </row>
    <row r="28" spans="1:6" x14ac:dyDescent="0.2">
      <c r="A28">
        <v>76</v>
      </c>
      <c r="B28" s="7">
        <v>73.279182000000006</v>
      </c>
      <c r="C28" s="7">
        <v>319.48752459617111</v>
      </c>
      <c r="D28" s="7">
        <v>159.44747039991785</v>
      </c>
      <c r="E28" s="16">
        <f t="shared" si="0"/>
        <v>0.49907260260461744</v>
      </c>
      <c r="F28" s="11">
        <f t="shared" si="1"/>
        <v>2.1758904241032306</v>
      </c>
    </row>
    <row r="29" spans="1:6" x14ac:dyDescent="0.2">
      <c r="A29">
        <v>77</v>
      </c>
      <c r="B29" s="7">
        <v>73.279182000000006</v>
      </c>
      <c r="C29" s="7">
        <v>316.81804892360594</v>
      </c>
      <c r="D29" s="7">
        <v>158.26649366949428</v>
      </c>
      <c r="E29" s="16">
        <f t="shared" si="0"/>
        <v>0.49955011782695796</v>
      </c>
      <c r="F29" s="11">
        <f t="shared" si="1"/>
        <v>2.1597742953721055</v>
      </c>
    </row>
    <row r="30" spans="1:6" x14ac:dyDescent="0.2">
      <c r="A30">
        <v>78</v>
      </c>
      <c r="B30" s="7">
        <v>73.279182000000006</v>
      </c>
      <c r="C30" s="7">
        <v>313.92180289607938</v>
      </c>
      <c r="D30" s="7">
        <v>157.04418275350588</v>
      </c>
      <c r="E30" s="16">
        <f t="shared" si="0"/>
        <v>0.50026529315484902</v>
      </c>
      <c r="F30" s="11">
        <f>D30/B30</f>
        <v>2.1430941021353904</v>
      </c>
    </row>
    <row r="31" spans="1:6" x14ac:dyDescent="0.2">
      <c r="A31">
        <v>79</v>
      </c>
      <c r="B31" s="7">
        <v>73.279182000000006</v>
      </c>
      <c r="C31" s="7">
        <v>310.75655782161027</v>
      </c>
      <c r="D31" s="7">
        <v>155.77909095545783</v>
      </c>
      <c r="E31" s="16">
        <f>D31/C31</f>
        <v>0.50128979432473564</v>
      </c>
      <c r="F31" s="11">
        <f>D31/B31</f>
        <v>2.12583010213539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F62"/>
  <sheetViews>
    <sheetView workbookViewId="0">
      <selection activeCell="B2" sqref="B2:B31"/>
    </sheetView>
  </sheetViews>
  <sheetFormatPr baseColWidth="10" defaultRowHeight="16" x14ac:dyDescent="0.2"/>
  <cols>
    <col min="2" max="2" width="22.5" customWidth="1"/>
    <col min="3" max="3" width="15.33203125" customWidth="1"/>
    <col min="4" max="4" width="17.1640625" customWidth="1"/>
    <col min="5" max="5" width="17.5" customWidth="1"/>
    <col min="6" max="6" width="20.1640625" customWidth="1"/>
    <col min="7" max="7" width="10.83203125" customWidth="1"/>
    <col min="9" max="9" width="10.83203125" customWidth="1"/>
  </cols>
  <sheetData>
    <row r="1" spans="1:6" ht="51" x14ac:dyDescent="0.2">
      <c r="A1" s="3" t="s">
        <v>0</v>
      </c>
      <c r="B1" s="9" t="s">
        <v>25</v>
      </c>
      <c r="C1" s="9" t="s">
        <v>2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1.8562669999999999</v>
      </c>
      <c r="C2" s="7">
        <v>7.5530274624662619</v>
      </c>
      <c r="D2" s="7">
        <v>20.269170233929874</v>
      </c>
      <c r="E2" s="16">
        <f>D2/C2</f>
        <v>2.6835822237711628</v>
      </c>
      <c r="F2" s="11">
        <f>D2/B2</f>
        <v>10.919318306003325</v>
      </c>
    </row>
    <row r="3" spans="1:6" x14ac:dyDescent="0.2">
      <c r="A3">
        <v>51</v>
      </c>
      <c r="B3" s="7">
        <v>1.8562669999999999</v>
      </c>
      <c r="C3" s="7">
        <v>8.2236292795187822</v>
      </c>
      <c r="D3" s="7">
        <v>20.230939044446416</v>
      </c>
      <c r="E3" s="16">
        <f t="shared" ref="E3:E32" si="0">D3/C3</f>
        <v>2.460098620305299</v>
      </c>
      <c r="F3" s="11">
        <f t="shared" ref="F3:F32" si="1">D3/B3</f>
        <v>10.898722567629774</v>
      </c>
    </row>
    <row r="4" spans="1:6" x14ac:dyDescent="0.2">
      <c r="A4">
        <v>52</v>
      </c>
      <c r="B4" s="7">
        <v>1.8562669999999999</v>
      </c>
      <c r="C4" s="7">
        <v>9.3365166992233757</v>
      </c>
      <c r="D4" s="7">
        <v>20.191369763331046</v>
      </c>
      <c r="E4" s="16">
        <f t="shared" si="0"/>
        <v>2.1626234294649302</v>
      </c>
      <c r="F4" s="11">
        <f t="shared" si="1"/>
        <v>10.877405978413153</v>
      </c>
    </row>
    <row r="5" spans="1:6" x14ac:dyDescent="0.2">
      <c r="A5">
        <v>53</v>
      </c>
      <c r="B5" s="7">
        <v>1.8562669999999999</v>
      </c>
      <c r="C5" s="7">
        <v>11.182824328429309</v>
      </c>
      <c r="D5" s="7">
        <v>20.150415557376643</v>
      </c>
      <c r="E5" s="16">
        <f t="shared" si="0"/>
        <v>1.8019075472865702</v>
      </c>
      <c r="F5" s="11">
        <f t="shared" si="1"/>
        <v>10.855343308573952</v>
      </c>
    </row>
    <row r="6" spans="1:6" x14ac:dyDescent="0.2">
      <c r="A6">
        <v>54</v>
      </c>
      <c r="B6" s="7">
        <v>1.8562669999999999</v>
      </c>
      <c r="C6" s="7">
        <v>14.246206501420364</v>
      </c>
      <c r="D6" s="7">
        <v>20.108027954213821</v>
      </c>
      <c r="E6" s="16">
        <f t="shared" si="0"/>
        <v>1.411465427811188</v>
      </c>
      <c r="F6" s="11">
        <f t="shared" si="1"/>
        <v>10.832508445290371</v>
      </c>
    </row>
    <row r="7" spans="1:6" x14ac:dyDescent="0.2">
      <c r="A7">
        <v>55</v>
      </c>
      <c r="B7" s="7">
        <v>4.5079370000000001</v>
      </c>
      <c r="C7" s="7">
        <v>17.610495767292743</v>
      </c>
      <c r="D7" s="7">
        <v>41.794045512159087</v>
      </c>
      <c r="E7" s="16">
        <f t="shared" si="0"/>
        <v>2.3732463903589509</v>
      </c>
      <c r="F7" s="11">
        <f t="shared" si="1"/>
        <v>9.2712133093605988</v>
      </c>
    </row>
    <row r="8" spans="1:6" x14ac:dyDescent="0.2">
      <c r="A8">
        <v>56</v>
      </c>
      <c r="B8" s="7">
        <v>4.5079370000000001</v>
      </c>
      <c r="C8" s="7">
        <v>18.803191663325549</v>
      </c>
      <c r="D8" s="7">
        <v>41.740895052062641</v>
      </c>
      <c r="E8" s="16">
        <f t="shared" si="0"/>
        <v>2.2198835069833196</v>
      </c>
      <c r="F8" s="11">
        <f t="shared" si="1"/>
        <v>9.2594228916825241</v>
      </c>
    </row>
    <row r="9" spans="1:6" x14ac:dyDescent="0.2">
      <c r="A9">
        <v>57</v>
      </c>
      <c r="B9" s="7">
        <v>4.5079370000000001</v>
      </c>
      <c r="C9" s="7">
        <v>20.793195250527763</v>
      </c>
      <c r="D9" s="7">
        <v>41.685884325862794</v>
      </c>
      <c r="E9" s="16">
        <f t="shared" si="0"/>
        <v>2.0047849223560168</v>
      </c>
      <c r="F9" s="11">
        <f t="shared" si="1"/>
        <v>9.2472198093857116</v>
      </c>
    </row>
    <row r="10" spans="1:6" x14ac:dyDescent="0.2">
      <c r="A10">
        <v>58</v>
      </c>
      <c r="B10" s="7">
        <v>4.5079370000000001</v>
      </c>
      <c r="C10" s="7">
        <v>24.108685968224499</v>
      </c>
      <c r="D10" s="7">
        <v>41.628948224245974</v>
      </c>
      <c r="E10" s="16">
        <f t="shared" si="0"/>
        <v>1.7267199165941007</v>
      </c>
      <c r="F10" s="11">
        <f t="shared" si="1"/>
        <v>9.2345896192085153</v>
      </c>
    </row>
    <row r="11" spans="1:6" x14ac:dyDescent="0.2">
      <c r="A11">
        <v>59</v>
      </c>
      <c r="B11" s="7">
        <v>4.5079370000000001</v>
      </c>
      <c r="C11" s="7">
        <v>29.629461365167735</v>
      </c>
      <c r="D11" s="7">
        <v>41.510380065693056</v>
      </c>
      <c r="E11" s="16">
        <f t="shared" si="0"/>
        <v>1.4009832832969578</v>
      </c>
      <c r="F11" s="11">
        <f t="shared" si="1"/>
        <v>9.2082875305695389</v>
      </c>
    </row>
    <row r="12" spans="1:6" x14ac:dyDescent="0.2">
      <c r="A12">
        <v>60</v>
      </c>
      <c r="B12" s="7">
        <v>9.6236929999999994</v>
      </c>
      <c r="C12" s="7">
        <v>35.503216196417618</v>
      </c>
      <c r="D12" s="7">
        <v>76.579706061068038</v>
      </c>
      <c r="E12" s="16">
        <f t="shared" si="0"/>
        <v>2.1569794025814248</v>
      </c>
      <c r="F12" s="11">
        <f t="shared" si="1"/>
        <v>7.9574136520219465</v>
      </c>
    </row>
    <row r="13" spans="1:6" x14ac:dyDescent="0.2">
      <c r="A13">
        <v>61</v>
      </c>
      <c r="B13" s="7">
        <v>9.6236929999999994</v>
      </c>
      <c r="C13" s="7">
        <v>36.791198009359583</v>
      </c>
      <c r="D13" s="7">
        <v>76.523060746435306</v>
      </c>
      <c r="E13" s="16">
        <f t="shared" si="0"/>
        <v>2.0799284852580242</v>
      </c>
      <c r="F13" s="11">
        <f t="shared" si="1"/>
        <v>7.9515276252510665</v>
      </c>
    </row>
    <row r="14" spans="1:6" x14ac:dyDescent="0.2">
      <c r="A14">
        <v>62</v>
      </c>
      <c r="B14" s="7">
        <v>9.6236929999999994</v>
      </c>
      <c r="C14" s="7">
        <v>38.962713896010698</v>
      </c>
      <c r="D14" s="7">
        <v>76.332062022891193</v>
      </c>
      <c r="E14" s="16">
        <f t="shared" si="0"/>
        <v>1.9591053699857046</v>
      </c>
      <c r="F14" s="11">
        <f t="shared" si="1"/>
        <v>7.9316809069960144</v>
      </c>
    </row>
    <row r="15" spans="1:6" x14ac:dyDescent="0.2">
      <c r="A15">
        <v>63</v>
      </c>
      <c r="B15" s="7">
        <v>9.6236929999999994</v>
      </c>
      <c r="C15" s="7">
        <v>42.609766598522796</v>
      </c>
      <c r="D15" s="7">
        <v>76.134378344023062</v>
      </c>
      <c r="E15" s="16">
        <f t="shared" si="0"/>
        <v>1.7867823370490488</v>
      </c>
      <c r="F15" s="11">
        <f t="shared" si="1"/>
        <v>7.9111395536020392</v>
      </c>
    </row>
    <row r="16" spans="1:6" x14ac:dyDescent="0.2">
      <c r="A16">
        <v>64</v>
      </c>
      <c r="B16" s="7">
        <v>9.6236929999999994</v>
      </c>
      <c r="C16" s="7">
        <v>48.721200652392611</v>
      </c>
      <c r="D16" s="7">
        <v>75.929775736394575</v>
      </c>
      <c r="E16" s="16">
        <f t="shared" si="0"/>
        <v>1.558454527385827</v>
      </c>
      <c r="F16" s="11">
        <f t="shared" si="1"/>
        <v>7.8898792528392772</v>
      </c>
    </row>
    <row r="17" spans="1:6" x14ac:dyDescent="0.2">
      <c r="A17">
        <v>65</v>
      </c>
      <c r="B17" s="7">
        <v>15.235882999999999</v>
      </c>
      <c r="C17" s="7">
        <v>55.310001974675039</v>
      </c>
      <c r="D17" s="7">
        <v>89.488197454749411</v>
      </c>
      <c r="E17" s="16">
        <f t="shared" si="0"/>
        <v>1.6179387861118437</v>
      </c>
      <c r="F17" s="11">
        <f t="shared" si="1"/>
        <v>5.8735156639591821</v>
      </c>
    </row>
    <row r="18" spans="1:6" x14ac:dyDescent="0.2">
      <c r="A18">
        <v>66</v>
      </c>
      <c r="B18" s="7">
        <v>15.235882999999999</v>
      </c>
      <c r="C18" s="7">
        <v>56.99147479227458</v>
      </c>
      <c r="D18" s="7">
        <v>89.222888214457058</v>
      </c>
      <c r="E18" s="16">
        <f t="shared" si="0"/>
        <v>1.56554797958223</v>
      </c>
      <c r="F18" s="11">
        <f t="shared" si="1"/>
        <v>5.8561022170134187</v>
      </c>
    </row>
    <row r="19" spans="1:6" x14ac:dyDescent="0.2">
      <c r="A19">
        <v>67</v>
      </c>
      <c r="B19" s="7">
        <v>15.235882999999999</v>
      </c>
      <c r="C19" s="7">
        <v>59.852725791312913</v>
      </c>
      <c r="D19" s="7">
        <v>88.948293150754438</v>
      </c>
      <c r="E19" s="16">
        <f t="shared" si="0"/>
        <v>1.4861193366679464</v>
      </c>
      <c r="F19" s="11">
        <f t="shared" si="1"/>
        <v>5.8380792994245523</v>
      </c>
    </row>
    <row r="20" spans="1:6" x14ac:dyDescent="0.2">
      <c r="A20">
        <v>68</v>
      </c>
      <c r="B20" s="7">
        <v>15.235882999999999</v>
      </c>
      <c r="C20" s="7">
        <v>64.701414297612459</v>
      </c>
      <c r="D20" s="7">
        <v>88.664087259822267</v>
      </c>
      <c r="E20" s="16">
        <f t="shared" si="0"/>
        <v>1.3703577923658161</v>
      </c>
      <c r="F20" s="11">
        <f t="shared" si="1"/>
        <v>5.8194255797200771</v>
      </c>
    </row>
    <row r="21" spans="1:6" x14ac:dyDescent="0.2">
      <c r="A21">
        <v>69</v>
      </c>
      <c r="B21" s="7">
        <v>15.235882999999999</v>
      </c>
      <c r="C21" s="7">
        <v>72.891124843577785</v>
      </c>
      <c r="D21" s="7">
        <v>88.369934162707438</v>
      </c>
      <c r="E21" s="16">
        <f t="shared" si="0"/>
        <v>1.2123551989675934</v>
      </c>
      <c r="F21" s="11">
        <f t="shared" si="1"/>
        <v>5.8001189798259443</v>
      </c>
    </row>
    <row r="22" spans="1:6" x14ac:dyDescent="0.2">
      <c r="A22">
        <v>70</v>
      </c>
      <c r="B22" s="7">
        <v>23.261631000000001</v>
      </c>
      <c r="C22" s="7">
        <v>81.499189873895688</v>
      </c>
      <c r="D22" s="7">
        <v>106.55528767151658</v>
      </c>
      <c r="E22" s="16">
        <f t="shared" si="0"/>
        <v>1.3074398388056419</v>
      </c>
      <c r="F22" s="11">
        <f t="shared" si="1"/>
        <v>4.5807315777434772</v>
      </c>
    </row>
    <row r="23" spans="1:6" x14ac:dyDescent="0.2">
      <c r="A23">
        <v>71</v>
      </c>
      <c r="B23" s="7">
        <v>23.261631000000001</v>
      </c>
      <c r="C23" s="7">
        <v>82.610066455730902</v>
      </c>
      <c r="D23" s="7">
        <v>106.07930646789433</v>
      </c>
      <c r="E23" s="16">
        <f t="shared" si="0"/>
        <v>1.2840966121815205</v>
      </c>
      <c r="F23" s="11">
        <f t="shared" si="1"/>
        <v>4.5602695042275547</v>
      </c>
    </row>
    <row r="24" spans="1:6" x14ac:dyDescent="0.2">
      <c r="A24">
        <v>72</v>
      </c>
      <c r="B24" s="7">
        <v>23.261631000000001</v>
      </c>
      <c r="C24" s="7">
        <v>84.614375084812636</v>
      </c>
      <c r="D24" s="7">
        <v>105.43154343693185</v>
      </c>
      <c r="E24" s="16">
        <f t="shared" si="0"/>
        <v>1.2460240157922724</v>
      </c>
      <c r="F24" s="11">
        <f t="shared" si="1"/>
        <v>4.5324226593110275</v>
      </c>
    </row>
    <row r="25" spans="1:6" x14ac:dyDescent="0.2">
      <c r="A25">
        <v>73</v>
      </c>
      <c r="B25" s="7">
        <v>23.261631000000001</v>
      </c>
      <c r="C25" s="7">
        <v>88.133413491569783</v>
      </c>
      <c r="D25" s="7">
        <v>104.52805475451369</v>
      </c>
      <c r="E25" s="16">
        <f t="shared" si="0"/>
        <v>1.1860207226004256</v>
      </c>
      <c r="F25" s="11">
        <f t="shared" si="1"/>
        <v>4.4935823612073325</v>
      </c>
    </row>
    <row r="26" spans="1:6" x14ac:dyDescent="0.2">
      <c r="A26">
        <v>74</v>
      </c>
      <c r="B26" s="7">
        <v>23.261631000000001</v>
      </c>
      <c r="C26" s="7">
        <v>94.287669510305321</v>
      </c>
      <c r="D26" s="7">
        <v>103.5929439682109</v>
      </c>
      <c r="E26" s="16">
        <f t="shared" si="0"/>
        <v>1.0986902582939388</v>
      </c>
      <c r="F26" s="11">
        <f t="shared" si="1"/>
        <v>4.4533826526700082</v>
      </c>
    </row>
    <row r="27" spans="1:6" x14ac:dyDescent="0.2">
      <c r="A27">
        <v>75</v>
      </c>
      <c r="B27" s="7">
        <v>30.003927000000001</v>
      </c>
      <c r="C27" s="7">
        <v>100.52461004086925</v>
      </c>
      <c r="D27" s="7">
        <v>133.16757157514741</v>
      </c>
      <c r="E27" s="16">
        <f t="shared" si="0"/>
        <v>1.3247260697754197</v>
      </c>
      <c r="F27" s="11">
        <f t="shared" si="1"/>
        <v>4.4383380740510203</v>
      </c>
    </row>
    <row r="28" spans="1:6" x14ac:dyDescent="0.2">
      <c r="A28">
        <v>76</v>
      </c>
      <c r="B28" s="7">
        <v>30.003927000000001</v>
      </c>
      <c r="C28" s="7">
        <v>99.974668258704966</v>
      </c>
      <c r="D28" s="7">
        <v>132.7003762611655</v>
      </c>
      <c r="E28" s="16">
        <f t="shared" si="0"/>
        <v>1.3273400009468004</v>
      </c>
      <c r="F28" s="11">
        <f t="shared" si="1"/>
        <v>4.422766935180368</v>
      </c>
    </row>
    <row r="29" spans="1:6" x14ac:dyDescent="0.2">
      <c r="A29">
        <v>77</v>
      </c>
      <c r="B29" s="7">
        <v>30.003927000000001</v>
      </c>
      <c r="C29" s="7">
        <v>99.352339355562833</v>
      </c>
      <c r="D29" s="7">
        <v>131.70122764151188</v>
      </c>
      <c r="E29" s="16">
        <f>D29/C29</f>
        <v>1.3255976507023013</v>
      </c>
      <c r="F29" s="11">
        <f t="shared" si="1"/>
        <v>4.3894663402397915</v>
      </c>
    </row>
    <row r="30" spans="1:6" x14ac:dyDescent="0.2">
      <c r="A30">
        <v>78</v>
      </c>
      <c r="B30" s="7">
        <v>30.003927000000001</v>
      </c>
      <c r="C30" s="7">
        <v>98.67777712826539</v>
      </c>
      <c r="D30" s="7">
        <v>129.89247607377186</v>
      </c>
      <c r="E30" s="16">
        <f>D30/C30</f>
        <v>1.3163295713981511</v>
      </c>
      <c r="F30" s="11">
        <f t="shared" si="1"/>
        <v>4.3291825124681802</v>
      </c>
    </row>
    <row r="31" spans="1:6" x14ac:dyDescent="0.2">
      <c r="A31">
        <v>79</v>
      </c>
      <c r="B31" s="7">
        <v>30.003927000000001</v>
      </c>
      <c r="C31" s="7">
        <v>97.942192636332734</v>
      </c>
      <c r="D31" s="7">
        <v>128.02041820116094</v>
      </c>
      <c r="E31" s="16">
        <f t="shared" si="0"/>
        <v>1.3071018195039914</v>
      </c>
      <c r="F31" s="11">
        <f t="shared" si="1"/>
        <v>4.2667887507245617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  <row r="52" spans="1:6" x14ac:dyDescent="0.2">
      <c r="C52" s="6"/>
    </row>
    <row r="53" spans="1:6" x14ac:dyDescent="0.2">
      <c r="C53" s="6"/>
    </row>
    <row r="54" spans="1:6" x14ac:dyDescent="0.2">
      <c r="C54" s="6"/>
    </row>
    <row r="55" spans="1:6" x14ac:dyDescent="0.2">
      <c r="C55" s="6"/>
    </row>
    <row r="56" spans="1:6" x14ac:dyDescent="0.2">
      <c r="C56" s="6"/>
    </row>
    <row r="57" spans="1:6" x14ac:dyDescent="0.2">
      <c r="C57" s="6"/>
    </row>
    <row r="58" spans="1:6" x14ac:dyDescent="0.2">
      <c r="C58" s="6"/>
    </row>
    <row r="59" spans="1:6" x14ac:dyDescent="0.2">
      <c r="C59" s="6"/>
    </row>
    <row r="60" spans="1:6" x14ac:dyDescent="0.2">
      <c r="C60" s="6"/>
    </row>
    <row r="61" spans="1:6" x14ac:dyDescent="0.2">
      <c r="C61" s="6"/>
    </row>
    <row r="62" spans="1:6" x14ac:dyDescent="0.2">
      <c r="C6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F62"/>
  <sheetViews>
    <sheetView workbookViewId="0">
      <selection activeCell="J23" sqref="J23"/>
    </sheetView>
  </sheetViews>
  <sheetFormatPr baseColWidth="10" defaultRowHeight="16" x14ac:dyDescent="0.2"/>
  <cols>
    <col min="5" max="5" width="19.83203125" customWidth="1"/>
    <col min="6" max="6" width="15.5" customWidth="1"/>
  </cols>
  <sheetData>
    <row r="1" spans="1:6" ht="85" x14ac:dyDescent="0.2">
      <c r="A1" s="3" t="s">
        <v>0</v>
      </c>
      <c r="B1" s="9" t="s">
        <v>26</v>
      </c>
      <c r="C1" s="9" t="s">
        <v>2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4.4349020000000001</v>
      </c>
      <c r="C2" s="7">
        <v>4.4349020000000001</v>
      </c>
      <c r="D2" s="7">
        <v>63.724926897171848</v>
      </c>
      <c r="E2" s="16">
        <f>D2/C2</f>
        <v>14.368959426199687</v>
      </c>
      <c r="F2" s="11">
        <f>D2/B2</f>
        <v>14.368959426199687</v>
      </c>
    </row>
    <row r="3" spans="1:6" x14ac:dyDescent="0.2">
      <c r="A3">
        <v>51</v>
      </c>
      <c r="B3" s="7">
        <v>4.4349020000000001</v>
      </c>
      <c r="C3" s="7">
        <v>4.4349020000000001</v>
      </c>
      <c r="D3" s="7">
        <v>63.578639234613867</v>
      </c>
      <c r="E3" s="16">
        <f>D3/C3</f>
        <v>14.335973880508265</v>
      </c>
      <c r="F3" s="11">
        <f>D3/B3</f>
        <v>14.335973880508265</v>
      </c>
    </row>
    <row r="4" spans="1:6" x14ac:dyDescent="0.2">
      <c r="A4">
        <v>52</v>
      </c>
      <c r="B4" s="7">
        <v>4.4349020000000001</v>
      </c>
      <c r="C4" s="7">
        <v>4.4349020000000001</v>
      </c>
      <c r="D4" s="7">
        <v>63.427231503866366</v>
      </c>
      <c r="E4" s="16">
        <f t="shared" ref="E3:E32" si="0">D4/C4</f>
        <v>14.301833840717645</v>
      </c>
      <c r="F4" s="11">
        <f t="shared" ref="F3:F32" si="1">D4/B4</f>
        <v>14.301833840717645</v>
      </c>
    </row>
    <row r="5" spans="1:6" x14ac:dyDescent="0.2">
      <c r="A5">
        <v>53</v>
      </c>
      <c r="B5" s="7">
        <v>4.4349020000000001</v>
      </c>
      <c r="C5" s="7">
        <v>4.4349020000000001</v>
      </c>
      <c r="D5" s="7">
        <v>63.251215127013467</v>
      </c>
      <c r="E5" s="16">
        <f t="shared" si="0"/>
        <v>14.262144941875484</v>
      </c>
      <c r="F5" s="11">
        <f t="shared" si="1"/>
        <v>14.262144941875484</v>
      </c>
    </row>
    <row r="6" spans="1:6" x14ac:dyDescent="0.2">
      <c r="A6">
        <v>54</v>
      </c>
      <c r="B6" s="7">
        <v>4.4349020000000001</v>
      </c>
      <c r="C6" s="7">
        <v>4.4349020000000001</v>
      </c>
      <c r="D6" s="7">
        <v>63.049989779720114</v>
      </c>
      <c r="E6" s="16">
        <f>D6/C6</f>
        <v>14.216771820373959</v>
      </c>
      <c r="F6" s="11">
        <f>D6/B6</f>
        <v>14.216771820373959</v>
      </c>
    </row>
    <row r="7" spans="1:6" x14ac:dyDescent="0.2">
      <c r="A7">
        <v>55</v>
      </c>
      <c r="B7" s="7">
        <v>10.150356</v>
      </c>
      <c r="C7" s="7">
        <v>10.150356</v>
      </c>
      <c r="D7" s="7">
        <v>126.47834295296252</v>
      </c>
      <c r="E7" s="16">
        <f t="shared" si="0"/>
        <v>12.460483450330463</v>
      </c>
      <c r="F7" s="11">
        <f t="shared" si="1"/>
        <v>12.460483450330463</v>
      </c>
    </row>
    <row r="8" spans="1:6" x14ac:dyDescent="0.2">
      <c r="A8">
        <v>56</v>
      </c>
      <c r="B8" s="7">
        <v>10.150356</v>
      </c>
      <c r="C8" s="7">
        <v>10.150356</v>
      </c>
      <c r="D8" s="7">
        <v>126.20930145204595</v>
      </c>
      <c r="E8" s="16">
        <f t="shared" si="0"/>
        <v>12.433977828171342</v>
      </c>
      <c r="F8" s="11">
        <f t="shared" si="1"/>
        <v>12.433977828171342</v>
      </c>
    </row>
    <row r="9" spans="1:6" x14ac:dyDescent="0.2">
      <c r="A9">
        <v>57</v>
      </c>
      <c r="B9" s="7">
        <v>10.150356</v>
      </c>
      <c r="C9" s="7">
        <v>10.150356</v>
      </c>
      <c r="D9" s="7">
        <v>125.93084349859733</v>
      </c>
      <c r="E9" s="16">
        <f t="shared" si="0"/>
        <v>12.406544509236653</v>
      </c>
      <c r="F9" s="11">
        <f t="shared" si="1"/>
        <v>12.406544509236653</v>
      </c>
    </row>
    <row r="10" spans="1:6" x14ac:dyDescent="0.2">
      <c r="A10">
        <v>58</v>
      </c>
      <c r="B10" s="7">
        <v>10.150356</v>
      </c>
      <c r="C10" s="7">
        <v>10.150356</v>
      </c>
      <c r="D10" s="7">
        <v>125.5956045682692</v>
      </c>
      <c r="E10" s="16">
        <f t="shared" si="0"/>
        <v>12.373517201590682</v>
      </c>
      <c r="F10" s="11">
        <f t="shared" si="1"/>
        <v>12.373517201590682</v>
      </c>
    </row>
    <row r="11" spans="1:6" x14ac:dyDescent="0.2">
      <c r="A11">
        <v>59</v>
      </c>
      <c r="B11" s="7">
        <v>10.150356</v>
      </c>
      <c r="C11" s="7">
        <v>10.150356</v>
      </c>
      <c r="D11" s="7">
        <v>125.19120801616512</v>
      </c>
      <c r="E11" s="16">
        <f t="shared" si="0"/>
        <v>12.333676574118693</v>
      </c>
      <c r="F11" s="11">
        <f t="shared" si="1"/>
        <v>12.333676574118693</v>
      </c>
    </row>
    <row r="12" spans="1:6" x14ac:dyDescent="0.2">
      <c r="A12">
        <v>60</v>
      </c>
      <c r="B12" s="7">
        <v>20.912485</v>
      </c>
      <c r="C12" s="7">
        <v>20.912485</v>
      </c>
      <c r="D12" s="7">
        <v>225.44771715621519</v>
      </c>
      <c r="E12" s="16">
        <f t="shared" si="0"/>
        <v>10.780532163261094</v>
      </c>
      <c r="F12" s="11">
        <f t="shared" si="1"/>
        <v>10.780532163261094</v>
      </c>
    </row>
    <row r="13" spans="1:6" x14ac:dyDescent="0.2">
      <c r="A13">
        <v>61</v>
      </c>
      <c r="B13" s="7">
        <v>20.912485</v>
      </c>
      <c r="C13" s="7">
        <v>20.912485</v>
      </c>
      <c r="D13" s="7">
        <v>225.0467082694442</v>
      </c>
      <c r="E13" s="16">
        <f t="shared" si="0"/>
        <v>10.761356590067809</v>
      </c>
      <c r="F13" s="11">
        <f t="shared" si="1"/>
        <v>10.761356590067809</v>
      </c>
    </row>
    <row r="14" spans="1:6" x14ac:dyDescent="0.2">
      <c r="A14">
        <v>62</v>
      </c>
      <c r="B14" s="7">
        <v>20.912485</v>
      </c>
      <c r="C14" s="7">
        <v>20.912485</v>
      </c>
      <c r="D14" s="7">
        <v>224.4847137303031</v>
      </c>
      <c r="E14" s="16">
        <f t="shared" si="0"/>
        <v>10.734482952662159</v>
      </c>
      <c r="F14" s="11">
        <f t="shared" si="1"/>
        <v>10.734482952662159</v>
      </c>
    </row>
    <row r="15" spans="1:6" x14ac:dyDescent="0.2">
      <c r="A15">
        <v>63</v>
      </c>
      <c r="B15" s="7">
        <v>20.912485</v>
      </c>
      <c r="C15" s="7">
        <v>20.912485</v>
      </c>
      <c r="D15" s="7">
        <v>223.80428762802643</v>
      </c>
      <c r="E15" s="16">
        <f t="shared" si="0"/>
        <v>10.701946116304516</v>
      </c>
      <c r="F15" s="11">
        <f t="shared" si="1"/>
        <v>10.701946116304516</v>
      </c>
    </row>
    <row r="16" spans="1:6" x14ac:dyDescent="0.2">
      <c r="A16">
        <v>64</v>
      </c>
      <c r="B16" s="7">
        <v>20.912485</v>
      </c>
      <c r="C16" s="7">
        <v>20.912485</v>
      </c>
      <c r="D16" s="7">
        <v>223.10004661217005</v>
      </c>
      <c r="E16" s="16">
        <f t="shared" si="0"/>
        <v>10.668270490674352</v>
      </c>
      <c r="F16" s="11">
        <f t="shared" si="1"/>
        <v>10.668270490674352</v>
      </c>
    </row>
    <row r="17" spans="1:6" x14ac:dyDescent="0.2">
      <c r="A17">
        <v>65</v>
      </c>
      <c r="B17" s="7">
        <v>35.535290000000003</v>
      </c>
      <c r="C17" s="7">
        <v>35.535290000000003</v>
      </c>
      <c r="D17" s="7">
        <v>308.44806689155934</v>
      </c>
      <c r="E17" s="16">
        <f t="shared" si="0"/>
        <v>8.680049238139306</v>
      </c>
      <c r="F17" s="11">
        <f t="shared" si="1"/>
        <v>8.680049238139306</v>
      </c>
    </row>
    <row r="18" spans="1:6" x14ac:dyDescent="0.2">
      <c r="A18">
        <v>66</v>
      </c>
      <c r="B18" s="7">
        <v>35.535290000000003</v>
      </c>
      <c r="C18" s="7">
        <v>35.535290000000003</v>
      </c>
      <c r="D18" s="7">
        <v>307.70630308726231</v>
      </c>
      <c r="E18" s="16">
        <f t="shared" si="0"/>
        <v>8.6591752336131851</v>
      </c>
      <c r="F18" s="11">
        <f t="shared" si="1"/>
        <v>8.6591752336131851</v>
      </c>
    </row>
    <row r="19" spans="1:6" x14ac:dyDescent="0.2">
      <c r="A19">
        <v>67</v>
      </c>
      <c r="B19" s="7">
        <v>35.535290000000003</v>
      </c>
      <c r="C19" s="7">
        <v>35.535290000000003</v>
      </c>
      <c r="D19" s="7">
        <v>306.57670692652118</v>
      </c>
      <c r="E19" s="16">
        <f t="shared" si="0"/>
        <v>8.6273872234199054</v>
      </c>
      <c r="F19" s="11">
        <f t="shared" si="1"/>
        <v>8.6273872234199054</v>
      </c>
    </row>
    <row r="20" spans="1:6" x14ac:dyDescent="0.2">
      <c r="A20">
        <v>68</v>
      </c>
      <c r="B20" s="7">
        <v>35.535290000000003</v>
      </c>
      <c r="C20" s="7">
        <v>35.535290000000003</v>
      </c>
      <c r="D20" s="7">
        <v>305.40757490015409</v>
      </c>
      <c r="E20" s="16">
        <f t="shared" si="0"/>
        <v>8.5944866328698613</v>
      </c>
      <c r="F20" s="11">
        <f t="shared" si="1"/>
        <v>8.5944866328698613</v>
      </c>
    </row>
    <row r="21" spans="1:6" x14ac:dyDescent="0.2">
      <c r="A21">
        <v>69</v>
      </c>
      <c r="B21" s="7">
        <v>35.535290000000003</v>
      </c>
      <c r="C21" s="7">
        <v>35.535290000000003</v>
      </c>
      <c r="D21" s="7">
        <v>304.19752325286413</v>
      </c>
      <c r="E21" s="16">
        <f t="shared" si="0"/>
        <v>8.5604345216505653</v>
      </c>
      <c r="F21" s="11">
        <f t="shared" si="1"/>
        <v>8.5604345216505653</v>
      </c>
    </row>
    <row r="22" spans="1:6" x14ac:dyDescent="0.2">
      <c r="A22">
        <v>70</v>
      </c>
      <c r="B22" s="7">
        <v>56.038108999999999</v>
      </c>
      <c r="C22" s="7">
        <v>56.038108999999999</v>
      </c>
      <c r="D22" s="7">
        <v>372.43537198839584</v>
      </c>
      <c r="E22" s="16">
        <f t="shared" si="0"/>
        <v>6.6461088468990956</v>
      </c>
      <c r="F22" s="11">
        <f t="shared" si="1"/>
        <v>6.6461088468990956</v>
      </c>
    </row>
    <row r="23" spans="1:6" x14ac:dyDescent="0.2">
      <c r="A23">
        <v>71</v>
      </c>
      <c r="B23" s="7">
        <v>56.038108999999999</v>
      </c>
      <c r="C23" s="7">
        <v>56.038108999999999</v>
      </c>
      <c r="D23" s="7">
        <v>370.40355154103196</v>
      </c>
      <c r="E23" s="16">
        <f t="shared" si="0"/>
        <v>6.6098510130138752</v>
      </c>
      <c r="F23" s="11">
        <f t="shared" si="1"/>
        <v>6.6098510130138752</v>
      </c>
    </row>
    <row r="24" spans="1:6" x14ac:dyDescent="0.2">
      <c r="A24">
        <v>72</v>
      </c>
      <c r="B24" s="7">
        <v>56.038108999999999</v>
      </c>
      <c r="C24" s="7">
        <v>56.038108999999999</v>
      </c>
      <c r="D24" s="7">
        <v>368.30061737801037</v>
      </c>
      <c r="E24" s="16">
        <f t="shared" si="0"/>
        <v>6.572324154942673</v>
      </c>
      <c r="F24" s="11">
        <f t="shared" si="1"/>
        <v>6.572324154942673</v>
      </c>
    </row>
    <row r="25" spans="1:6" x14ac:dyDescent="0.2">
      <c r="A25">
        <v>73</v>
      </c>
      <c r="B25" s="7">
        <v>56.038108999999999</v>
      </c>
      <c r="C25" s="7">
        <v>56.038108999999999</v>
      </c>
      <c r="D25" s="7">
        <v>366.12408051928304</v>
      </c>
      <c r="E25" s="16">
        <f t="shared" si="0"/>
        <v>6.5334838568389779</v>
      </c>
      <c r="F25" s="11">
        <f t="shared" si="1"/>
        <v>6.5334838568389779</v>
      </c>
    </row>
    <row r="26" spans="1:6" x14ac:dyDescent="0.2">
      <c r="A26">
        <v>74</v>
      </c>
      <c r="B26" s="7">
        <v>56.038108999999999</v>
      </c>
      <c r="C26" s="7">
        <v>56.038108999999999</v>
      </c>
      <c r="D26" s="7">
        <v>363.87136487050026</v>
      </c>
      <c r="E26" s="16">
        <f t="shared" si="0"/>
        <v>6.4932841483016546</v>
      </c>
      <c r="F26" s="11">
        <f t="shared" si="1"/>
        <v>6.4932841483016546</v>
      </c>
    </row>
    <row r="27" spans="1:6" x14ac:dyDescent="0.2">
      <c r="A27">
        <v>75</v>
      </c>
      <c r="B27" s="7">
        <v>71.974258000000006</v>
      </c>
      <c r="C27" s="7">
        <v>71.974258000000006</v>
      </c>
      <c r="D27" s="7">
        <v>428.6584353746087</v>
      </c>
      <c r="E27" s="16">
        <f t="shared" si="0"/>
        <v>5.9557187150801703</v>
      </c>
      <c r="F27" s="11">
        <f t="shared" si="1"/>
        <v>5.9557187150801703</v>
      </c>
    </row>
    <row r="28" spans="1:6" x14ac:dyDescent="0.2">
      <c r="A28">
        <v>76</v>
      </c>
      <c r="B28" s="7">
        <v>71.974258000000006</v>
      </c>
      <c r="C28" s="7">
        <v>71.974258000000006</v>
      </c>
      <c r="D28" s="7">
        <v>425.47317345935085</v>
      </c>
      <c r="E28" s="16">
        <f t="shared" si="0"/>
        <v>5.9114631436610408</v>
      </c>
      <c r="F28" s="11">
        <f t="shared" si="1"/>
        <v>5.9114631436610408</v>
      </c>
    </row>
    <row r="29" spans="1:6" x14ac:dyDescent="0.2">
      <c r="A29">
        <v>77</v>
      </c>
      <c r="B29" s="7">
        <v>71.974258000000006</v>
      </c>
      <c r="C29" s="7">
        <v>71.974258000000006</v>
      </c>
      <c r="D29" s="7">
        <v>421.28101522431564</v>
      </c>
      <c r="E29" s="16">
        <f t="shared" si="0"/>
        <v>5.8532178994372623</v>
      </c>
      <c r="F29" s="11">
        <f t="shared" si="1"/>
        <v>5.8532178994372623</v>
      </c>
    </row>
    <row r="30" spans="1:6" x14ac:dyDescent="0.2">
      <c r="A30">
        <v>78</v>
      </c>
      <c r="B30" s="7">
        <v>71.974258000000006</v>
      </c>
      <c r="C30" s="7">
        <v>71.974258000000006</v>
      </c>
      <c r="D30" s="7">
        <v>416.94213145105414</v>
      </c>
      <c r="E30" s="16">
        <f t="shared" si="0"/>
        <v>5.7929340716656519</v>
      </c>
      <c r="F30" s="11">
        <f t="shared" si="1"/>
        <v>5.7929340716656519</v>
      </c>
    </row>
    <row r="31" spans="1:6" x14ac:dyDescent="0.2">
      <c r="A31">
        <v>79</v>
      </c>
      <c r="B31" s="7">
        <v>71.974258000000006</v>
      </c>
      <c r="C31" s="7">
        <v>71.974258000000006</v>
      </c>
      <c r="D31" s="7">
        <v>412.45138674572854</v>
      </c>
      <c r="E31" s="16">
        <f t="shared" si="0"/>
        <v>5.7305403099220351</v>
      </c>
      <c r="F31" s="11">
        <f t="shared" si="1"/>
        <v>5.7305403099220351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  <row r="52" spans="1:6" x14ac:dyDescent="0.2">
      <c r="C52" s="6"/>
    </row>
    <row r="53" spans="1:6" x14ac:dyDescent="0.2">
      <c r="C53" s="6"/>
    </row>
    <row r="54" spans="1:6" x14ac:dyDescent="0.2">
      <c r="C54" s="6"/>
    </row>
    <row r="55" spans="1:6" x14ac:dyDescent="0.2">
      <c r="C55" s="6"/>
    </row>
    <row r="56" spans="1:6" x14ac:dyDescent="0.2">
      <c r="C56" s="6"/>
    </row>
    <row r="57" spans="1:6" x14ac:dyDescent="0.2">
      <c r="C57" s="6"/>
    </row>
    <row r="58" spans="1:6" x14ac:dyDescent="0.2">
      <c r="C58" s="6"/>
    </row>
    <row r="59" spans="1:6" x14ac:dyDescent="0.2">
      <c r="C59" s="6"/>
    </row>
    <row r="60" spans="1:6" x14ac:dyDescent="0.2">
      <c r="C60" s="6"/>
    </row>
    <row r="61" spans="1:6" x14ac:dyDescent="0.2">
      <c r="C61" s="6"/>
    </row>
    <row r="62" spans="1:6" x14ac:dyDescent="0.2">
      <c r="C62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F51"/>
  <sheetViews>
    <sheetView workbookViewId="0">
      <selection activeCell="B2" sqref="B2:B31"/>
    </sheetView>
  </sheetViews>
  <sheetFormatPr baseColWidth="10" defaultRowHeight="16" x14ac:dyDescent="0.2"/>
  <cols>
    <col min="5" max="5" width="17.6640625" customWidth="1"/>
    <col min="6" max="6" width="18.33203125" customWidth="1"/>
  </cols>
  <sheetData>
    <row r="1" spans="1:6" ht="85" x14ac:dyDescent="0.2">
      <c r="A1" s="3" t="s">
        <v>0</v>
      </c>
      <c r="B1" s="9" t="s">
        <v>1</v>
      </c>
      <c r="C1" s="9" t="s">
        <v>28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17.516331000000001</v>
      </c>
      <c r="C2" s="7">
        <v>57.40983790069572</v>
      </c>
      <c r="D2" s="7">
        <v>30.493415004164181</v>
      </c>
      <c r="E2" s="16">
        <f>D2/C2</f>
        <v>0.5311531284395884</v>
      </c>
      <c r="F2" s="11">
        <f>D2/B2</f>
        <v>1.740856290290711</v>
      </c>
    </row>
    <row r="3" spans="1:6" x14ac:dyDescent="0.2">
      <c r="A3">
        <v>51</v>
      </c>
      <c r="B3" s="7">
        <v>17.516331000000001</v>
      </c>
      <c r="C3" s="7">
        <v>59.616569293157312</v>
      </c>
      <c r="D3" s="7">
        <v>30.493415004164181</v>
      </c>
      <c r="E3" s="16">
        <f t="shared" ref="E3:E32" si="0">D3/C3</f>
        <v>0.51149228084924647</v>
      </c>
      <c r="F3" s="11">
        <f t="shared" ref="F3:F32" si="1">D3/B3</f>
        <v>1.740856290290711</v>
      </c>
    </row>
    <row r="4" spans="1:6" x14ac:dyDescent="0.2">
      <c r="A4">
        <v>52</v>
      </c>
      <c r="B4" s="7">
        <v>17.516331000000001</v>
      </c>
      <c r="C4" s="7">
        <v>65.176253786294225</v>
      </c>
      <c r="D4" s="7">
        <v>30.35334797292969</v>
      </c>
      <c r="E4" s="16">
        <f t="shared" si="0"/>
        <v>0.46571176171700485</v>
      </c>
      <c r="F4" s="11">
        <f t="shared" si="1"/>
        <v>1.7328599221452077</v>
      </c>
    </row>
    <row r="5" spans="1:6" x14ac:dyDescent="0.2">
      <c r="A5">
        <v>53</v>
      </c>
      <c r="B5" s="7">
        <v>17.516331000000001</v>
      </c>
      <c r="C5" s="7">
        <v>77.792390502864308</v>
      </c>
      <c r="D5" s="7">
        <v>30.202228013242731</v>
      </c>
      <c r="E5" s="16">
        <f t="shared" si="0"/>
        <v>0.38824141819026231</v>
      </c>
      <c r="F5" s="11">
        <f t="shared" si="1"/>
        <v>1.7242325469439193</v>
      </c>
    </row>
    <row r="6" spans="1:6" x14ac:dyDescent="0.2">
      <c r="A6">
        <v>54</v>
      </c>
      <c r="B6" s="7">
        <v>17.516331000000001</v>
      </c>
      <c r="C6" s="7">
        <v>96.130786668605907</v>
      </c>
      <c r="D6" s="7">
        <v>30.045818854966733</v>
      </c>
      <c r="E6" s="16">
        <f t="shared" si="0"/>
        <v>0.31255147176257325</v>
      </c>
      <c r="F6" s="11">
        <f t="shared" si="1"/>
        <v>1.7153032136105861</v>
      </c>
    </row>
    <row r="7" spans="1:6" x14ac:dyDescent="0.2">
      <c r="A7">
        <v>55</v>
      </c>
      <c r="B7" s="7">
        <v>35.513751999999997</v>
      </c>
      <c r="C7" s="7">
        <v>115.46329830041375</v>
      </c>
      <c r="D7" s="7">
        <v>47.30282729482343</v>
      </c>
      <c r="E7" s="16">
        <f>D7/C7</f>
        <v>0.40967846918551021</v>
      </c>
      <c r="F7" s="11">
        <f t="shared" si="1"/>
        <v>1.331958034026465</v>
      </c>
    </row>
    <row r="8" spans="1:6" x14ac:dyDescent="0.2">
      <c r="A8">
        <v>56</v>
      </c>
      <c r="B8" s="7">
        <v>35.513751999999997</v>
      </c>
      <c r="C8" s="7">
        <v>118.99735773673946</v>
      </c>
      <c r="D8" s="7">
        <v>47.30282729482343</v>
      </c>
      <c r="E8" s="16">
        <f t="shared" si="0"/>
        <v>0.39751157668116077</v>
      </c>
      <c r="F8" s="11">
        <f t="shared" si="1"/>
        <v>1.331958034026465</v>
      </c>
    </row>
    <row r="9" spans="1:6" x14ac:dyDescent="0.2">
      <c r="A9">
        <v>57</v>
      </c>
      <c r="B9" s="7">
        <v>35.513751999999997</v>
      </c>
      <c r="C9" s="7">
        <v>128.005743709489</v>
      </c>
      <c r="D9" s="7">
        <v>47.217619883728354</v>
      </c>
      <c r="E9" s="16">
        <f t="shared" si="0"/>
        <v>0.36887110308807292</v>
      </c>
      <c r="F9" s="11">
        <f t="shared" si="1"/>
        <v>1.3295587546967258</v>
      </c>
    </row>
    <row r="10" spans="1:6" x14ac:dyDescent="0.2">
      <c r="A10">
        <v>58</v>
      </c>
      <c r="B10" s="7">
        <v>35.513751999999997</v>
      </c>
      <c r="C10" s="7">
        <v>148.48230203112615</v>
      </c>
      <c r="D10" s="7">
        <v>46.895994535502908</v>
      </c>
      <c r="E10" s="16">
        <f t="shared" si="0"/>
        <v>0.3158355837295152</v>
      </c>
      <c r="F10" s="11">
        <f t="shared" si="1"/>
        <v>1.3205023939881912</v>
      </c>
    </row>
    <row r="11" spans="1:6" x14ac:dyDescent="0.2">
      <c r="A11">
        <v>59</v>
      </c>
      <c r="B11" s="7">
        <v>35.513751999999997</v>
      </c>
      <c r="C11" s="7">
        <v>178.22711959138852</v>
      </c>
      <c r="D11" s="7">
        <v>46.563112300089578</v>
      </c>
      <c r="E11" s="16">
        <f t="shared" si="0"/>
        <v>0.26125716673670235</v>
      </c>
      <c r="F11" s="11">
        <f t="shared" si="1"/>
        <v>1.311129060654858</v>
      </c>
    </row>
    <row r="12" spans="1:6" x14ac:dyDescent="0.2">
      <c r="A12">
        <v>60</v>
      </c>
      <c r="B12" s="7">
        <v>65.085517999999993</v>
      </c>
      <c r="C12" s="7">
        <v>209.2177154947461</v>
      </c>
      <c r="D12" s="7">
        <v>71.361289275355745</v>
      </c>
      <c r="E12" s="16">
        <f t="shared" si="0"/>
        <v>0.34108626559947203</v>
      </c>
      <c r="F12" s="11">
        <f t="shared" si="1"/>
        <v>1.096423466666667</v>
      </c>
    </row>
    <row r="13" spans="1:6" x14ac:dyDescent="0.2">
      <c r="A13">
        <v>61</v>
      </c>
      <c r="B13" s="7">
        <v>65.085517999999993</v>
      </c>
      <c r="C13" s="7">
        <v>213.1896287415727</v>
      </c>
      <c r="D13" s="7">
        <v>71.361289275355745</v>
      </c>
      <c r="E13" s="16">
        <f t="shared" si="0"/>
        <v>0.33473152374527332</v>
      </c>
      <c r="F13" s="11">
        <f t="shared" si="1"/>
        <v>1.096423466666667</v>
      </c>
    </row>
    <row r="14" spans="1:6" x14ac:dyDescent="0.2">
      <c r="A14">
        <v>62</v>
      </c>
      <c r="B14" s="7">
        <v>65.085517999999993</v>
      </c>
      <c r="C14" s="7">
        <v>223.49227627118435</v>
      </c>
      <c r="D14" s="7">
        <v>71.361289275355745</v>
      </c>
      <c r="E14" s="16">
        <f t="shared" si="0"/>
        <v>0.31930091932468546</v>
      </c>
      <c r="F14" s="11">
        <f t="shared" si="1"/>
        <v>1.096423466666667</v>
      </c>
    </row>
    <row r="15" spans="1:6" x14ac:dyDescent="0.2">
      <c r="A15">
        <v>63</v>
      </c>
      <c r="B15" s="7">
        <v>65.085517999999993</v>
      </c>
      <c r="C15" s="7">
        <v>247.10621681453765</v>
      </c>
      <c r="D15" s="7">
        <v>71.080199977677026</v>
      </c>
      <c r="E15" s="16">
        <f t="shared" si="0"/>
        <v>0.28765039137410836</v>
      </c>
      <c r="F15" s="11">
        <f t="shared" si="1"/>
        <v>1.0921046979710145</v>
      </c>
    </row>
    <row r="16" spans="1:6" x14ac:dyDescent="0.2">
      <c r="A16">
        <v>64</v>
      </c>
      <c r="B16" s="7">
        <v>65.085517999999993</v>
      </c>
      <c r="C16" s="7">
        <v>281.54935796398229</v>
      </c>
      <c r="D16" s="7">
        <v>70.752689651101022</v>
      </c>
      <c r="E16" s="16">
        <f t="shared" si="0"/>
        <v>0.25129764160269258</v>
      </c>
      <c r="F16" s="11">
        <f t="shared" si="1"/>
        <v>1.0870726979710146</v>
      </c>
    </row>
    <row r="17" spans="1:6" x14ac:dyDescent="0.2">
      <c r="A17">
        <v>65</v>
      </c>
      <c r="B17" s="7">
        <v>99.622283999999979</v>
      </c>
      <c r="C17" s="7">
        <v>317.46601392263881</v>
      </c>
      <c r="D17" s="7">
        <v>83.819693021030758</v>
      </c>
      <c r="E17" s="16">
        <f t="shared" si="0"/>
        <v>0.26402729534839664</v>
      </c>
      <c r="F17" s="11">
        <f t="shared" si="1"/>
        <v>0.84137493797101437</v>
      </c>
    </row>
    <row r="18" spans="1:6" x14ac:dyDescent="0.2">
      <c r="A18">
        <v>66</v>
      </c>
      <c r="B18" s="7">
        <v>99.622283999999979</v>
      </c>
      <c r="C18" s="7">
        <v>321.67163744338501</v>
      </c>
      <c r="D18" s="7">
        <v>83.819693021030758</v>
      </c>
      <c r="E18" s="16">
        <f t="shared" si="0"/>
        <v>0.26057532982149606</v>
      </c>
      <c r="F18" s="11">
        <f t="shared" si="1"/>
        <v>0.84137493797101437</v>
      </c>
    </row>
    <row r="19" spans="1:6" x14ac:dyDescent="0.2">
      <c r="A19">
        <v>67</v>
      </c>
      <c r="B19" s="7">
        <v>99.622283999999979</v>
      </c>
      <c r="C19" s="7">
        <v>332.86177658947662</v>
      </c>
      <c r="D19" s="7">
        <v>83.819693021030758</v>
      </c>
      <c r="E19" s="16">
        <f t="shared" si="0"/>
        <v>0.2518153146926414</v>
      </c>
      <c r="F19" s="11">
        <f t="shared" si="1"/>
        <v>0.84137493797101437</v>
      </c>
    </row>
    <row r="20" spans="1:6" x14ac:dyDescent="0.2">
      <c r="A20">
        <v>68</v>
      </c>
      <c r="B20" s="7">
        <v>99.622283999999979</v>
      </c>
      <c r="C20" s="7">
        <v>358.79309103916347</v>
      </c>
      <c r="D20" s="7">
        <v>83.964005688377028</v>
      </c>
      <c r="E20" s="16">
        <f t="shared" si="0"/>
        <v>0.23401789996901606</v>
      </c>
      <c r="F20" s="11">
        <f t="shared" si="1"/>
        <v>0.84282353623188411</v>
      </c>
    </row>
    <row r="21" spans="1:6" x14ac:dyDescent="0.2">
      <c r="A21">
        <v>69</v>
      </c>
      <c r="B21" s="7">
        <v>99.622283999999979</v>
      </c>
      <c r="C21" s="7">
        <v>396.7349197894851</v>
      </c>
      <c r="D21" s="7">
        <v>84.293290544425034</v>
      </c>
      <c r="E21" s="16">
        <f t="shared" si="0"/>
        <v>0.21246753522264342</v>
      </c>
      <c r="F21" s="11">
        <f t="shared" si="1"/>
        <v>0.84612886956521749</v>
      </c>
    </row>
    <row r="22" spans="1:6" x14ac:dyDescent="0.2">
      <c r="A22">
        <v>70</v>
      </c>
      <c r="B22" s="7">
        <v>138.44874999999999</v>
      </c>
      <c r="C22" s="7">
        <v>436.01937966823976</v>
      </c>
      <c r="D22" s="7">
        <v>98.305884069130443</v>
      </c>
      <c r="E22" s="16">
        <f t="shared" si="0"/>
        <v>0.22546218964838174</v>
      </c>
      <c r="F22" s="11">
        <f t="shared" si="1"/>
        <v>0.71005252173913058</v>
      </c>
    </row>
    <row r="23" spans="1:6" x14ac:dyDescent="0.2">
      <c r="A23">
        <v>71</v>
      </c>
      <c r="B23" s="7">
        <v>138.44874999999999</v>
      </c>
      <c r="C23" s="7">
        <v>438.70095889647905</v>
      </c>
      <c r="D23" s="7">
        <v>98.305884069130443</v>
      </c>
      <c r="E23" s="16">
        <f t="shared" si="0"/>
        <v>0.22408404193237205</v>
      </c>
      <c r="F23" s="11">
        <f t="shared" si="1"/>
        <v>0.71005252173913058</v>
      </c>
    </row>
    <row r="24" spans="1:6" x14ac:dyDescent="0.2">
      <c r="A24">
        <v>72</v>
      </c>
      <c r="B24" s="7">
        <v>138.44874999999999</v>
      </c>
      <c r="C24" s="7">
        <v>446.82840438071213</v>
      </c>
      <c r="D24" s="7">
        <v>98.305884069130443</v>
      </c>
      <c r="E24" s="16">
        <f t="shared" si="0"/>
        <v>0.22000813534980798</v>
      </c>
      <c r="F24" s="11">
        <f t="shared" si="1"/>
        <v>0.71005252173913058</v>
      </c>
    </row>
    <row r="25" spans="1:6" x14ac:dyDescent="0.2">
      <c r="A25">
        <v>73</v>
      </c>
      <c r="B25" s="7">
        <v>138.44874999999999</v>
      </c>
      <c r="C25" s="7">
        <v>466.4152652963275</v>
      </c>
      <c r="D25" s="7">
        <v>97.726331983420295</v>
      </c>
      <c r="E25" s="16">
        <f t="shared" si="0"/>
        <v>0.20952644403980183</v>
      </c>
      <c r="F25" s="11">
        <f t="shared" si="1"/>
        <v>0.70586648115942041</v>
      </c>
    </row>
    <row r="26" spans="1:6" x14ac:dyDescent="0.2">
      <c r="A26">
        <v>74</v>
      </c>
      <c r="B26" s="7">
        <v>138.44874999999999</v>
      </c>
      <c r="C26" s="7">
        <v>495.50360129285832</v>
      </c>
      <c r="D26" s="7">
        <v>94.925975266753625</v>
      </c>
      <c r="E26" s="16">
        <f t="shared" si="0"/>
        <v>0.19157474339051145</v>
      </c>
      <c r="F26" s="11">
        <f t="shared" si="1"/>
        <v>0.68563981449275369</v>
      </c>
    </row>
    <row r="27" spans="1:6" x14ac:dyDescent="0.2">
      <c r="A27">
        <v>75</v>
      </c>
      <c r="B27" s="7">
        <v>169.87109000000001</v>
      </c>
      <c r="C27" s="7">
        <v>525.00858015814572</v>
      </c>
      <c r="D27" s="7">
        <v>116.47038263528188</v>
      </c>
      <c r="E27" s="16">
        <f t="shared" si="0"/>
        <v>0.22184472223329776</v>
      </c>
      <c r="F27" s="11">
        <f t="shared" si="1"/>
        <v>0.68563981449275369</v>
      </c>
    </row>
    <row r="28" spans="1:6" x14ac:dyDescent="0.2">
      <c r="A28">
        <v>76</v>
      </c>
      <c r="B28" s="7">
        <v>169.87109000000001</v>
      </c>
      <c r="C28" s="7">
        <v>523.01513366722281</v>
      </c>
      <c r="D28" s="7">
        <v>116.47038263528188</v>
      </c>
      <c r="E28" s="16">
        <f t="shared" si="0"/>
        <v>0.22269027249484546</v>
      </c>
      <c r="F28" s="11">
        <f t="shared" si="1"/>
        <v>0.68563981449275369</v>
      </c>
    </row>
    <row r="29" spans="1:6" x14ac:dyDescent="0.2">
      <c r="A29">
        <v>77</v>
      </c>
      <c r="B29" s="7">
        <v>169.87109000000001</v>
      </c>
      <c r="C29" s="7">
        <v>520.7193799183932</v>
      </c>
      <c r="D29" s="7">
        <v>116.47038263528188</v>
      </c>
      <c r="E29" s="16">
        <f t="shared" si="0"/>
        <v>0.22367207199688829</v>
      </c>
      <c r="F29" s="11">
        <f t="shared" si="1"/>
        <v>0.68563981449275369</v>
      </c>
    </row>
    <row r="30" spans="1:6" x14ac:dyDescent="0.2">
      <c r="A30">
        <v>78</v>
      </c>
      <c r="B30" s="7">
        <v>169.87109000000001</v>
      </c>
      <c r="C30" s="7">
        <v>518.23573044914281</v>
      </c>
      <c r="D30" s="7">
        <v>115.92926256179263</v>
      </c>
      <c r="E30" s="16">
        <f t="shared" si="0"/>
        <v>0.22369986427087812</v>
      </c>
      <c r="F30" s="11">
        <f t="shared" si="1"/>
        <v>0.68245433971014502</v>
      </c>
    </row>
    <row r="31" spans="1:6" x14ac:dyDescent="0.2">
      <c r="A31">
        <v>79</v>
      </c>
      <c r="B31" s="7">
        <v>169.87109000000001</v>
      </c>
      <c r="C31" s="7">
        <v>515.52651454314866</v>
      </c>
      <c r="D31" s="7">
        <v>113.31460674451262</v>
      </c>
      <c r="E31" s="16">
        <f t="shared" si="0"/>
        <v>0.21980364452239709</v>
      </c>
      <c r="F31" s="11">
        <f t="shared" si="1"/>
        <v>0.66706233971014495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F51"/>
  <sheetViews>
    <sheetView workbookViewId="0">
      <selection activeCell="B2" sqref="B2:B31"/>
    </sheetView>
  </sheetViews>
  <sheetFormatPr baseColWidth="10" defaultRowHeight="16" x14ac:dyDescent="0.2"/>
  <cols>
    <col min="5" max="5" width="20.33203125" customWidth="1"/>
    <col min="6" max="6" width="19.1640625" customWidth="1"/>
  </cols>
  <sheetData>
    <row r="1" spans="1:6" ht="85" x14ac:dyDescent="0.2">
      <c r="A1" s="3" t="s">
        <v>0</v>
      </c>
      <c r="B1" s="9" t="s">
        <v>27</v>
      </c>
      <c r="C1" s="9" t="s">
        <v>28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6.715834000000001</v>
      </c>
      <c r="C2" s="7">
        <v>17.49755189398978</v>
      </c>
      <c r="D2" s="7">
        <v>42.139589049721387</v>
      </c>
      <c r="E2" s="16">
        <f>D2/C2</f>
        <v>2.4083134203588723</v>
      </c>
      <c r="F2" s="11">
        <f>D2/B2</f>
        <v>6.274662097026428</v>
      </c>
    </row>
    <row r="3" spans="1:6" x14ac:dyDescent="0.2">
      <c r="A3">
        <v>51</v>
      </c>
      <c r="B3" s="7">
        <v>6.715834000000001</v>
      </c>
      <c r="C3" s="7">
        <v>17.875626523866512</v>
      </c>
      <c r="D3" s="7">
        <v>42.020900383321354</v>
      </c>
      <c r="E3" s="16">
        <f>D3/C3</f>
        <v>2.3507372078521254</v>
      </c>
      <c r="F3" s="11">
        <f>D3/B3</f>
        <v>6.2569891369145436</v>
      </c>
    </row>
    <row r="4" spans="1:6" x14ac:dyDescent="0.2">
      <c r="A4">
        <v>52</v>
      </c>
      <c r="B4" s="7">
        <v>6.715834000000001</v>
      </c>
      <c r="C4" s="7">
        <v>18.916558559725328</v>
      </c>
      <c r="D4" s="7">
        <v>41.898057613597302</v>
      </c>
      <c r="E4" s="16">
        <f t="shared" ref="E4:E32" si="0">D4/C4</f>
        <v>2.2148879502216214</v>
      </c>
      <c r="F4" s="11">
        <f t="shared" ref="F4:F32" si="1">D4/B4</f>
        <v>6.2386976231987417</v>
      </c>
    </row>
    <row r="5" spans="1:6" x14ac:dyDescent="0.2">
      <c r="A5">
        <v>53</v>
      </c>
      <c r="B5" s="7">
        <v>6.715834000000001</v>
      </c>
      <c r="C5" s="7">
        <v>21.768861830134103</v>
      </c>
      <c r="D5" s="7">
        <v>41.77091534693291</v>
      </c>
      <c r="E5" s="16">
        <f t="shared" si="0"/>
        <v>1.9188378185721429</v>
      </c>
      <c r="F5" s="11">
        <f t="shared" si="1"/>
        <v>6.2197659065028859</v>
      </c>
    </row>
    <row r="6" spans="1:6" x14ac:dyDescent="0.2">
      <c r="A6">
        <v>54</v>
      </c>
      <c r="B6" s="7">
        <v>6.715834000000001</v>
      </c>
      <c r="C6" s="7">
        <v>29.572638213784419</v>
      </c>
      <c r="D6" s="7">
        <v>41.624320678258577</v>
      </c>
      <c r="E6" s="16">
        <f t="shared" si="0"/>
        <v>1.4075281473824213</v>
      </c>
      <c r="F6" s="11">
        <f t="shared" si="1"/>
        <v>6.1979376914704218</v>
      </c>
    </row>
    <row r="7" spans="1:6" x14ac:dyDescent="0.2">
      <c r="A7">
        <v>55</v>
      </c>
      <c r="B7" s="7">
        <v>14.493368999999998</v>
      </c>
      <c r="C7" s="7">
        <v>37.551749470032206</v>
      </c>
      <c r="D7" s="7">
        <v>68.252238212802737</v>
      </c>
      <c r="E7" s="16">
        <f t="shared" si="0"/>
        <v>1.8175514903046195</v>
      </c>
      <c r="F7" s="11">
        <f t="shared" si="1"/>
        <v>4.7092044791520005</v>
      </c>
    </row>
    <row r="8" spans="1:6" x14ac:dyDescent="0.2">
      <c r="A8">
        <v>56</v>
      </c>
      <c r="B8" s="7">
        <v>14.493368999999998</v>
      </c>
      <c r="C8" s="7">
        <v>38.13987118690828</v>
      </c>
      <c r="D8" s="7">
        <v>68.129708233063695</v>
      </c>
      <c r="E8" s="16">
        <f t="shared" si="0"/>
        <v>1.7863119646940389</v>
      </c>
      <c r="F8" s="11">
        <f t="shared" si="1"/>
        <v>4.7007502695242014</v>
      </c>
    </row>
    <row r="9" spans="1:6" x14ac:dyDescent="0.2">
      <c r="A9">
        <v>57</v>
      </c>
      <c r="B9" s="7">
        <v>14.493368999999998</v>
      </c>
      <c r="C9" s="7">
        <v>39.781626772089098</v>
      </c>
      <c r="D9" s="7">
        <v>67.929175658431305</v>
      </c>
      <c r="E9" s="16">
        <f t="shared" si="0"/>
        <v>1.7075514796717817</v>
      </c>
      <c r="F9" s="11">
        <f t="shared" si="1"/>
        <v>4.686914109371763</v>
      </c>
    </row>
    <row r="10" spans="1:6" x14ac:dyDescent="0.2">
      <c r="A10">
        <v>58</v>
      </c>
      <c r="B10" s="7">
        <v>14.493368999999998</v>
      </c>
      <c r="C10" s="7">
        <v>44.308782359398734</v>
      </c>
      <c r="D10" s="7">
        <v>67.717743998751516</v>
      </c>
      <c r="E10" s="16">
        <f t="shared" si="0"/>
        <v>1.5283142617072458</v>
      </c>
      <c r="F10" s="11">
        <f t="shared" si="1"/>
        <v>4.6723259442819352</v>
      </c>
    </row>
    <row r="11" spans="1:6" x14ac:dyDescent="0.2">
      <c r="A11">
        <v>59</v>
      </c>
      <c r="B11" s="7">
        <v>14.493368999999998</v>
      </c>
      <c r="C11" s="7">
        <v>56.743304973194398</v>
      </c>
      <c r="D11" s="7">
        <v>67.498912230982967</v>
      </c>
      <c r="E11" s="16">
        <f t="shared" si="0"/>
        <v>1.1895484808801591</v>
      </c>
      <c r="F11" s="11">
        <f t="shared" si="1"/>
        <v>4.6572271934139655</v>
      </c>
    </row>
    <row r="12" spans="1:6" x14ac:dyDescent="0.2">
      <c r="A12">
        <v>60</v>
      </c>
      <c r="B12" s="7">
        <v>26.968920000000001</v>
      </c>
      <c r="C12" s="7">
        <v>69.423633899609598</v>
      </c>
      <c r="D12" s="7">
        <v>105.02141663459004</v>
      </c>
      <c r="E12" s="16">
        <f t="shared" si="0"/>
        <v>1.5127617316382027</v>
      </c>
      <c r="F12" s="11">
        <f t="shared" si="1"/>
        <v>3.8941647138480162</v>
      </c>
    </row>
    <row r="13" spans="1:6" x14ac:dyDescent="0.2">
      <c r="A13">
        <v>61</v>
      </c>
      <c r="B13" s="7">
        <v>26.968920000000001</v>
      </c>
      <c r="C13" s="7">
        <v>70.070268807064352</v>
      </c>
      <c r="D13" s="7">
        <v>104.89901614975976</v>
      </c>
      <c r="E13" s="16">
        <f t="shared" si="0"/>
        <v>1.4970545701572082</v>
      </c>
      <c r="F13" s="11">
        <f t="shared" si="1"/>
        <v>3.8896261381530945</v>
      </c>
    </row>
    <row r="14" spans="1:6" x14ac:dyDescent="0.2">
      <c r="A14">
        <v>62</v>
      </c>
      <c r="B14" s="7">
        <v>26.968920000000001</v>
      </c>
      <c r="C14" s="7">
        <v>71.921559017268422</v>
      </c>
      <c r="D14" s="7">
        <v>104.77233164796044</v>
      </c>
      <c r="E14" s="16">
        <f t="shared" si="0"/>
        <v>1.456758350063081</v>
      </c>
      <c r="F14" s="11">
        <f t="shared" si="1"/>
        <v>3.8849287123088518</v>
      </c>
    </row>
    <row r="15" spans="1:6" x14ac:dyDescent="0.2">
      <c r="A15">
        <v>63</v>
      </c>
      <c r="B15" s="7">
        <v>26.968920000000001</v>
      </c>
      <c r="C15" s="7">
        <v>77.086789550620836</v>
      </c>
      <c r="D15" s="7">
        <v>104.71370027079951</v>
      </c>
      <c r="E15" s="16">
        <f t="shared" si="0"/>
        <v>1.3583870969491707</v>
      </c>
      <c r="F15" s="11">
        <f t="shared" si="1"/>
        <v>3.8827546772655155</v>
      </c>
    </row>
    <row r="16" spans="1:6" x14ac:dyDescent="0.2">
      <c r="A16">
        <v>64</v>
      </c>
      <c r="B16" s="7">
        <v>26.968920000000001</v>
      </c>
      <c r="C16" s="7">
        <v>91.36649757058143</v>
      </c>
      <c r="D16" s="7">
        <v>104.67941774319969</v>
      </c>
      <c r="E16" s="16">
        <f t="shared" si="0"/>
        <v>1.1457089910044316</v>
      </c>
      <c r="F16" s="11">
        <f t="shared" si="1"/>
        <v>3.8814834907441487</v>
      </c>
    </row>
    <row r="17" spans="1:6" x14ac:dyDescent="0.2">
      <c r="A17">
        <v>65</v>
      </c>
      <c r="B17" s="7">
        <v>41.374766999999999</v>
      </c>
      <c r="C17" s="7">
        <v>105.97508819260983</v>
      </c>
      <c r="D17" s="7">
        <v>104.18185206425912</v>
      </c>
      <c r="E17" s="16">
        <f t="shared" si="0"/>
        <v>0.9830787012406963</v>
      </c>
      <c r="F17" s="11">
        <f t="shared" si="1"/>
        <v>2.5180045621588425</v>
      </c>
    </row>
    <row r="18" spans="1:6" x14ac:dyDescent="0.2">
      <c r="A18">
        <v>66</v>
      </c>
      <c r="B18" s="7">
        <v>41.374766999999999</v>
      </c>
      <c r="C18" s="7">
        <v>106.68937970664155</v>
      </c>
      <c r="D18" s="7">
        <v>104.30519940050011</v>
      </c>
      <c r="E18" s="16">
        <f t="shared" si="0"/>
        <v>0.977653068068283</v>
      </c>
      <c r="F18" s="11">
        <f t="shared" si="1"/>
        <v>2.5209857834486442</v>
      </c>
    </row>
    <row r="19" spans="1:6" x14ac:dyDescent="0.2">
      <c r="A19">
        <v>67</v>
      </c>
      <c r="B19" s="7">
        <v>41.374766999999999</v>
      </c>
      <c r="C19" s="7">
        <v>108.79793219839229</v>
      </c>
      <c r="D19" s="7">
        <v>104.43286389350951</v>
      </c>
      <c r="E19" s="16">
        <f t="shared" si="0"/>
        <v>0.95987912438516654</v>
      </c>
      <c r="F19" s="11">
        <f t="shared" si="1"/>
        <v>2.5240713474835883</v>
      </c>
    </row>
    <row r="20" spans="1:6" x14ac:dyDescent="0.2">
      <c r="A20">
        <v>68</v>
      </c>
      <c r="B20" s="7">
        <v>41.374766999999999</v>
      </c>
      <c r="C20" s="7">
        <v>114.7803952466533</v>
      </c>
      <c r="D20" s="7">
        <v>104.56499664377424</v>
      </c>
      <c r="E20" s="16">
        <f t="shared" si="0"/>
        <v>0.91100049288968699</v>
      </c>
      <c r="F20" s="11">
        <f t="shared" si="1"/>
        <v>2.5272649062597559</v>
      </c>
    </row>
    <row r="21" spans="1:6" x14ac:dyDescent="0.2">
      <c r="A21">
        <v>69</v>
      </c>
      <c r="B21" s="7">
        <v>41.374766999999999</v>
      </c>
      <c r="C21" s="7">
        <v>131.47962594618119</v>
      </c>
      <c r="D21" s="7">
        <v>104.70175404029825</v>
      </c>
      <c r="E21" s="16">
        <f t="shared" si="0"/>
        <v>0.79633443803039128</v>
      </c>
      <c r="F21" s="11">
        <f t="shared" si="1"/>
        <v>2.5305702395930898</v>
      </c>
    </row>
    <row r="22" spans="1:6" x14ac:dyDescent="0.2">
      <c r="A22">
        <v>70</v>
      </c>
      <c r="B22" s="7">
        <v>58.420325999999996</v>
      </c>
      <c r="C22" s="7">
        <v>148.55850003447745</v>
      </c>
      <c r="D22" s="7">
        <v>117.8610233612859</v>
      </c>
      <c r="E22" s="16">
        <f t="shared" si="0"/>
        <v>0.7933643873217131</v>
      </c>
      <c r="F22" s="11">
        <f t="shared" si="1"/>
        <v>2.0174660333337733</v>
      </c>
    </row>
    <row r="23" spans="1:6" x14ac:dyDescent="0.2">
      <c r="A23">
        <v>71</v>
      </c>
      <c r="B23" s="7">
        <v>58.420325999999996</v>
      </c>
      <c r="C23" s="7">
        <v>149.01872278795187</v>
      </c>
      <c r="D23" s="7">
        <v>117.23519780937009</v>
      </c>
      <c r="E23" s="16">
        <f t="shared" si="0"/>
        <v>0.78671455248070699</v>
      </c>
      <c r="F23" s="11">
        <f t="shared" si="1"/>
        <v>2.0067535708268744</v>
      </c>
    </row>
    <row r="24" spans="1:6" x14ac:dyDescent="0.2">
      <c r="A24">
        <v>72</v>
      </c>
      <c r="B24" s="7">
        <v>58.420325999999996</v>
      </c>
      <c r="C24" s="7">
        <v>150.64656555763835</v>
      </c>
      <c r="D24" s="7">
        <v>116.13211632736582</v>
      </c>
      <c r="E24" s="16">
        <f t="shared" si="0"/>
        <v>0.77089123072595322</v>
      </c>
      <c r="F24" s="11">
        <f t="shared" si="1"/>
        <v>1.9878717610607963</v>
      </c>
    </row>
    <row r="25" spans="1:6" x14ac:dyDescent="0.2">
      <c r="A25">
        <v>73</v>
      </c>
      <c r="B25" s="7">
        <v>58.420325999999996</v>
      </c>
      <c r="C25" s="7">
        <v>155.53365363044031</v>
      </c>
      <c r="D25" s="7">
        <v>114.99042699349143</v>
      </c>
      <c r="E25" s="16">
        <f t="shared" si="0"/>
        <v>0.73932826953784125</v>
      </c>
      <c r="F25" s="11">
        <f t="shared" si="1"/>
        <v>1.9683290879529058</v>
      </c>
    </row>
    <row r="26" spans="1:6" x14ac:dyDescent="0.2">
      <c r="A26">
        <v>74</v>
      </c>
      <c r="B26" s="7">
        <v>58.420325999999996</v>
      </c>
      <c r="C26" s="7">
        <v>169.67176125106894</v>
      </c>
      <c r="D26" s="7">
        <v>113.80877853293138</v>
      </c>
      <c r="E26" s="16">
        <f t="shared" si="0"/>
        <v>0.67075851452101543</v>
      </c>
      <c r="F26" s="11">
        <f t="shared" si="1"/>
        <v>1.9481024212862386</v>
      </c>
    </row>
    <row r="27" spans="1:6" x14ac:dyDescent="0.2">
      <c r="A27">
        <v>75</v>
      </c>
      <c r="B27" s="7">
        <v>73.279182000000006</v>
      </c>
      <c r="C27" s="7">
        <v>184.06124390141079</v>
      </c>
      <c r="D27" s="7">
        <v>142.75535188407508</v>
      </c>
      <c r="E27" s="16">
        <f t="shared" si="0"/>
        <v>0.77558615196874092</v>
      </c>
      <c r="F27" s="11">
        <f t="shared" si="1"/>
        <v>1.9481024212862401</v>
      </c>
    </row>
    <row r="28" spans="1:6" x14ac:dyDescent="0.2">
      <c r="A28">
        <v>76</v>
      </c>
      <c r="B28" s="7">
        <v>73.279182000000006</v>
      </c>
      <c r="C28" s="7">
        <v>183.56585378053649</v>
      </c>
      <c r="D28" s="7">
        <v>142.15798565775825</v>
      </c>
      <c r="E28" s="16">
        <f t="shared" si="0"/>
        <v>0.77442499642507734</v>
      </c>
      <c r="F28" s="11">
        <f t="shared" si="1"/>
        <v>1.9399504985980633</v>
      </c>
    </row>
    <row r="29" spans="1:6" x14ac:dyDescent="0.2">
      <c r="A29">
        <v>77</v>
      </c>
      <c r="B29" s="7">
        <v>73.279182000000006</v>
      </c>
      <c r="C29" s="7">
        <v>182.9856716712024</v>
      </c>
      <c r="D29" s="7">
        <v>141.10506664509143</v>
      </c>
      <c r="E29" s="16">
        <f t="shared" si="0"/>
        <v>0.77112631473482751</v>
      </c>
      <c r="F29" s="11">
        <f t="shared" si="1"/>
        <v>1.9255819018980236</v>
      </c>
    </row>
    <row r="30" spans="1:6" x14ac:dyDescent="0.2">
      <c r="A30">
        <v>78</v>
      </c>
      <c r="B30" s="7">
        <v>73.279182000000006</v>
      </c>
      <c r="C30" s="7">
        <v>182.35809475412489</v>
      </c>
      <c r="D30" s="7">
        <v>140.01529546698126</v>
      </c>
      <c r="E30" s="16">
        <f t="shared" si="0"/>
        <v>0.76780411451306929</v>
      </c>
      <c r="F30" s="11">
        <f t="shared" si="1"/>
        <v>1.9107104043134822</v>
      </c>
    </row>
    <row r="31" spans="1:6" x14ac:dyDescent="0.2">
      <c r="A31">
        <v>79</v>
      </c>
      <c r="B31" s="7">
        <v>73.279182000000006</v>
      </c>
      <c r="C31" s="7">
        <v>181.67832225878132</v>
      </c>
      <c r="D31" s="7">
        <v>138.88738229763726</v>
      </c>
      <c r="E31" s="16">
        <f t="shared" si="0"/>
        <v>0.76446865300642231</v>
      </c>
      <c r="F31" s="11">
        <f t="shared" si="1"/>
        <v>1.8953184043134823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F51"/>
  <sheetViews>
    <sheetView workbookViewId="0">
      <selection activeCell="K26" sqref="K26"/>
    </sheetView>
  </sheetViews>
  <sheetFormatPr baseColWidth="10" defaultRowHeight="16" x14ac:dyDescent="0.2"/>
  <cols>
    <col min="5" max="5" width="29.5" customWidth="1"/>
    <col min="6" max="6" width="25" customWidth="1"/>
  </cols>
  <sheetData>
    <row r="1" spans="1:6" ht="85" x14ac:dyDescent="0.2">
      <c r="A1" s="3" t="s">
        <v>0</v>
      </c>
      <c r="B1" s="9" t="s">
        <v>25</v>
      </c>
      <c r="C1" s="9" t="s">
        <v>28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1.8562669999999999</v>
      </c>
      <c r="C2" s="7">
        <v>1.8562669999999999</v>
      </c>
      <c r="D2" s="7">
        <v>20.355622186434339</v>
      </c>
      <c r="E2" s="16">
        <f>D2/C2</f>
        <v>10.96589132190269</v>
      </c>
      <c r="F2" s="11">
        <f>D2/B2</f>
        <v>10.96589132190269</v>
      </c>
    </row>
    <row r="3" spans="1:6" x14ac:dyDescent="0.2">
      <c r="A3">
        <v>51</v>
      </c>
      <c r="B3" s="7">
        <v>1.8562669999999999</v>
      </c>
      <c r="C3" s="7">
        <v>1.8562669999999999</v>
      </c>
      <c r="D3" s="7">
        <v>20.316156485269744</v>
      </c>
      <c r="E3" s="16">
        <f t="shared" ref="E3:E32" si="0">D3/C3</f>
        <v>10.944630532821918</v>
      </c>
      <c r="F3" s="11">
        <f t="shared" ref="F3:F32" si="1">D3/B3</f>
        <v>10.944630532821918</v>
      </c>
    </row>
    <row r="4" spans="1:6" x14ac:dyDescent="0.2">
      <c r="A4">
        <v>52</v>
      </c>
      <c r="B4" s="7">
        <v>1.8562669999999999</v>
      </c>
      <c r="C4" s="7">
        <v>1.8562669999999999</v>
      </c>
      <c r="D4" s="7">
        <v>20.278469073940826</v>
      </c>
      <c r="E4" s="16">
        <f t="shared" si="0"/>
        <v>10.924327736225893</v>
      </c>
      <c r="F4" s="11">
        <f t="shared" si="1"/>
        <v>10.924327736225893</v>
      </c>
    </row>
    <row r="5" spans="1:6" x14ac:dyDescent="0.2">
      <c r="A5">
        <v>53</v>
      </c>
      <c r="B5" s="7">
        <v>1.8562669999999999</v>
      </c>
      <c r="C5" s="7">
        <v>1.8562669999999999</v>
      </c>
      <c r="D5" s="7">
        <v>20.239462603215404</v>
      </c>
      <c r="E5" s="16">
        <f t="shared" si="0"/>
        <v>10.903314341749008</v>
      </c>
      <c r="F5" s="11">
        <f t="shared" si="1"/>
        <v>10.903314341749008</v>
      </c>
    </row>
    <row r="6" spans="1:6" x14ac:dyDescent="0.2">
      <c r="A6">
        <v>54</v>
      </c>
      <c r="B6" s="7">
        <v>1.8562669999999999</v>
      </c>
      <c r="C6" s="7">
        <v>1.8562669999999999</v>
      </c>
      <c r="D6" s="7">
        <v>20.19909090601459</v>
      </c>
      <c r="E6" s="16">
        <f t="shared" si="0"/>
        <v>10.881565478465431</v>
      </c>
      <c r="F6" s="11">
        <f t="shared" si="1"/>
        <v>10.881565478465431</v>
      </c>
    </row>
    <row r="7" spans="1:6" x14ac:dyDescent="0.2">
      <c r="A7">
        <v>55</v>
      </c>
      <c r="B7" s="7">
        <v>4.5079370000000001</v>
      </c>
      <c r="C7" s="7">
        <v>4.5079370000000001</v>
      </c>
      <c r="D7" s="7">
        <v>41.720530290127783</v>
      </c>
      <c r="E7" s="16">
        <f t="shared" si="0"/>
        <v>9.2549053569576909</v>
      </c>
      <c r="F7" s="11">
        <f t="shared" si="1"/>
        <v>9.2549053569576909</v>
      </c>
    </row>
    <row r="8" spans="1:6" x14ac:dyDescent="0.2">
      <c r="A8">
        <v>56</v>
      </c>
      <c r="B8" s="7">
        <v>4.5079370000000001</v>
      </c>
      <c r="C8" s="7">
        <v>4.5079370000000001</v>
      </c>
      <c r="D8" s="7">
        <v>41.672014957051353</v>
      </c>
      <c r="E8" s="16">
        <f t="shared" si="0"/>
        <v>9.2441431539640746</v>
      </c>
      <c r="F8" s="11">
        <f t="shared" si="1"/>
        <v>9.2441431539640746</v>
      </c>
    </row>
    <row r="9" spans="1:6" x14ac:dyDescent="0.2">
      <c r="A9">
        <v>57</v>
      </c>
      <c r="B9" s="7">
        <v>4.5079370000000001</v>
      </c>
      <c r="C9" s="7">
        <v>4.5079370000000001</v>
      </c>
      <c r="D9" s="7">
        <v>41.621801587317236</v>
      </c>
      <c r="E9" s="16">
        <f t="shared" si="0"/>
        <v>9.2330042738656815</v>
      </c>
      <c r="F9" s="11">
        <f t="shared" si="1"/>
        <v>9.2330042738656815</v>
      </c>
    </row>
    <row r="10" spans="1:6" x14ac:dyDescent="0.2">
      <c r="A10">
        <v>58</v>
      </c>
      <c r="B10" s="7">
        <v>4.5079370000000001</v>
      </c>
      <c r="C10" s="7">
        <v>4.5079370000000001</v>
      </c>
      <c r="D10" s="7">
        <v>41.571588217583098</v>
      </c>
      <c r="E10" s="16">
        <f t="shared" si="0"/>
        <v>9.2218653937672812</v>
      </c>
      <c r="F10" s="11">
        <f t="shared" si="1"/>
        <v>9.2218653937672812</v>
      </c>
    </row>
    <row r="11" spans="1:6" x14ac:dyDescent="0.2">
      <c r="A11">
        <v>59</v>
      </c>
      <c r="B11" s="7">
        <v>4.5079370000000001</v>
      </c>
      <c r="C11" s="7">
        <v>4.5079370000000001</v>
      </c>
      <c r="D11" s="7">
        <v>41.516040932649013</v>
      </c>
      <c r="E11" s="16">
        <f t="shared" si="0"/>
        <v>9.2095432861304438</v>
      </c>
      <c r="F11" s="11">
        <f t="shared" si="1"/>
        <v>9.2095432861304438</v>
      </c>
    </row>
    <row r="12" spans="1:6" x14ac:dyDescent="0.2">
      <c r="A12">
        <v>60</v>
      </c>
      <c r="B12" s="7">
        <v>9.6236929999999994</v>
      </c>
      <c r="C12" s="7">
        <v>9.6236929999999994</v>
      </c>
      <c r="D12" s="7">
        <v>75.936178702698143</v>
      </c>
      <c r="E12" s="16">
        <f t="shared" si="0"/>
        <v>7.8905445864387138</v>
      </c>
      <c r="F12" s="11">
        <f t="shared" si="1"/>
        <v>7.8905445864387138</v>
      </c>
    </row>
    <row r="13" spans="1:6" x14ac:dyDescent="0.2">
      <c r="A13">
        <v>61</v>
      </c>
      <c r="B13" s="7">
        <v>9.6236929999999994</v>
      </c>
      <c r="C13" s="7">
        <v>9.6236929999999994</v>
      </c>
      <c r="D13" s="7">
        <v>75.925144778646583</v>
      </c>
      <c r="E13" s="16">
        <f t="shared" si="0"/>
        <v>7.8893980490282249</v>
      </c>
      <c r="F13" s="11">
        <f t="shared" si="1"/>
        <v>7.8893980490282249</v>
      </c>
    </row>
    <row r="14" spans="1:6" x14ac:dyDescent="0.2">
      <c r="A14">
        <v>62</v>
      </c>
      <c r="B14" s="7">
        <v>9.6236929999999994</v>
      </c>
      <c r="C14" s="7">
        <v>9.6236929999999994</v>
      </c>
      <c r="D14" s="7">
        <v>75.872014976081928</v>
      </c>
      <c r="E14" s="16">
        <f t="shared" si="0"/>
        <v>7.8838773198689873</v>
      </c>
      <c r="F14" s="11">
        <f t="shared" si="1"/>
        <v>7.8838773198689873</v>
      </c>
    </row>
    <row r="15" spans="1:6" x14ac:dyDescent="0.2">
      <c r="A15">
        <v>63</v>
      </c>
      <c r="B15" s="7">
        <v>9.6236929999999994</v>
      </c>
      <c r="C15" s="7">
        <v>9.6236929999999994</v>
      </c>
      <c r="D15" s="7">
        <v>75.680021828726851</v>
      </c>
      <c r="E15" s="16">
        <f t="shared" si="0"/>
        <v>7.8639272708228383</v>
      </c>
      <c r="F15" s="11">
        <f t="shared" si="1"/>
        <v>7.8639272708228383</v>
      </c>
    </row>
    <row r="16" spans="1:6" x14ac:dyDescent="0.2">
      <c r="A16">
        <v>64</v>
      </c>
      <c r="B16" s="7">
        <v>9.6236929999999994</v>
      </c>
      <c r="C16" s="7">
        <v>9.6236929999999994</v>
      </c>
      <c r="D16" s="7">
        <v>75.481308921214307</v>
      </c>
      <c r="E16" s="16">
        <f t="shared" si="0"/>
        <v>7.8432789700600702</v>
      </c>
      <c r="F16" s="11">
        <f t="shared" si="1"/>
        <v>7.8432789700600702</v>
      </c>
    </row>
    <row r="17" spans="1:6" x14ac:dyDescent="0.2">
      <c r="A17">
        <v>65</v>
      </c>
      <c r="B17" s="7">
        <v>15.235882999999999</v>
      </c>
      <c r="C17" s="7">
        <v>15.235882999999999</v>
      </c>
      <c r="D17" s="7">
        <v>87.472046942141731</v>
      </c>
      <c r="E17" s="16">
        <f t="shared" si="0"/>
        <v>5.7411865752803255</v>
      </c>
      <c r="F17" s="11">
        <f t="shared" si="1"/>
        <v>5.7411865752803255</v>
      </c>
    </row>
    <row r="18" spans="1:6" x14ac:dyDescent="0.2">
      <c r="A18">
        <v>66</v>
      </c>
      <c r="B18" s="7">
        <v>15.235882999999999</v>
      </c>
      <c r="C18" s="7">
        <v>15.235882999999999</v>
      </c>
      <c r="D18" s="7">
        <v>87.371833044079395</v>
      </c>
      <c r="E18" s="16">
        <f t="shared" si="0"/>
        <v>5.7346090833120336</v>
      </c>
      <c r="F18" s="11">
        <f t="shared" si="1"/>
        <v>5.7346090833120336</v>
      </c>
    </row>
    <row r="19" spans="1:6" x14ac:dyDescent="0.2">
      <c r="A19">
        <v>67</v>
      </c>
      <c r="B19" s="7">
        <v>15.235882999999999</v>
      </c>
      <c r="C19" s="7">
        <v>15.235882999999999</v>
      </c>
      <c r="D19" s="7">
        <v>87.091520390733166</v>
      </c>
      <c r="E19" s="16">
        <f t="shared" si="0"/>
        <v>5.7162108944216206</v>
      </c>
      <c r="F19" s="11">
        <f t="shared" si="1"/>
        <v>5.7162108944216206</v>
      </c>
    </row>
    <row r="20" spans="1:6" x14ac:dyDescent="0.2">
      <c r="A20">
        <v>68</v>
      </c>
      <c r="B20" s="7">
        <v>15.235882999999999</v>
      </c>
      <c r="C20" s="7">
        <v>15.235882999999999</v>
      </c>
      <c r="D20" s="7">
        <v>86.801396794519803</v>
      </c>
      <c r="E20" s="16">
        <f t="shared" si="0"/>
        <v>5.6971687689200428</v>
      </c>
      <c r="F20" s="11">
        <f t="shared" si="1"/>
        <v>5.6971687689200428</v>
      </c>
    </row>
    <row r="21" spans="1:6" x14ac:dyDescent="0.2">
      <c r="A21">
        <v>69</v>
      </c>
      <c r="B21" s="7">
        <v>15.235882999999999</v>
      </c>
      <c r="C21" s="7">
        <v>15.235882999999999</v>
      </c>
      <c r="D21" s="7">
        <v>86.50111887243898</v>
      </c>
      <c r="E21" s="16">
        <f t="shared" si="0"/>
        <v>5.6774601690259097</v>
      </c>
      <c r="F21" s="11">
        <f t="shared" si="1"/>
        <v>5.6774601690259097</v>
      </c>
    </row>
    <row r="22" spans="1:6" x14ac:dyDescent="0.2">
      <c r="A22">
        <v>70</v>
      </c>
      <c r="B22" s="7">
        <v>23.261631000000001</v>
      </c>
      <c r="C22" s="7">
        <v>23.261631000000001</v>
      </c>
      <c r="D22" s="7">
        <v>102.71075191214116</v>
      </c>
      <c r="E22" s="16">
        <f t="shared" si="0"/>
        <v>4.4154578804960476</v>
      </c>
      <c r="F22" s="11">
        <f t="shared" si="1"/>
        <v>4.4154578804960476</v>
      </c>
    </row>
    <row r="23" spans="1:6" x14ac:dyDescent="0.2">
      <c r="A23">
        <v>71</v>
      </c>
      <c r="B23" s="7">
        <v>23.261631000000001</v>
      </c>
      <c r="C23" s="7">
        <v>23.261631000000001</v>
      </c>
      <c r="D23" s="7">
        <v>102.28638312818879</v>
      </c>
      <c r="E23" s="16">
        <f t="shared" si="0"/>
        <v>4.3972145860360685</v>
      </c>
      <c r="F23" s="11">
        <f t="shared" si="1"/>
        <v>4.3972145860360685</v>
      </c>
    </row>
    <row r="24" spans="1:6" x14ac:dyDescent="0.2">
      <c r="A24">
        <v>72</v>
      </c>
      <c r="B24" s="7">
        <v>23.261631000000001</v>
      </c>
      <c r="C24" s="7">
        <v>23.261631000000001</v>
      </c>
      <c r="D24" s="7">
        <v>101.84716143679809</v>
      </c>
      <c r="E24" s="16">
        <f t="shared" si="0"/>
        <v>4.3783327762699908</v>
      </c>
      <c r="F24" s="11">
        <f t="shared" si="1"/>
        <v>4.3783327762699908</v>
      </c>
    </row>
    <row r="25" spans="1:6" x14ac:dyDescent="0.2">
      <c r="A25">
        <v>73</v>
      </c>
      <c r="B25" s="7">
        <v>23.261631000000001</v>
      </c>
      <c r="C25" s="7">
        <v>23.261631000000001</v>
      </c>
      <c r="D25" s="7">
        <v>101.23201521401276</v>
      </c>
      <c r="E25" s="16">
        <f t="shared" si="0"/>
        <v>4.351888103375587</v>
      </c>
      <c r="F25" s="11">
        <f t="shared" si="1"/>
        <v>4.351888103375587</v>
      </c>
    </row>
    <row r="26" spans="1:6" x14ac:dyDescent="0.2">
      <c r="A26">
        <v>74</v>
      </c>
      <c r="B26" s="7">
        <v>23.261631000000001</v>
      </c>
      <c r="C26" s="7">
        <v>23.261631000000001</v>
      </c>
      <c r="D26" s="7">
        <v>100.35412803996998</v>
      </c>
      <c r="E26" s="16">
        <f t="shared" si="0"/>
        <v>4.3141483948382628</v>
      </c>
      <c r="F26" s="11">
        <f t="shared" si="1"/>
        <v>4.3141483948382628</v>
      </c>
    </row>
    <row r="27" spans="1:6" x14ac:dyDescent="0.2">
      <c r="A27">
        <v>75</v>
      </c>
      <c r="B27" s="7">
        <v>30.003927000000001</v>
      </c>
      <c r="C27" s="7">
        <v>30.003927000000001</v>
      </c>
      <c r="D27" s="7">
        <v>128.26942216484085</v>
      </c>
      <c r="E27" s="16">
        <f t="shared" si="0"/>
        <v>4.2750877965021328</v>
      </c>
      <c r="F27" s="11">
        <f t="shared" si="1"/>
        <v>4.2750877965021328</v>
      </c>
    </row>
    <row r="28" spans="1:6" x14ac:dyDescent="0.2">
      <c r="A28">
        <v>76</v>
      </c>
      <c r="B28" s="7">
        <v>30.003927000000001</v>
      </c>
      <c r="C28" s="7">
        <v>30.003927000000001</v>
      </c>
      <c r="D28" s="7">
        <v>127.85288658370033</v>
      </c>
      <c r="E28" s="16">
        <f t="shared" si="0"/>
        <v>4.2612050943764901</v>
      </c>
      <c r="F28" s="11">
        <f t="shared" si="1"/>
        <v>4.2612050943764901</v>
      </c>
    </row>
    <row r="29" spans="1:6" x14ac:dyDescent="0.2">
      <c r="A29">
        <v>77</v>
      </c>
      <c r="B29" s="7">
        <v>30.003927000000001</v>
      </c>
      <c r="C29" s="7">
        <v>30.003927000000001</v>
      </c>
      <c r="D29" s="7">
        <v>127.42177225721991</v>
      </c>
      <c r="E29" s="16">
        <f t="shared" si="0"/>
        <v>4.2468364976764512</v>
      </c>
      <c r="F29" s="11">
        <f t="shared" si="1"/>
        <v>4.2468364976764512</v>
      </c>
    </row>
    <row r="30" spans="1:6" x14ac:dyDescent="0.2">
      <c r="A30">
        <v>78</v>
      </c>
      <c r="B30" s="7">
        <v>30.003927000000001</v>
      </c>
      <c r="C30" s="7">
        <v>30.003927000000001</v>
      </c>
      <c r="D30" s="7">
        <v>126.44192140819139</v>
      </c>
      <c r="E30" s="16">
        <f t="shared" si="0"/>
        <v>4.2141790775651264</v>
      </c>
      <c r="F30" s="11">
        <f t="shared" si="1"/>
        <v>4.2141790775651264</v>
      </c>
    </row>
    <row r="31" spans="1:6" x14ac:dyDescent="0.2">
      <c r="A31">
        <v>79</v>
      </c>
      <c r="B31" s="7">
        <v>30.003927000000001</v>
      </c>
      <c r="C31" s="7">
        <v>30.003927000000001</v>
      </c>
      <c r="D31" s="7">
        <v>124.62603088692454</v>
      </c>
      <c r="E31" s="16">
        <f>D31/C31</f>
        <v>4.1536573158215102</v>
      </c>
      <c r="F31" s="11">
        <f>D31/B31</f>
        <v>4.1536573158215102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F51"/>
  <sheetViews>
    <sheetView workbookViewId="0">
      <selection activeCell="L18" sqref="L18"/>
    </sheetView>
  </sheetViews>
  <sheetFormatPr baseColWidth="10" defaultRowHeight="16" x14ac:dyDescent="0.2"/>
  <cols>
    <col min="5" max="5" width="18.5" customWidth="1"/>
    <col min="6" max="6" width="19.33203125" customWidth="1"/>
  </cols>
  <sheetData>
    <row r="1" spans="1:6" ht="85" x14ac:dyDescent="0.2">
      <c r="A1" s="3" t="s">
        <v>0</v>
      </c>
      <c r="B1" s="9" t="s">
        <v>1</v>
      </c>
      <c r="C1" s="9" t="s">
        <v>29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17.516331000000001</v>
      </c>
      <c r="C2" s="7">
        <v>37.691799924570489</v>
      </c>
      <c r="D2" s="7">
        <v>27.196829598308593</v>
      </c>
      <c r="E2" s="16">
        <f>D2/C2</f>
        <v>0.72155826075526719</v>
      </c>
      <c r="F2" s="11">
        <f>D2/B2</f>
        <v>1.5526556102592828</v>
      </c>
    </row>
    <row r="3" spans="1:6" x14ac:dyDescent="0.2">
      <c r="A3">
        <v>51</v>
      </c>
      <c r="B3" s="7">
        <v>17.516331000000001</v>
      </c>
      <c r="C3" s="7">
        <v>37.728202238535495</v>
      </c>
      <c r="D3" s="7">
        <v>27.196829598308593</v>
      </c>
      <c r="E3" s="16">
        <f t="shared" ref="E3:E32" si="0">D3/C3</f>
        <v>0.7208620603324114</v>
      </c>
      <c r="F3" s="11">
        <f t="shared" ref="F3:F32" si="1">D3/B3</f>
        <v>1.5526556102592828</v>
      </c>
    </row>
    <row r="4" spans="1:6" x14ac:dyDescent="0.2">
      <c r="A4">
        <v>52</v>
      </c>
      <c r="B4" s="7">
        <v>17.516331000000001</v>
      </c>
      <c r="C4" s="7">
        <v>38.044708820072351</v>
      </c>
      <c r="D4" s="7">
        <v>27.071904948829193</v>
      </c>
      <c r="E4" s="16">
        <f t="shared" si="0"/>
        <v>0.71158134175404919</v>
      </c>
      <c r="F4" s="11">
        <f t="shared" si="1"/>
        <v>1.5455237143457263</v>
      </c>
    </row>
    <row r="5" spans="1:6" x14ac:dyDescent="0.2">
      <c r="A5">
        <v>53</v>
      </c>
      <c r="B5" s="7">
        <v>17.516331000000001</v>
      </c>
      <c r="C5" s="7">
        <v>40.445515271537197</v>
      </c>
      <c r="D5" s="7">
        <v>26.937122282081347</v>
      </c>
      <c r="E5" s="16">
        <f t="shared" si="0"/>
        <v>0.66601011511992936</v>
      </c>
      <c r="F5" s="11">
        <f t="shared" si="1"/>
        <v>1.537829028355387</v>
      </c>
    </row>
    <row r="6" spans="1:6" x14ac:dyDescent="0.2">
      <c r="A6">
        <v>54</v>
      </c>
      <c r="B6" s="7">
        <v>17.516331000000001</v>
      </c>
      <c r="C6" s="7">
        <v>58.333705537668997</v>
      </c>
      <c r="D6" s="7">
        <v>26.797622221997354</v>
      </c>
      <c r="E6" s="16">
        <f t="shared" si="0"/>
        <v>0.45938487834778108</v>
      </c>
      <c r="F6" s="11">
        <f t="shared" si="1"/>
        <v>1.5298650283553874</v>
      </c>
    </row>
    <row r="7" spans="1:6" x14ac:dyDescent="0.2">
      <c r="A7">
        <v>55</v>
      </c>
      <c r="B7" s="7">
        <v>35.513751999999997</v>
      </c>
      <c r="C7" s="7">
        <v>76.309051451248209</v>
      </c>
      <c r="D7" s="7">
        <v>42.189008127815498</v>
      </c>
      <c r="E7" s="16">
        <f t="shared" si="0"/>
        <v>0.55287029946596722</v>
      </c>
      <c r="F7" s="11">
        <f t="shared" si="1"/>
        <v>1.1879625708884689</v>
      </c>
    </row>
    <row r="8" spans="1:6" x14ac:dyDescent="0.2">
      <c r="A8">
        <v>56</v>
      </c>
      <c r="B8" s="7">
        <v>35.513751999999997</v>
      </c>
      <c r="C8" s="7">
        <v>76.355578150301668</v>
      </c>
      <c r="D8" s="7">
        <v>42.189008127815498</v>
      </c>
      <c r="E8" s="16">
        <f t="shared" si="0"/>
        <v>0.552533412094252</v>
      </c>
      <c r="F8" s="11">
        <f t="shared" si="1"/>
        <v>1.1879625708884689</v>
      </c>
    </row>
    <row r="9" spans="1:6" x14ac:dyDescent="0.2">
      <c r="A9">
        <v>57</v>
      </c>
      <c r="B9" s="7">
        <v>35.513751999999997</v>
      </c>
      <c r="C9" s="7">
        <v>76.860072205328834</v>
      </c>
      <c r="D9" s="7">
        <v>42.113012328730683</v>
      </c>
      <c r="E9" s="16">
        <f t="shared" si="0"/>
        <v>0.54791793866947369</v>
      </c>
      <c r="F9" s="11">
        <f t="shared" si="1"/>
        <v>1.1858226731078902</v>
      </c>
    </row>
    <row r="10" spans="1:6" x14ac:dyDescent="0.2">
      <c r="A10">
        <v>58</v>
      </c>
      <c r="B10" s="7">
        <v>35.513751999999997</v>
      </c>
      <c r="C10" s="7">
        <v>80.772753757218126</v>
      </c>
      <c r="D10" s="7">
        <v>41.826157288421477</v>
      </c>
      <c r="E10" s="16">
        <f t="shared" si="0"/>
        <v>0.51782507519973897</v>
      </c>
      <c r="F10" s="11">
        <f t="shared" si="1"/>
        <v>1.1777453784218992</v>
      </c>
    </row>
    <row r="11" spans="1:6" x14ac:dyDescent="0.2">
      <c r="A11">
        <v>59</v>
      </c>
      <c r="B11" s="7">
        <v>35.513751999999997</v>
      </c>
      <c r="C11" s="7">
        <v>110.0698009117383</v>
      </c>
      <c r="D11" s="7">
        <v>41.529262321701502</v>
      </c>
      <c r="E11" s="16">
        <f t="shared" si="0"/>
        <v>0.37729933167592972</v>
      </c>
      <c r="F11" s="11">
        <f t="shared" si="1"/>
        <v>1.1693853784218999</v>
      </c>
    </row>
    <row r="12" spans="1:6" x14ac:dyDescent="0.2">
      <c r="A12">
        <v>60</v>
      </c>
      <c r="B12" s="7">
        <v>65.085517999999993</v>
      </c>
      <c r="C12" s="7">
        <v>139.57733954513981</v>
      </c>
      <c r="D12" s="7">
        <v>63.646555299641612</v>
      </c>
      <c r="E12" s="16">
        <f t="shared" si="0"/>
        <v>0.45599490223166267</v>
      </c>
      <c r="F12" s="11">
        <f t="shared" si="1"/>
        <v>0.97789120000000029</v>
      </c>
    </row>
    <row r="13" spans="1:6" x14ac:dyDescent="0.2">
      <c r="A13">
        <v>61</v>
      </c>
      <c r="B13" s="7">
        <v>65.085517999999993</v>
      </c>
      <c r="C13" s="7">
        <v>139.602002424566</v>
      </c>
      <c r="D13" s="7">
        <v>63.646555299641612</v>
      </c>
      <c r="E13" s="16">
        <f t="shared" si="0"/>
        <v>0.45591434359283678</v>
      </c>
      <c r="F13" s="11">
        <f t="shared" si="1"/>
        <v>0.97789120000000029</v>
      </c>
    </row>
    <row r="14" spans="1:6" x14ac:dyDescent="0.2">
      <c r="A14">
        <v>62</v>
      </c>
      <c r="B14" s="7">
        <v>65.085517999999993</v>
      </c>
      <c r="C14" s="7">
        <v>140.15364874036595</v>
      </c>
      <c r="D14" s="7">
        <v>63.646555299641612</v>
      </c>
      <c r="E14" s="16">
        <f t="shared" si="0"/>
        <v>0.45411985968018992</v>
      </c>
      <c r="F14" s="11">
        <f t="shared" si="1"/>
        <v>0.97789120000000029</v>
      </c>
    </row>
    <row r="15" spans="1:6" x14ac:dyDescent="0.2">
      <c r="A15">
        <v>63</v>
      </c>
      <c r="B15" s="7">
        <v>65.085517999999993</v>
      </c>
      <c r="C15" s="7">
        <v>144.65857575619458</v>
      </c>
      <c r="D15" s="7">
        <v>63.395854034144399</v>
      </c>
      <c r="E15" s="16">
        <f t="shared" si="0"/>
        <v>0.43824469930487103</v>
      </c>
      <c r="F15" s="11">
        <f t="shared" si="1"/>
        <v>0.97403932521739178</v>
      </c>
    </row>
    <row r="16" spans="1:6" x14ac:dyDescent="0.2">
      <c r="A16">
        <v>64</v>
      </c>
      <c r="B16" s="7">
        <v>65.085517999999993</v>
      </c>
      <c r="C16" s="7">
        <v>178.71529941694192</v>
      </c>
      <c r="D16" s="7">
        <v>63.103750229360401</v>
      </c>
      <c r="E16" s="16">
        <f t="shared" si="0"/>
        <v>0.3530965196333844</v>
      </c>
      <c r="F16" s="11">
        <f t="shared" si="1"/>
        <v>0.96955132521739174</v>
      </c>
    </row>
    <row r="17" spans="1:6" x14ac:dyDescent="0.2">
      <c r="A17">
        <v>65</v>
      </c>
      <c r="B17" s="7">
        <v>99.622283999999979</v>
      </c>
      <c r="C17" s="7">
        <v>213.12677592009049</v>
      </c>
      <c r="D17" s="7">
        <v>74.758104586324706</v>
      </c>
      <c r="E17" s="16">
        <f t="shared" si="0"/>
        <v>0.3507682423458347</v>
      </c>
      <c r="F17" s="11">
        <f t="shared" si="1"/>
        <v>0.75041548521739099</v>
      </c>
    </row>
    <row r="18" spans="1:6" x14ac:dyDescent="0.2">
      <c r="A18">
        <v>66</v>
      </c>
      <c r="B18" s="7">
        <v>99.622283999999979</v>
      </c>
      <c r="C18" s="7">
        <v>213.11048576690453</v>
      </c>
      <c r="D18" s="7">
        <v>74.758104586324706</v>
      </c>
      <c r="E18" s="16">
        <f t="shared" si="0"/>
        <v>0.35079505504995867</v>
      </c>
      <c r="F18" s="11">
        <f t="shared" si="1"/>
        <v>0.75041548521739099</v>
      </c>
    </row>
    <row r="19" spans="1:6" x14ac:dyDescent="0.2">
      <c r="A19">
        <v>67</v>
      </c>
      <c r="B19" s="7">
        <v>99.622283999999979</v>
      </c>
      <c r="C19" s="7">
        <v>213.66337332195539</v>
      </c>
      <c r="D19" s="7">
        <v>74.758104586324706</v>
      </c>
      <c r="E19" s="16">
        <f t="shared" si="0"/>
        <v>0.34988731771859</v>
      </c>
      <c r="F19" s="11">
        <f t="shared" si="1"/>
        <v>0.75041548521739099</v>
      </c>
    </row>
    <row r="20" spans="1:6" x14ac:dyDescent="0.2">
      <c r="A20">
        <v>68</v>
      </c>
      <c r="B20" s="7">
        <v>99.622283999999979</v>
      </c>
      <c r="C20" s="7">
        <v>218.61032430248392</v>
      </c>
      <c r="D20" s="7">
        <v>74.886815884228142</v>
      </c>
      <c r="E20" s="16">
        <f t="shared" si="0"/>
        <v>0.34255845931873607</v>
      </c>
      <c r="F20" s="11">
        <f t="shared" si="1"/>
        <v>0.75170747826086937</v>
      </c>
    </row>
    <row r="21" spans="1:6" x14ac:dyDescent="0.2">
      <c r="A21">
        <v>69</v>
      </c>
      <c r="B21" s="7">
        <v>99.622283999999979</v>
      </c>
      <c r="C21" s="7">
        <v>256.61450785442645</v>
      </c>
      <c r="D21" s="7">
        <v>75.18050237746013</v>
      </c>
      <c r="E21" s="16">
        <f t="shared" si="0"/>
        <v>0.29297058457859637</v>
      </c>
      <c r="F21" s="11">
        <f t="shared" si="1"/>
        <v>0.75465547826086932</v>
      </c>
    </row>
    <row r="22" spans="1:6" x14ac:dyDescent="0.2">
      <c r="A22">
        <v>70</v>
      </c>
      <c r="B22" s="7">
        <v>138.44874999999999</v>
      </c>
      <c r="C22" s="7">
        <v>295.15010746770321</v>
      </c>
      <c r="D22" s="7">
        <v>87.678220926521718</v>
      </c>
      <c r="E22" s="16">
        <f t="shared" si="0"/>
        <v>0.29706315094639058</v>
      </c>
      <c r="F22" s="11">
        <f t="shared" si="1"/>
        <v>0.63329008695652167</v>
      </c>
    </row>
    <row r="23" spans="1:6" x14ac:dyDescent="0.2">
      <c r="A23">
        <v>71</v>
      </c>
      <c r="B23" s="7">
        <v>138.44874999999999</v>
      </c>
      <c r="C23" s="7">
        <v>294.96263232676267</v>
      </c>
      <c r="D23" s="7">
        <v>87.678220926521718</v>
      </c>
      <c r="E23" s="16">
        <f t="shared" si="0"/>
        <v>0.29725196115483155</v>
      </c>
      <c r="F23" s="11">
        <f t="shared" si="1"/>
        <v>0.63329008695652167</v>
      </c>
    </row>
    <row r="24" spans="1:6" x14ac:dyDescent="0.2">
      <c r="A24">
        <v>72</v>
      </c>
      <c r="B24" s="7">
        <v>138.44874999999999</v>
      </c>
      <c r="C24" s="7">
        <v>295.21735899383941</v>
      </c>
      <c r="D24" s="7">
        <v>87.678220926521718</v>
      </c>
      <c r="E24" s="16">
        <f t="shared" si="0"/>
        <v>0.29699547894252176</v>
      </c>
      <c r="F24" s="11">
        <f t="shared" si="1"/>
        <v>0.63329008695652167</v>
      </c>
    </row>
    <row r="25" spans="1:6" x14ac:dyDescent="0.2">
      <c r="A25">
        <v>73</v>
      </c>
      <c r="B25" s="7">
        <v>138.44874999999999</v>
      </c>
      <c r="C25" s="7">
        <v>298.87931669346824</v>
      </c>
      <c r="D25" s="7">
        <v>87.161323120347816</v>
      </c>
      <c r="E25" s="16">
        <f t="shared" si="0"/>
        <v>0.29162714932776962</v>
      </c>
      <c r="F25" s="11">
        <f t="shared" si="1"/>
        <v>0.62955659130434782</v>
      </c>
    </row>
    <row r="26" spans="1:6" x14ac:dyDescent="0.2">
      <c r="A26">
        <v>74</v>
      </c>
      <c r="B26" s="7">
        <v>138.44874999999999</v>
      </c>
      <c r="C26" s="7">
        <v>329.1165752064822</v>
      </c>
      <c r="D26" s="7">
        <v>84.663707670347804</v>
      </c>
      <c r="E26" s="16">
        <f t="shared" si="0"/>
        <v>0.2572453472367085</v>
      </c>
      <c r="F26" s="11">
        <f t="shared" si="1"/>
        <v>0.61151659130434777</v>
      </c>
    </row>
    <row r="27" spans="1:6" x14ac:dyDescent="0.2">
      <c r="A27">
        <v>75</v>
      </c>
      <c r="B27" s="7">
        <v>169.87109000000001</v>
      </c>
      <c r="C27" s="7">
        <v>359.92944402511824</v>
      </c>
      <c r="D27" s="7">
        <v>103.87898991795409</v>
      </c>
      <c r="E27" s="16">
        <f t="shared" si="0"/>
        <v>0.2886093139707257</v>
      </c>
      <c r="F27" s="11">
        <f t="shared" si="1"/>
        <v>0.61151659130434777</v>
      </c>
    </row>
    <row r="28" spans="1:6" x14ac:dyDescent="0.2">
      <c r="A28">
        <v>76</v>
      </c>
      <c r="B28" s="7">
        <v>169.87109000000001</v>
      </c>
      <c r="C28" s="7">
        <v>359.34122533479871</v>
      </c>
      <c r="D28" s="7">
        <v>103.87898991795409</v>
      </c>
      <c r="E28" s="16">
        <f t="shared" si="0"/>
        <v>0.28908174902885103</v>
      </c>
      <c r="F28" s="11">
        <f t="shared" si="1"/>
        <v>0.61151659130434777</v>
      </c>
    </row>
    <row r="29" spans="1:6" x14ac:dyDescent="0.2">
      <c r="A29">
        <v>77</v>
      </c>
      <c r="B29" s="7">
        <v>169.87109000000001</v>
      </c>
      <c r="C29" s="7">
        <v>358.62714487685201</v>
      </c>
      <c r="D29" s="7">
        <v>103.87898991795409</v>
      </c>
      <c r="E29" s="16">
        <f t="shared" si="0"/>
        <v>0.28965735416828198</v>
      </c>
      <c r="F29" s="11">
        <f t="shared" si="1"/>
        <v>0.61151659130434777</v>
      </c>
    </row>
    <row r="30" spans="1:6" x14ac:dyDescent="0.2">
      <c r="A30">
        <v>78</v>
      </c>
      <c r="B30" s="7">
        <v>169.87109000000001</v>
      </c>
      <c r="C30" s="7">
        <v>357.85468739319617</v>
      </c>
      <c r="D30" s="7">
        <v>103.39636931186909</v>
      </c>
      <c r="E30" s="16">
        <f t="shared" si="0"/>
        <v>0.2889339526752136</v>
      </c>
      <c r="F30" s="11">
        <f t="shared" si="1"/>
        <v>0.60867549217391315</v>
      </c>
    </row>
    <row r="31" spans="1:6" x14ac:dyDescent="0.2">
      <c r="A31">
        <v>79</v>
      </c>
      <c r="B31" s="7">
        <v>169.87109000000001</v>
      </c>
      <c r="C31" s="7">
        <v>357.03035266370449</v>
      </c>
      <c r="D31" s="7">
        <v>101.06437898834909</v>
      </c>
      <c r="E31" s="16">
        <f>D31/C31</f>
        <v>0.28306943158847919</v>
      </c>
      <c r="F31" s="11">
        <f>D31/B31</f>
        <v>0.59494749217391307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F51"/>
  <sheetViews>
    <sheetView workbookViewId="0">
      <selection activeCell="I17" sqref="I17:I18"/>
    </sheetView>
  </sheetViews>
  <sheetFormatPr baseColWidth="10" defaultRowHeight="16" x14ac:dyDescent="0.2"/>
  <cols>
    <col min="5" max="5" width="24.83203125" customWidth="1"/>
    <col min="6" max="6" width="25" customWidth="1"/>
  </cols>
  <sheetData>
    <row r="1" spans="1:6" ht="85" x14ac:dyDescent="0.2">
      <c r="A1" s="3" t="s">
        <v>0</v>
      </c>
      <c r="B1" s="9" t="s">
        <v>27</v>
      </c>
      <c r="C1" s="9" t="s">
        <v>29</v>
      </c>
      <c r="D1" s="9" t="s">
        <v>3</v>
      </c>
      <c r="E1" s="15" t="s">
        <v>23</v>
      </c>
      <c r="F1" s="10" t="s">
        <v>23</v>
      </c>
    </row>
    <row r="2" spans="1:6" x14ac:dyDescent="0.2">
      <c r="A2">
        <v>50</v>
      </c>
      <c r="B2" s="7">
        <v>6.715834000000001</v>
      </c>
      <c r="C2" s="7">
        <v>6.715834000000001</v>
      </c>
      <c r="D2" s="7">
        <v>41.596970416098479</v>
      </c>
      <c r="E2" s="16">
        <f>D2/C2</f>
        <v>6.1938651872721202</v>
      </c>
      <c r="F2" s="11">
        <f>D2/B2</f>
        <v>6.1938651872721202</v>
      </c>
    </row>
    <row r="3" spans="1:6" x14ac:dyDescent="0.2">
      <c r="A3">
        <v>51</v>
      </c>
      <c r="B3" s="7">
        <v>6.715834000000001</v>
      </c>
      <c r="C3" s="7">
        <v>6.715834000000001</v>
      </c>
      <c r="D3" s="7">
        <v>41.484129060874274</v>
      </c>
      <c r="E3" s="16">
        <f t="shared" ref="E3:E32" si="0">D3/C3</f>
        <v>6.1770629025187738</v>
      </c>
      <c r="F3" s="11">
        <f t="shared" ref="F3:F32" si="1">D3/B3</f>
        <v>6.1770629025187738</v>
      </c>
    </row>
    <row r="4" spans="1:6" x14ac:dyDescent="0.2">
      <c r="A4">
        <v>52</v>
      </c>
      <c r="B4" s="7">
        <v>6.715834000000001</v>
      </c>
      <c r="C4" s="7">
        <v>6.715834000000001</v>
      </c>
      <c r="D4" s="7">
        <v>41.367338258217224</v>
      </c>
      <c r="E4" s="16">
        <f t="shared" si="0"/>
        <v>6.1596725377990609</v>
      </c>
      <c r="F4" s="11">
        <f t="shared" si="1"/>
        <v>6.1596725377990609</v>
      </c>
    </row>
    <row r="5" spans="1:6" x14ac:dyDescent="0.2">
      <c r="A5">
        <v>53</v>
      </c>
      <c r="B5" s="7">
        <v>6.715834000000001</v>
      </c>
      <c r="C5" s="7">
        <v>6.715834000000001</v>
      </c>
      <c r="D5" s="7">
        <v>41.24645977746718</v>
      </c>
      <c r="E5" s="16">
        <f t="shared" si="0"/>
        <v>6.141673510314158</v>
      </c>
      <c r="F5" s="11">
        <f t="shared" si="1"/>
        <v>6.141673510314158</v>
      </c>
    </row>
    <row r="6" spans="1:6" x14ac:dyDescent="0.2">
      <c r="A6">
        <v>54</v>
      </c>
      <c r="B6" s="7">
        <v>6.715834000000001</v>
      </c>
      <c r="C6" s="7">
        <v>6.715834000000001</v>
      </c>
      <c r="D6" s="7">
        <v>41.121350549890884</v>
      </c>
      <c r="E6" s="16">
        <f t="shared" si="0"/>
        <v>6.1230445168672842</v>
      </c>
      <c r="F6" s="11">
        <f t="shared" si="1"/>
        <v>6.1230445168672842</v>
      </c>
    </row>
    <row r="7" spans="1:6" x14ac:dyDescent="0.2">
      <c r="A7">
        <v>55</v>
      </c>
      <c r="B7" s="7">
        <v>14.493368999999998</v>
      </c>
      <c r="C7" s="7">
        <v>14.493368999999998</v>
      </c>
      <c r="D7" s="7">
        <v>66.221170671463682</v>
      </c>
      <c r="E7" s="16">
        <f t="shared" si="0"/>
        <v>4.5690667691869082</v>
      </c>
      <c r="F7" s="11">
        <f t="shared" si="1"/>
        <v>4.5690667691869082</v>
      </c>
    </row>
    <row r="8" spans="1:6" x14ac:dyDescent="0.2">
      <c r="A8">
        <v>56</v>
      </c>
      <c r="B8" s="7">
        <v>14.493368999999998</v>
      </c>
      <c r="C8" s="7">
        <v>14.493368999999998</v>
      </c>
      <c r="D8" s="7">
        <v>66.111887176020801</v>
      </c>
      <c r="E8" s="16">
        <f t="shared" si="0"/>
        <v>4.5615265281675237</v>
      </c>
      <c r="F8" s="11">
        <f t="shared" si="1"/>
        <v>4.5615265281675237</v>
      </c>
    </row>
    <row r="9" spans="1:6" x14ac:dyDescent="0.2">
      <c r="A9">
        <v>57</v>
      </c>
      <c r="B9" s="7">
        <v>14.493368999999998</v>
      </c>
      <c r="C9" s="7">
        <v>14.493368999999998</v>
      </c>
      <c r="D9" s="7">
        <v>65.998778758237421</v>
      </c>
      <c r="E9" s="16">
        <f t="shared" si="0"/>
        <v>4.5537223787124601</v>
      </c>
      <c r="F9" s="11">
        <f t="shared" si="1"/>
        <v>4.5537223787124601</v>
      </c>
    </row>
    <row r="10" spans="1:6" x14ac:dyDescent="0.2">
      <c r="A10">
        <v>58</v>
      </c>
      <c r="B10" s="7">
        <v>14.493368999999998</v>
      </c>
      <c r="C10" s="7">
        <v>14.493368999999998</v>
      </c>
      <c r="D10" s="7">
        <v>65.805417508632999</v>
      </c>
      <c r="E10" s="16">
        <f t="shared" si="0"/>
        <v>4.5403810189772305</v>
      </c>
      <c r="F10" s="11">
        <f t="shared" si="1"/>
        <v>4.5403810189772305</v>
      </c>
    </row>
    <row r="11" spans="1:6" x14ac:dyDescent="0.2">
      <c r="A11">
        <v>59</v>
      </c>
      <c r="B11" s="7">
        <v>14.493368999999998</v>
      </c>
      <c r="C11" s="7">
        <v>14.493368999999998</v>
      </c>
      <c r="D11" s="7">
        <v>65.601272354784427</v>
      </c>
      <c r="E11" s="16">
        <f t="shared" si="0"/>
        <v>4.5262956014425937</v>
      </c>
      <c r="F11" s="11">
        <f t="shared" si="1"/>
        <v>4.5262956014425937</v>
      </c>
    </row>
    <row r="12" spans="1:6" x14ac:dyDescent="0.2">
      <c r="A12">
        <v>60</v>
      </c>
      <c r="B12" s="7">
        <v>26.968920000000001</v>
      </c>
      <c r="C12" s="7">
        <v>26.968920000000001</v>
      </c>
      <c r="D12" s="7">
        <v>100.49930561013591</v>
      </c>
      <c r="E12" s="16">
        <f t="shared" si="0"/>
        <v>3.7264861036384067</v>
      </c>
      <c r="F12" s="11">
        <f t="shared" si="1"/>
        <v>3.7264861036384067</v>
      </c>
    </row>
    <row r="13" spans="1:6" x14ac:dyDescent="0.2">
      <c r="A13">
        <v>61</v>
      </c>
      <c r="B13" s="7">
        <v>26.968920000000001</v>
      </c>
      <c r="C13" s="7">
        <v>26.968920000000001</v>
      </c>
      <c r="D13" s="7">
        <v>100.39013761015214</v>
      </c>
      <c r="E13" s="16">
        <f t="shared" si="0"/>
        <v>3.7224381847753687</v>
      </c>
      <c r="F13" s="11">
        <f t="shared" si="1"/>
        <v>3.7224381847753687</v>
      </c>
    </row>
    <row r="14" spans="1:6" x14ac:dyDescent="0.2">
      <c r="A14">
        <v>62</v>
      </c>
      <c r="B14" s="7">
        <v>26.968920000000001</v>
      </c>
      <c r="C14" s="7">
        <v>26.968920000000001</v>
      </c>
      <c r="D14" s="7">
        <v>100.27714873016895</v>
      </c>
      <c r="E14" s="16">
        <f t="shared" si="0"/>
        <v>3.7182485887521244</v>
      </c>
      <c r="F14" s="11">
        <f t="shared" si="1"/>
        <v>3.7182485887521244</v>
      </c>
    </row>
    <row r="15" spans="1:6" x14ac:dyDescent="0.2">
      <c r="A15">
        <v>63</v>
      </c>
      <c r="B15" s="7">
        <v>26.968920000000001</v>
      </c>
      <c r="C15" s="7">
        <v>26.968920000000001</v>
      </c>
      <c r="D15" s="7">
        <v>100.16020523938633</v>
      </c>
      <c r="E15" s="16">
        <f t="shared" si="0"/>
        <v>3.7139123568680663</v>
      </c>
      <c r="F15" s="11">
        <f t="shared" si="1"/>
        <v>3.7139123568680663</v>
      </c>
    </row>
    <row r="16" spans="1:6" x14ac:dyDescent="0.2">
      <c r="A16">
        <v>64</v>
      </c>
      <c r="B16" s="7">
        <v>26.968920000000001</v>
      </c>
      <c r="C16" s="7">
        <v>26.968920000000001</v>
      </c>
      <c r="D16" s="7">
        <v>100.11419285650476</v>
      </c>
      <c r="E16" s="16">
        <f t="shared" si="0"/>
        <v>3.7122062305982131</v>
      </c>
      <c r="F16" s="11">
        <f t="shared" si="1"/>
        <v>3.7122062305982131</v>
      </c>
    </row>
    <row r="17" spans="1:6" x14ac:dyDescent="0.2">
      <c r="A17">
        <v>65</v>
      </c>
      <c r="B17" s="7">
        <v>41.374766999999999</v>
      </c>
      <c r="C17" s="7">
        <v>41.374766999999999</v>
      </c>
      <c r="D17" s="7">
        <v>96.10800919450088</v>
      </c>
      <c r="E17" s="16">
        <f t="shared" si="0"/>
        <v>2.3228652669995915</v>
      </c>
      <c r="F17" s="11">
        <f t="shared" si="1"/>
        <v>2.3228652669995915</v>
      </c>
    </row>
    <row r="18" spans="1:6" x14ac:dyDescent="0.2">
      <c r="A18">
        <v>66</v>
      </c>
      <c r="B18" s="7">
        <v>41.374766999999999</v>
      </c>
      <c r="C18" s="7">
        <v>41.374766999999999</v>
      </c>
      <c r="D18" s="7">
        <v>96.171112358237067</v>
      </c>
      <c r="E18" s="16">
        <f t="shared" si="0"/>
        <v>2.3243904275820348</v>
      </c>
      <c r="F18" s="11">
        <f t="shared" si="1"/>
        <v>2.3243904275820348</v>
      </c>
    </row>
    <row r="19" spans="1:6" x14ac:dyDescent="0.2">
      <c r="A19">
        <v>67</v>
      </c>
      <c r="B19" s="7">
        <v>41.374766999999999</v>
      </c>
      <c r="C19" s="7">
        <v>41.374766999999999</v>
      </c>
      <c r="D19" s="7">
        <v>96.284975284434651</v>
      </c>
      <c r="E19" s="16">
        <f t="shared" si="0"/>
        <v>2.3271424171267152</v>
      </c>
      <c r="F19" s="11">
        <f t="shared" si="1"/>
        <v>2.3271424171267152</v>
      </c>
    </row>
    <row r="20" spans="1:6" x14ac:dyDescent="0.2">
      <c r="A20">
        <v>68</v>
      </c>
      <c r="B20" s="7">
        <v>41.374766999999999</v>
      </c>
      <c r="C20" s="7">
        <v>41.374766999999999</v>
      </c>
      <c r="D20" s="7">
        <v>96.402823413049148</v>
      </c>
      <c r="E20" s="16">
        <f t="shared" si="0"/>
        <v>2.3299907263054593</v>
      </c>
      <c r="F20" s="11">
        <f t="shared" si="1"/>
        <v>2.3299907263054593</v>
      </c>
    </row>
    <row r="21" spans="1:6" x14ac:dyDescent="0.2">
      <c r="A21">
        <v>69</v>
      </c>
      <c r="B21" s="7">
        <v>41.374766999999999</v>
      </c>
      <c r="C21" s="7">
        <v>41.374766999999999</v>
      </c>
      <c r="D21" s="7">
        <v>96.524796226165151</v>
      </c>
      <c r="E21" s="16">
        <f t="shared" si="0"/>
        <v>2.3329387263054593</v>
      </c>
      <c r="F21" s="11">
        <f t="shared" si="1"/>
        <v>2.3329387263054593</v>
      </c>
    </row>
    <row r="22" spans="1:6" x14ac:dyDescent="0.2">
      <c r="A22">
        <v>70</v>
      </c>
      <c r="B22" s="7">
        <v>58.420325999999996</v>
      </c>
      <c r="C22" s="7">
        <v>58.420325999999996</v>
      </c>
      <c r="D22" s="7">
        <v>108.79846629472216</v>
      </c>
      <c r="E22" s="16">
        <f t="shared" si="0"/>
        <v>1.8623392532031089</v>
      </c>
      <c r="F22" s="11">
        <f t="shared" si="1"/>
        <v>1.8623392532031089</v>
      </c>
    </row>
    <row r="23" spans="1:6" x14ac:dyDescent="0.2">
      <c r="A23">
        <v>71</v>
      </c>
      <c r="B23" s="7">
        <v>58.420325999999996</v>
      </c>
      <c r="C23" s="7">
        <v>58.420325999999996</v>
      </c>
      <c r="D23" s="79">
        <v>108.79846629472216</v>
      </c>
      <c r="E23" s="16">
        <f t="shared" si="0"/>
        <v>1.8623392532031089</v>
      </c>
      <c r="F23" s="11">
        <f t="shared" si="1"/>
        <v>1.8623392532031089</v>
      </c>
    </row>
    <row r="24" spans="1:6" x14ac:dyDescent="0.2">
      <c r="A24">
        <v>72</v>
      </c>
      <c r="B24" s="7">
        <v>58.420325999999996</v>
      </c>
      <c r="C24" s="7">
        <v>58.420325999999996</v>
      </c>
      <c r="D24" s="7">
        <v>108.22076165348741</v>
      </c>
      <c r="E24" s="16">
        <f t="shared" si="0"/>
        <v>1.8524504922051859</v>
      </c>
      <c r="F24" s="11">
        <f t="shared" si="1"/>
        <v>1.8524504922051859</v>
      </c>
    </row>
    <row r="25" spans="1:6" x14ac:dyDescent="0.2">
      <c r="A25">
        <v>73</v>
      </c>
      <c r="B25" s="7">
        <v>58.420325999999996</v>
      </c>
      <c r="C25" s="7">
        <v>58.420325999999996</v>
      </c>
      <c r="D25" s="7">
        <v>107.20249819354538</v>
      </c>
      <c r="E25" s="16">
        <f t="shared" si="0"/>
        <v>1.8350205405143647</v>
      </c>
      <c r="F25" s="11">
        <f t="shared" si="1"/>
        <v>1.8350205405143647</v>
      </c>
    </row>
    <row r="26" spans="1:6" x14ac:dyDescent="0.2">
      <c r="A26">
        <v>74</v>
      </c>
      <c r="B26" s="7">
        <v>58.420325999999996</v>
      </c>
      <c r="C26" s="7">
        <v>58.420325999999996</v>
      </c>
      <c r="D26" s="7">
        <v>106.14859551250539</v>
      </c>
      <c r="E26" s="16">
        <f t="shared" si="0"/>
        <v>1.8169805405143649</v>
      </c>
      <c r="F26" s="11">
        <f t="shared" si="1"/>
        <v>1.8169805405143649</v>
      </c>
    </row>
    <row r="27" spans="1:6" x14ac:dyDescent="0.2">
      <c r="A27">
        <v>75</v>
      </c>
      <c r="B27" s="7">
        <v>73.279182000000006</v>
      </c>
      <c r="C27" s="7">
        <v>73.279182000000006</v>
      </c>
      <c r="D27" s="7">
        <v>131.77862280001574</v>
      </c>
      <c r="E27" s="16">
        <f t="shared" si="0"/>
        <v>1.798309140514365</v>
      </c>
      <c r="F27" s="11">
        <f t="shared" si="1"/>
        <v>1.798309140514365</v>
      </c>
    </row>
    <row r="28" spans="1:6" x14ac:dyDescent="0.2">
      <c r="A28">
        <v>76</v>
      </c>
      <c r="B28" s="7">
        <v>73.279182000000006</v>
      </c>
      <c r="C28" s="7">
        <v>73.279182000000006</v>
      </c>
      <c r="D28" s="7">
        <v>131.77862280001574</v>
      </c>
      <c r="E28" s="16">
        <f t="shared" si="0"/>
        <v>1.798309140514365</v>
      </c>
      <c r="F28" s="11">
        <f t="shared" si="1"/>
        <v>1.798309140514365</v>
      </c>
    </row>
    <row r="29" spans="1:6" x14ac:dyDescent="0.2">
      <c r="A29">
        <v>77</v>
      </c>
      <c r="B29" s="7">
        <v>73.279182000000006</v>
      </c>
      <c r="C29" s="7">
        <v>73.279182000000006</v>
      </c>
      <c r="D29" s="7">
        <v>131.22718919299271</v>
      </c>
      <c r="E29" s="16">
        <f t="shared" si="0"/>
        <v>1.7907840345842385</v>
      </c>
      <c r="F29" s="11">
        <f t="shared" si="1"/>
        <v>1.7907840345842385</v>
      </c>
    </row>
    <row r="30" spans="1:6" x14ac:dyDescent="0.2">
      <c r="A30">
        <v>78</v>
      </c>
      <c r="B30" s="7">
        <v>73.279182000000006</v>
      </c>
      <c r="C30" s="7">
        <v>73.279182000000006</v>
      </c>
      <c r="D30" s="7">
        <v>130.25523111521878</v>
      </c>
      <c r="E30" s="16">
        <f t="shared" si="0"/>
        <v>1.7775202664682961</v>
      </c>
      <c r="F30" s="11">
        <f t="shared" si="1"/>
        <v>1.7775202664682961</v>
      </c>
    </row>
    <row r="31" spans="1:6" x14ac:dyDescent="0.2">
      <c r="A31">
        <v>79</v>
      </c>
      <c r="B31" s="7">
        <v>73.279182000000006</v>
      </c>
      <c r="C31" s="7">
        <v>73.279182000000006</v>
      </c>
      <c r="D31" s="7">
        <v>129.24925450472276</v>
      </c>
      <c r="E31" s="16">
        <f>D31/C31</f>
        <v>1.7637922664682959</v>
      </c>
      <c r="F31" s="11">
        <f>D31/B31</f>
        <v>1.7637922664682959</v>
      </c>
    </row>
    <row r="32" spans="1:6" x14ac:dyDescent="0.2">
      <c r="A32" s="4">
        <v>80</v>
      </c>
      <c r="B32" s="8"/>
      <c r="C32" s="8"/>
      <c r="D32" s="8"/>
      <c r="E32" s="17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F51"/>
  <sheetViews>
    <sheetView workbookViewId="0">
      <selection activeCell="F32" sqref="F32"/>
    </sheetView>
  </sheetViews>
  <sheetFormatPr baseColWidth="10" defaultRowHeight="16" x14ac:dyDescent="0.2"/>
  <sheetData>
    <row r="1" spans="1:6" ht="85" x14ac:dyDescent="0.2">
      <c r="A1" s="3" t="s">
        <v>0</v>
      </c>
      <c r="B1" s="9" t="s">
        <v>27</v>
      </c>
      <c r="C1" s="9" t="s">
        <v>29</v>
      </c>
      <c r="D1" s="9" t="s">
        <v>3</v>
      </c>
      <c r="E1" s="10" t="s">
        <v>23</v>
      </c>
      <c r="F1" s="1"/>
    </row>
    <row r="2" spans="1:6" x14ac:dyDescent="0.2">
      <c r="A2">
        <v>50</v>
      </c>
      <c r="B2" s="7">
        <v>17.516331000000001</v>
      </c>
      <c r="C2" s="7">
        <v>17.516331000000001</v>
      </c>
      <c r="D2" s="7">
        <v>24.310257002306294</v>
      </c>
      <c r="E2" s="7">
        <f>D2/C2</f>
        <v>1.3878623898067632</v>
      </c>
      <c r="F2" s="11">
        <f>D2/B2</f>
        <v>1.3878623898067632</v>
      </c>
    </row>
    <row r="3" spans="1:6" x14ac:dyDescent="0.2">
      <c r="A3">
        <v>51</v>
      </c>
      <c r="B3" s="7">
        <v>17.516331000000001</v>
      </c>
      <c r="C3" s="7">
        <v>17.516331000000001</v>
      </c>
      <c r="D3" s="7">
        <v>24.310257002306294</v>
      </c>
      <c r="E3" s="7">
        <f t="shared" ref="E3:E32" si="0">D3/C3</f>
        <v>1.3878623898067632</v>
      </c>
      <c r="F3" s="11">
        <f t="shared" ref="F3:F32" si="1">D3/B3</f>
        <v>1.3878623898067632</v>
      </c>
    </row>
    <row r="4" spans="1:6" x14ac:dyDescent="0.2">
      <c r="A4">
        <v>52</v>
      </c>
      <c r="B4" s="7">
        <v>17.516331000000001</v>
      </c>
      <c r="C4" s="7">
        <v>17.516331000000001</v>
      </c>
      <c r="D4" s="7">
        <v>24.310257002306294</v>
      </c>
      <c r="E4" s="7">
        <f t="shared" si="0"/>
        <v>1.3878623898067632</v>
      </c>
      <c r="F4" s="11">
        <f t="shared" si="1"/>
        <v>1.3878623898067632</v>
      </c>
    </row>
    <row r="5" spans="1:6" x14ac:dyDescent="0.2">
      <c r="A5">
        <v>53</v>
      </c>
      <c r="B5" s="7">
        <v>17.516331000000001</v>
      </c>
      <c r="C5" s="7">
        <v>17.516331000000001</v>
      </c>
      <c r="D5" s="7">
        <v>24.198591400851175</v>
      </c>
      <c r="E5" s="7">
        <f t="shared" si="0"/>
        <v>1.3814874473913044</v>
      </c>
      <c r="F5" s="11">
        <f t="shared" si="1"/>
        <v>1.3814874473913044</v>
      </c>
    </row>
    <row r="6" spans="1:6" x14ac:dyDescent="0.2">
      <c r="A6">
        <v>54</v>
      </c>
      <c r="B6" s="7">
        <v>17.516331000000001</v>
      </c>
      <c r="C6" s="7">
        <v>17.516331000000001</v>
      </c>
      <c r="D6" s="7">
        <v>24.078114076233174</v>
      </c>
      <c r="E6" s="7">
        <f t="shared" si="0"/>
        <v>1.3746094473913042</v>
      </c>
      <c r="F6" s="11">
        <f t="shared" si="1"/>
        <v>1.3746094473913042</v>
      </c>
    </row>
    <row r="7" spans="1:6" x14ac:dyDescent="0.2">
      <c r="A7">
        <v>55</v>
      </c>
      <c r="B7" s="7">
        <v>35.513751999999997</v>
      </c>
      <c r="C7" s="7">
        <v>35.513751999999997</v>
      </c>
      <c r="D7" s="7">
        <v>37.71122021970416</v>
      </c>
      <c r="E7" s="7">
        <f t="shared" si="0"/>
        <v>1.0618765434782607</v>
      </c>
      <c r="F7" s="11">
        <f t="shared" si="1"/>
        <v>1.0618765434782607</v>
      </c>
    </row>
    <row r="8" spans="1:6" x14ac:dyDescent="0.2">
      <c r="A8">
        <v>56</v>
      </c>
      <c r="B8" s="7">
        <v>35.513751999999997</v>
      </c>
      <c r="C8" s="7">
        <v>35.513751999999997</v>
      </c>
      <c r="D8" s="7">
        <v>37.71122021970416</v>
      </c>
      <c r="E8" s="7">
        <f t="shared" si="0"/>
        <v>1.0618765434782607</v>
      </c>
      <c r="F8" s="11">
        <f t="shared" si="1"/>
        <v>1.0618765434782607</v>
      </c>
    </row>
    <row r="9" spans="1:6" x14ac:dyDescent="0.2">
      <c r="A9">
        <v>57</v>
      </c>
      <c r="B9" s="7">
        <v>35.513751999999997</v>
      </c>
      <c r="C9" s="7">
        <v>35.513751999999997</v>
      </c>
      <c r="D9" s="7">
        <v>37.71122021970416</v>
      </c>
      <c r="E9" s="7">
        <f t="shared" si="0"/>
        <v>1.0618765434782607</v>
      </c>
      <c r="F9" s="11">
        <f t="shared" si="1"/>
        <v>1.0618765434782607</v>
      </c>
    </row>
    <row r="10" spans="1:6" x14ac:dyDescent="0.2">
      <c r="A10">
        <v>58</v>
      </c>
      <c r="B10" s="7">
        <v>35.513751999999997</v>
      </c>
      <c r="C10" s="7">
        <v>35.513751999999997</v>
      </c>
      <c r="D10" s="7">
        <v>37.64329033838586</v>
      </c>
      <c r="E10" s="7">
        <f t="shared" si="0"/>
        <v>1.0599637666666666</v>
      </c>
      <c r="F10" s="11">
        <f t="shared" si="1"/>
        <v>1.0599637666666666</v>
      </c>
    </row>
    <row r="11" spans="1:6" x14ac:dyDescent="0.2">
      <c r="A11">
        <v>59</v>
      </c>
      <c r="B11" s="7">
        <v>35.513751999999997</v>
      </c>
      <c r="C11" s="7">
        <v>35.513751999999997</v>
      </c>
      <c r="D11" s="7">
        <v>37.38688104894586</v>
      </c>
      <c r="E11" s="7">
        <f t="shared" si="0"/>
        <v>1.0527437666666666</v>
      </c>
      <c r="F11" s="11">
        <f t="shared" si="1"/>
        <v>1.0527437666666666</v>
      </c>
    </row>
    <row r="12" spans="1:6" x14ac:dyDescent="0.2">
      <c r="A12">
        <v>60</v>
      </c>
      <c r="B12" s="7">
        <v>65.085517999999993</v>
      </c>
      <c r="C12" s="7">
        <v>65.085517999999993</v>
      </c>
      <c r="D12" s="7">
        <v>56.891341362156894</v>
      </c>
      <c r="E12" s="7">
        <f t="shared" si="0"/>
        <v>0.87410138399999981</v>
      </c>
      <c r="F12" s="11">
        <f t="shared" si="1"/>
        <v>0.87410138399999981</v>
      </c>
    </row>
    <row r="13" spans="1:6" x14ac:dyDescent="0.2">
      <c r="A13">
        <v>61</v>
      </c>
      <c r="B13" s="7">
        <v>65.085517999999993</v>
      </c>
      <c r="C13" s="7">
        <v>65.085517999999993</v>
      </c>
      <c r="D13" s="7">
        <v>56.891341362156894</v>
      </c>
      <c r="E13" s="7">
        <f t="shared" si="0"/>
        <v>0.87410138399999981</v>
      </c>
      <c r="F13" s="11">
        <f t="shared" si="1"/>
        <v>0.87410138399999981</v>
      </c>
    </row>
    <row r="14" spans="1:6" x14ac:dyDescent="0.2">
      <c r="A14">
        <v>62</v>
      </c>
      <c r="B14" s="7">
        <v>65.085517999999993</v>
      </c>
      <c r="C14" s="7">
        <v>65.085517999999993</v>
      </c>
      <c r="D14" s="7">
        <v>56.891341362156894</v>
      </c>
      <c r="E14" s="7">
        <f t="shared" si="0"/>
        <v>0.87410138399999981</v>
      </c>
      <c r="F14" s="11">
        <f t="shared" si="1"/>
        <v>0.87410138399999981</v>
      </c>
    </row>
    <row r="15" spans="1:6" x14ac:dyDescent="0.2">
      <c r="A15">
        <v>63</v>
      </c>
      <c r="B15" s="7">
        <v>65.085517999999993</v>
      </c>
      <c r="C15" s="7">
        <v>65.085517999999993</v>
      </c>
      <c r="D15" s="7">
        <v>56.891341362156894</v>
      </c>
      <c r="E15" s="7">
        <f t="shared" si="0"/>
        <v>0.87410138399999981</v>
      </c>
      <c r="F15" s="11">
        <f t="shared" si="1"/>
        <v>0.87410138399999981</v>
      </c>
    </row>
    <row r="16" spans="1:6" x14ac:dyDescent="0.2">
      <c r="A16">
        <v>64</v>
      </c>
      <c r="B16" s="7">
        <v>65.085517999999993</v>
      </c>
      <c r="C16" s="7">
        <v>65.085517999999993</v>
      </c>
      <c r="D16" s="7">
        <v>56.667248617338579</v>
      </c>
      <c r="E16" s="7">
        <f t="shared" si="0"/>
        <v>0.87065833319999986</v>
      </c>
      <c r="F16" s="11">
        <f t="shared" si="1"/>
        <v>0.87065833319999986</v>
      </c>
    </row>
    <row r="17" spans="1:6" x14ac:dyDescent="0.2">
      <c r="A17">
        <v>65</v>
      </c>
      <c r="B17" s="7">
        <v>99.622283999999979</v>
      </c>
      <c r="C17" s="7">
        <v>99.622283999999979</v>
      </c>
      <c r="D17" s="7">
        <v>66.823551213185254</v>
      </c>
      <c r="E17" s="7">
        <f t="shared" si="0"/>
        <v>0.67076911439999976</v>
      </c>
      <c r="F17" s="11">
        <f t="shared" si="1"/>
        <v>0.67076911439999976</v>
      </c>
    </row>
    <row r="18" spans="1:6" x14ac:dyDescent="0.2">
      <c r="A18">
        <v>66</v>
      </c>
      <c r="B18" s="7">
        <v>99.622283999999979</v>
      </c>
      <c r="C18" s="7">
        <v>99.622283999999979</v>
      </c>
      <c r="D18" s="7">
        <v>66.823551213185254</v>
      </c>
      <c r="E18" s="7">
        <f t="shared" si="0"/>
        <v>0.67076911439999976</v>
      </c>
      <c r="F18" s="11">
        <f t="shared" si="1"/>
        <v>0.67076911439999976</v>
      </c>
    </row>
    <row r="19" spans="1:6" x14ac:dyDescent="0.2">
      <c r="A19">
        <v>67</v>
      </c>
      <c r="B19" s="7">
        <v>99.622283999999979</v>
      </c>
      <c r="C19" s="7">
        <v>99.622283999999979</v>
      </c>
      <c r="D19" s="7">
        <v>66.823551213185254</v>
      </c>
      <c r="E19" s="7">
        <f t="shared" si="0"/>
        <v>0.67076911439999976</v>
      </c>
      <c r="F19" s="11">
        <f t="shared" si="1"/>
        <v>0.67076911439999976</v>
      </c>
    </row>
    <row r="20" spans="1:6" x14ac:dyDescent="0.2">
      <c r="A20">
        <v>68</v>
      </c>
      <c r="B20" s="7">
        <v>99.622283999999979</v>
      </c>
      <c r="C20" s="7">
        <v>99.622283999999979</v>
      </c>
      <c r="D20" s="7">
        <v>66.823551213185254</v>
      </c>
      <c r="E20" s="7">
        <f t="shared" si="0"/>
        <v>0.67076911439999976</v>
      </c>
      <c r="F20" s="11">
        <f t="shared" si="1"/>
        <v>0.67076911439999976</v>
      </c>
    </row>
    <row r="21" spans="1:6" x14ac:dyDescent="0.2">
      <c r="A21">
        <v>69</v>
      </c>
      <c r="B21" s="7">
        <v>99.622283999999979</v>
      </c>
      <c r="C21" s="7">
        <v>99.622283999999979</v>
      </c>
      <c r="D21" s="7">
        <v>66.938601561970287</v>
      </c>
      <c r="E21" s="7">
        <f t="shared" si="0"/>
        <v>0.67192397999999987</v>
      </c>
      <c r="F21" s="11">
        <f t="shared" si="1"/>
        <v>0.67192397999999987</v>
      </c>
    </row>
    <row r="22" spans="1:6" x14ac:dyDescent="0.2">
      <c r="A22">
        <v>70</v>
      </c>
      <c r="B22" s="7">
        <v>138.44874999999999</v>
      </c>
      <c r="C22" s="7">
        <v>138.44874999999999</v>
      </c>
      <c r="D22" s="7">
        <v>78.372373387274976</v>
      </c>
      <c r="E22" s="7">
        <f t="shared" si="0"/>
        <v>0.56607497999999989</v>
      </c>
      <c r="F22" s="11">
        <f t="shared" si="1"/>
        <v>0.56607497999999989</v>
      </c>
    </row>
    <row r="23" spans="1:6" x14ac:dyDescent="0.2">
      <c r="A23">
        <v>71</v>
      </c>
      <c r="B23" s="7">
        <v>138.44874999999999</v>
      </c>
      <c r="C23" s="7">
        <v>138.44874999999999</v>
      </c>
      <c r="D23" s="7">
        <v>78.372373387274976</v>
      </c>
      <c r="E23" s="7">
        <f t="shared" si="0"/>
        <v>0.56607497999999989</v>
      </c>
      <c r="F23" s="11">
        <f t="shared" si="1"/>
        <v>0.56607497999999989</v>
      </c>
    </row>
    <row r="24" spans="1:6" x14ac:dyDescent="0.2">
      <c r="A24">
        <v>72</v>
      </c>
      <c r="B24" s="7">
        <v>138.44874999999999</v>
      </c>
      <c r="C24" s="7">
        <v>138.44874999999999</v>
      </c>
      <c r="D24" s="7">
        <v>78.372373387274976</v>
      </c>
      <c r="E24" s="7">
        <f t="shared" si="0"/>
        <v>0.56607497999999989</v>
      </c>
      <c r="F24" s="11">
        <f t="shared" si="1"/>
        <v>0.56607497999999989</v>
      </c>
    </row>
    <row r="25" spans="1:6" x14ac:dyDescent="0.2">
      <c r="A25">
        <v>73</v>
      </c>
      <c r="B25" s="7">
        <v>138.44874999999999</v>
      </c>
      <c r="C25" s="7">
        <v>138.44874999999999</v>
      </c>
      <c r="D25" s="7">
        <v>78.372373387274976</v>
      </c>
      <c r="E25" s="7">
        <f t="shared" si="0"/>
        <v>0.56607497999999989</v>
      </c>
      <c r="F25" s="11">
        <f t="shared" si="1"/>
        <v>0.56607497999999989</v>
      </c>
    </row>
    <row r="26" spans="1:6" x14ac:dyDescent="0.2">
      <c r="A26">
        <v>74</v>
      </c>
      <c r="B26" s="7">
        <v>138.44874999999999</v>
      </c>
      <c r="C26" s="7">
        <v>138.44874999999999</v>
      </c>
      <c r="D26" s="7">
        <v>77.910337234619988</v>
      </c>
      <c r="E26" s="7">
        <f t="shared" si="0"/>
        <v>0.56273774399999998</v>
      </c>
      <c r="F26" s="11">
        <f t="shared" si="1"/>
        <v>0.56273774399999998</v>
      </c>
    </row>
    <row r="27" spans="1:6" x14ac:dyDescent="0.2">
      <c r="A27">
        <v>75</v>
      </c>
      <c r="B27" s="7">
        <v>169.87109000000001</v>
      </c>
      <c r="C27" s="7">
        <v>169.87109000000001</v>
      </c>
      <c r="D27" s="7">
        <v>92.853651669843956</v>
      </c>
      <c r="E27" s="7">
        <f t="shared" si="0"/>
        <v>0.54661244399999998</v>
      </c>
      <c r="F27" s="11">
        <f t="shared" si="1"/>
        <v>0.54661244399999998</v>
      </c>
    </row>
    <row r="28" spans="1:6" x14ac:dyDescent="0.2">
      <c r="A28">
        <v>76</v>
      </c>
      <c r="B28" s="7">
        <v>169.87109000000001</v>
      </c>
      <c r="C28" s="7">
        <v>169.87109000000001</v>
      </c>
      <c r="D28" s="7">
        <v>92.853651669843956</v>
      </c>
      <c r="E28" s="7">
        <f t="shared" si="0"/>
        <v>0.54661244399999998</v>
      </c>
      <c r="F28" s="11">
        <f t="shared" si="1"/>
        <v>0.54661244399999998</v>
      </c>
    </row>
    <row r="29" spans="1:6" x14ac:dyDescent="0.2">
      <c r="A29">
        <v>77</v>
      </c>
      <c r="B29" s="7">
        <v>169.87109000000001</v>
      </c>
      <c r="C29" s="7">
        <v>169.87109000000001</v>
      </c>
      <c r="D29" s="7">
        <v>92.853651669843956</v>
      </c>
      <c r="E29" s="7">
        <f t="shared" si="0"/>
        <v>0.54661244399999998</v>
      </c>
      <c r="F29" s="11">
        <f t="shared" si="1"/>
        <v>0.54661244399999998</v>
      </c>
    </row>
    <row r="30" spans="1:6" x14ac:dyDescent="0.2">
      <c r="A30">
        <v>78</v>
      </c>
      <c r="B30" s="7">
        <v>169.87109000000001</v>
      </c>
      <c r="C30" s="7">
        <v>169.87109000000001</v>
      </c>
      <c r="D30" s="7">
        <v>92.853651669843956</v>
      </c>
      <c r="E30" s="7">
        <f t="shared" si="0"/>
        <v>0.54661244399999998</v>
      </c>
      <c r="F30" s="11">
        <f t="shared" si="1"/>
        <v>0.54661244399999998</v>
      </c>
    </row>
    <row r="31" spans="1:6" x14ac:dyDescent="0.2">
      <c r="A31">
        <v>79</v>
      </c>
      <c r="B31" s="7">
        <v>169.87109000000001</v>
      </c>
      <c r="C31" s="7">
        <v>169.87109000000001</v>
      </c>
      <c r="D31" s="7">
        <v>92.42225465990478</v>
      </c>
      <c r="E31" s="7">
        <f>D31/C31</f>
        <v>0.54407288879999993</v>
      </c>
      <c r="F31" s="11">
        <f>D31/B31</f>
        <v>0.54407288879999993</v>
      </c>
    </row>
    <row r="32" spans="1:6" x14ac:dyDescent="0.2">
      <c r="A32" s="4">
        <v>80</v>
      </c>
      <c r="B32" s="8"/>
      <c r="C32" s="8"/>
      <c r="D32" s="8"/>
      <c r="E32" s="8" t="e">
        <f t="shared" si="0"/>
        <v>#DIV/0!</v>
      </c>
      <c r="F32" s="11" t="e">
        <f t="shared" si="1"/>
        <v>#DIV/0!</v>
      </c>
    </row>
    <row r="33" spans="1:6" x14ac:dyDescent="0.2">
      <c r="A33">
        <v>81</v>
      </c>
      <c r="B33" s="7"/>
      <c r="C33" s="7"/>
      <c r="D33" s="7"/>
      <c r="E33" s="7"/>
      <c r="F33" s="7"/>
    </row>
    <row r="34" spans="1:6" x14ac:dyDescent="0.2">
      <c r="A34">
        <v>82</v>
      </c>
      <c r="B34" s="7"/>
      <c r="C34" s="7"/>
      <c r="D34" s="7"/>
      <c r="E34" s="7"/>
      <c r="F34" s="7"/>
    </row>
    <row r="35" spans="1:6" x14ac:dyDescent="0.2">
      <c r="A35">
        <v>83</v>
      </c>
      <c r="B35" s="7"/>
      <c r="C35" s="7"/>
      <c r="D35" s="7"/>
      <c r="E35" s="7"/>
      <c r="F35" s="7"/>
    </row>
    <row r="36" spans="1:6" x14ac:dyDescent="0.2">
      <c r="A36">
        <v>84</v>
      </c>
      <c r="B36" s="7"/>
      <c r="C36" s="7"/>
      <c r="D36" s="7"/>
      <c r="E36" s="7"/>
      <c r="F36" s="7"/>
    </row>
    <row r="37" spans="1:6" x14ac:dyDescent="0.2">
      <c r="A37">
        <v>85</v>
      </c>
      <c r="B37" s="7"/>
      <c r="C37" s="7"/>
      <c r="D37" s="7"/>
      <c r="E37" s="7"/>
      <c r="F37" s="7"/>
    </row>
    <row r="38" spans="1:6" x14ac:dyDescent="0.2">
      <c r="A38">
        <v>86</v>
      </c>
      <c r="B38" s="7"/>
      <c r="C38" s="7"/>
      <c r="D38" s="7"/>
      <c r="E38" s="7"/>
      <c r="F38" s="7"/>
    </row>
    <row r="39" spans="1:6" x14ac:dyDescent="0.2">
      <c r="A39">
        <v>87</v>
      </c>
      <c r="B39" s="7"/>
      <c r="C39" s="7"/>
      <c r="D39" s="7"/>
      <c r="E39" s="7"/>
      <c r="F39" s="7"/>
    </row>
    <row r="40" spans="1:6" x14ac:dyDescent="0.2">
      <c r="A40">
        <v>88</v>
      </c>
      <c r="B40" s="7"/>
      <c r="C40" s="7"/>
      <c r="D40" s="7"/>
      <c r="E40" s="7"/>
      <c r="F40" s="7"/>
    </row>
    <row r="41" spans="1:6" x14ac:dyDescent="0.2">
      <c r="A41">
        <v>89</v>
      </c>
      <c r="B41" s="7"/>
      <c r="C41" s="7"/>
      <c r="D41" s="7"/>
      <c r="E41" s="7"/>
      <c r="F41" s="7"/>
    </row>
    <row r="42" spans="1:6" x14ac:dyDescent="0.2">
      <c r="A42">
        <v>90</v>
      </c>
      <c r="B42" s="7"/>
      <c r="C42" s="7"/>
      <c r="D42" s="7"/>
      <c r="E42" s="7"/>
      <c r="F42" s="7"/>
    </row>
    <row r="43" spans="1:6" x14ac:dyDescent="0.2">
      <c r="A43">
        <v>91</v>
      </c>
      <c r="B43" s="7"/>
      <c r="C43" s="7"/>
      <c r="D43" s="7"/>
      <c r="E43" s="7"/>
      <c r="F43" s="7"/>
    </row>
    <row r="44" spans="1:6" x14ac:dyDescent="0.2">
      <c r="A44">
        <v>92</v>
      </c>
      <c r="B44" s="7"/>
      <c r="C44" s="7"/>
      <c r="D44" s="7"/>
      <c r="E44" s="7"/>
      <c r="F44" s="7"/>
    </row>
    <row r="45" spans="1:6" x14ac:dyDescent="0.2">
      <c r="A45">
        <v>93</v>
      </c>
      <c r="B45" s="7"/>
      <c r="C45" s="7"/>
      <c r="D45" s="7"/>
      <c r="E45" s="7"/>
      <c r="F45" s="7"/>
    </row>
    <row r="46" spans="1:6" x14ac:dyDescent="0.2">
      <c r="A46">
        <v>94</v>
      </c>
      <c r="B46" s="7"/>
      <c r="C46" s="7"/>
      <c r="D46" s="7"/>
      <c r="E46" s="7"/>
      <c r="F46" s="7"/>
    </row>
    <row r="47" spans="1:6" x14ac:dyDescent="0.2">
      <c r="A47">
        <v>95</v>
      </c>
      <c r="B47" s="7"/>
      <c r="C47" s="7"/>
      <c r="D47" s="7"/>
      <c r="E47" s="7"/>
      <c r="F47" s="7"/>
    </row>
    <row r="48" spans="1:6" x14ac:dyDescent="0.2">
      <c r="A48">
        <v>96</v>
      </c>
      <c r="B48" s="7"/>
      <c r="C48" s="7"/>
      <c r="D48" s="7"/>
      <c r="E48" s="7"/>
      <c r="F48" s="7"/>
    </row>
    <row r="49" spans="1:6" x14ac:dyDescent="0.2">
      <c r="A49">
        <v>97</v>
      </c>
      <c r="B49" s="7"/>
      <c r="C49" s="7"/>
      <c r="D49" s="7"/>
      <c r="E49" s="7"/>
      <c r="F49" s="7"/>
    </row>
    <row r="50" spans="1:6" x14ac:dyDescent="0.2">
      <c r="A50">
        <v>98</v>
      </c>
      <c r="B50" s="7"/>
      <c r="C50" s="7"/>
      <c r="D50" s="7"/>
      <c r="E50" s="7"/>
      <c r="F50" s="7"/>
    </row>
    <row r="51" spans="1:6" x14ac:dyDescent="0.2">
      <c r="A51">
        <v>99</v>
      </c>
      <c r="B51" s="7"/>
      <c r="C51" s="7"/>
      <c r="D51" s="7"/>
      <c r="E51" s="7"/>
      <c r="F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Raw Lung Inc&amp;Surv</vt:lpstr>
      <vt:lpstr>Corrected Inc&amp;Surv</vt:lpstr>
      <vt:lpstr>AW calculator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2024-06-06T13:47:24Z</dcterms:modified>
</cp:coreProperties>
</file>