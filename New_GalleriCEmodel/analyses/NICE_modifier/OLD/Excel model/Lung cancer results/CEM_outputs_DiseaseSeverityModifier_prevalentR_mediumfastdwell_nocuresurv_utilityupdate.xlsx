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A8227FAB-7E7E-804E-8672-848C3D6D7CFD}" xr6:coauthVersionLast="47" xr6:coauthVersionMax="47" xr10:uidLastSave="{00000000-0000-0000-0000-000000000000}"/>
  <bookViews>
    <workbookView xWindow="31860" yWindow="1540" windowWidth="28180" windowHeight="18380" firstSheet="2" activeTab="3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 (2)" sheetId="17" r:id="rId4"/>
    <sheet name="QALYsForUndiagnosedCancer" sheetId="13" r:id="rId5"/>
    <sheet name="Stage4to1" sheetId="1" r:id="rId6"/>
    <sheet name="Stage3to1" sheetId="2" r:id="rId7"/>
    <sheet name="Stage2to1" sheetId="3" r:id="rId8"/>
    <sheet name="Stage1to1" sheetId="4" r:id="rId9"/>
    <sheet name="Stage4to2" sheetId="5" r:id="rId10"/>
    <sheet name="Stage3to2" sheetId="6" r:id="rId11"/>
    <sheet name="Stage2to2" sheetId="7" r:id="rId12"/>
    <sheet name="Stage4to3" sheetId="8" r:id="rId13"/>
    <sheet name="Stage3to3" sheetId="9" r:id="rId14"/>
    <sheet name="Stage4to4" sheetId="10" r:id="rId15"/>
    <sheet name="Graph" sheetId="16" r:id="rId16"/>
  </sheets>
  <externalReferences>
    <externalReference r:id="rId17"/>
    <externalReference r:id="rId18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7" l="1"/>
  <c r="O28" i="17"/>
  <c r="O33" i="17"/>
  <c r="O18" i="17"/>
  <c r="O13" i="17"/>
  <c r="O8" i="17"/>
  <c r="N37" i="17"/>
  <c r="L26" i="17"/>
  <c r="L27" i="17"/>
  <c r="L25" i="17"/>
  <c r="L23" i="17"/>
  <c r="M23" i="17" s="1"/>
  <c r="L12" i="17"/>
  <c r="L13" i="17"/>
  <c r="L19" i="17"/>
  <c r="L20" i="17"/>
  <c r="L21" i="17"/>
  <c r="K8" i="17"/>
  <c r="K16" i="17"/>
  <c r="K24" i="17"/>
  <c r="F42" i="17"/>
  <c r="F43" i="17" s="1"/>
  <c r="P41" i="17"/>
  <c r="F40" i="17"/>
  <c r="F39" i="17"/>
  <c r="Y33" i="17"/>
  <c r="AA33" i="17" s="1"/>
  <c r="AB33" i="17" s="1"/>
  <c r="I33" i="17"/>
  <c r="L33" i="17" s="1"/>
  <c r="H33" i="17"/>
  <c r="AC33" i="17" s="1"/>
  <c r="AE33" i="17" s="1"/>
  <c r="AF33" i="17" s="1"/>
  <c r="G33" i="17"/>
  <c r="F33" i="17"/>
  <c r="E33" i="17"/>
  <c r="D33" i="17"/>
  <c r="U33" i="17" s="1"/>
  <c r="W33" i="17" s="1"/>
  <c r="X33" i="17" s="1"/>
  <c r="C33" i="17"/>
  <c r="K33" i="17" s="1"/>
  <c r="B33" i="17"/>
  <c r="Q33" i="17" s="1"/>
  <c r="I32" i="17"/>
  <c r="K32" i="17" s="1"/>
  <c r="H32" i="17"/>
  <c r="AC32" i="17" s="1"/>
  <c r="AD32" i="17" s="1"/>
  <c r="G32" i="17"/>
  <c r="F32" i="17"/>
  <c r="Y32" i="17" s="1"/>
  <c r="AA32" i="17" s="1"/>
  <c r="AB32" i="17" s="1"/>
  <c r="E32" i="17"/>
  <c r="D32" i="17"/>
  <c r="U32" i="17" s="1"/>
  <c r="W32" i="17" s="1"/>
  <c r="X32" i="17" s="1"/>
  <c r="C32" i="17"/>
  <c r="B32" i="17"/>
  <c r="Q32" i="17" s="1"/>
  <c r="Y31" i="17"/>
  <c r="AA31" i="17" s="1"/>
  <c r="AB31" i="17" s="1"/>
  <c r="I31" i="17"/>
  <c r="L31" i="17" s="1"/>
  <c r="M31" i="17" s="1"/>
  <c r="H31" i="17"/>
  <c r="AC31" i="17" s="1"/>
  <c r="AD31" i="17" s="1"/>
  <c r="G31" i="17"/>
  <c r="F31" i="17"/>
  <c r="E31" i="17"/>
  <c r="D31" i="17"/>
  <c r="U31" i="17" s="1"/>
  <c r="V31" i="17" s="1"/>
  <c r="C31" i="17"/>
  <c r="K31" i="17" s="1"/>
  <c r="B31" i="17"/>
  <c r="Q31" i="17" s="1"/>
  <c r="I30" i="17"/>
  <c r="L30" i="17" s="1"/>
  <c r="M30" i="17" s="1"/>
  <c r="H30" i="17"/>
  <c r="AC30" i="17" s="1"/>
  <c r="AE30" i="17" s="1"/>
  <c r="AF30" i="17" s="1"/>
  <c r="G30" i="17"/>
  <c r="F30" i="17"/>
  <c r="Y30" i="17" s="1"/>
  <c r="AA30" i="17" s="1"/>
  <c r="AB30" i="17" s="1"/>
  <c r="E30" i="17"/>
  <c r="D30" i="17"/>
  <c r="U30" i="17" s="1"/>
  <c r="W30" i="17" s="1"/>
  <c r="X30" i="17" s="1"/>
  <c r="C30" i="17"/>
  <c r="K30" i="17" s="1"/>
  <c r="B30" i="17"/>
  <c r="Q30" i="17" s="1"/>
  <c r="I29" i="17"/>
  <c r="L29" i="17" s="1"/>
  <c r="M29" i="17" s="1"/>
  <c r="H29" i="17"/>
  <c r="AC29" i="17" s="1"/>
  <c r="AE29" i="17" s="1"/>
  <c r="AF29" i="17" s="1"/>
  <c r="G29" i="17"/>
  <c r="F29" i="17"/>
  <c r="Y29" i="17" s="1"/>
  <c r="AA29" i="17" s="1"/>
  <c r="AB29" i="17" s="1"/>
  <c r="E29" i="17"/>
  <c r="D29" i="17"/>
  <c r="U29" i="17" s="1"/>
  <c r="V29" i="17" s="1"/>
  <c r="C29" i="17"/>
  <c r="K29" i="17" s="1"/>
  <c r="B29" i="17"/>
  <c r="Q29" i="17" s="1"/>
  <c r="I28" i="17"/>
  <c r="L28" i="17" s="1"/>
  <c r="M28" i="17" s="1"/>
  <c r="H28" i="17"/>
  <c r="AC28" i="17" s="1"/>
  <c r="AD28" i="17" s="1"/>
  <c r="G28" i="17"/>
  <c r="F28" i="17"/>
  <c r="Y28" i="17" s="1"/>
  <c r="AA28" i="17" s="1"/>
  <c r="AB28" i="17" s="1"/>
  <c r="E28" i="17"/>
  <c r="D28" i="17"/>
  <c r="U28" i="17" s="1"/>
  <c r="V28" i="17" s="1"/>
  <c r="C28" i="17"/>
  <c r="K28" i="17" s="1"/>
  <c r="B28" i="17"/>
  <c r="Q28" i="17" s="1"/>
  <c r="I27" i="17"/>
  <c r="H27" i="17"/>
  <c r="AC27" i="17" s="1"/>
  <c r="AE27" i="17" s="1"/>
  <c r="AF27" i="17" s="1"/>
  <c r="G27" i="17"/>
  <c r="F27" i="17"/>
  <c r="Y27" i="17" s="1"/>
  <c r="AA27" i="17" s="1"/>
  <c r="AB27" i="17" s="1"/>
  <c r="E27" i="17"/>
  <c r="D27" i="17"/>
  <c r="U27" i="17" s="1"/>
  <c r="W27" i="17" s="1"/>
  <c r="X27" i="17" s="1"/>
  <c r="C27" i="17"/>
  <c r="K27" i="17" s="1"/>
  <c r="B27" i="17"/>
  <c r="Q27" i="17" s="1"/>
  <c r="I26" i="17"/>
  <c r="H26" i="17"/>
  <c r="AC26" i="17" s="1"/>
  <c r="AD26" i="17" s="1"/>
  <c r="G26" i="17"/>
  <c r="F26" i="17"/>
  <c r="Y26" i="17" s="1"/>
  <c r="AA26" i="17" s="1"/>
  <c r="AB26" i="17" s="1"/>
  <c r="E26" i="17"/>
  <c r="D26" i="17"/>
  <c r="U26" i="17" s="1"/>
  <c r="W26" i="17" s="1"/>
  <c r="X26" i="17" s="1"/>
  <c r="C26" i="17"/>
  <c r="K26" i="17" s="1"/>
  <c r="B26" i="17"/>
  <c r="Q26" i="17" s="1"/>
  <c r="I25" i="17"/>
  <c r="H25" i="17"/>
  <c r="AC25" i="17" s="1"/>
  <c r="AE25" i="17" s="1"/>
  <c r="AF25" i="17" s="1"/>
  <c r="G25" i="17"/>
  <c r="F25" i="17"/>
  <c r="Y25" i="17" s="1"/>
  <c r="AA25" i="17" s="1"/>
  <c r="AB25" i="17" s="1"/>
  <c r="E25" i="17"/>
  <c r="D25" i="17"/>
  <c r="U25" i="17" s="1"/>
  <c r="W25" i="17" s="1"/>
  <c r="X25" i="17" s="1"/>
  <c r="C25" i="17"/>
  <c r="K25" i="17" s="1"/>
  <c r="B25" i="17"/>
  <c r="Q25" i="17" s="1"/>
  <c r="I24" i="17"/>
  <c r="H24" i="17"/>
  <c r="AC24" i="17" s="1"/>
  <c r="AE24" i="17" s="1"/>
  <c r="AF24" i="17" s="1"/>
  <c r="G24" i="17"/>
  <c r="L24" i="17" s="1"/>
  <c r="M24" i="17" s="1"/>
  <c r="F24" i="17"/>
  <c r="Y24" i="17" s="1"/>
  <c r="AA24" i="17" s="1"/>
  <c r="AB24" i="17" s="1"/>
  <c r="E24" i="17"/>
  <c r="D24" i="17"/>
  <c r="U24" i="17" s="1"/>
  <c r="C24" i="17"/>
  <c r="B24" i="17"/>
  <c r="Q24" i="17" s="1"/>
  <c r="I23" i="17"/>
  <c r="H23" i="17"/>
  <c r="AC23" i="17" s="1"/>
  <c r="AE23" i="17" s="1"/>
  <c r="AF23" i="17" s="1"/>
  <c r="G23" i="17"/>
  <c r="F23" i="17"/>
  <c r="Y23" i="17" s="1"/>
  <c r="AA23" i="17" s="1"/>
  <c r="AB23" i="17" s="1"/>
  <c r="E23" i="17"/>
  <c r="D23" i="17"/>
  <c r="U23" i="17" s="1"/>
  <c r="W23" i="17" s="1"/>
  <c r="X23" i="17" s="1"/>
  <c r="C23" i="17"/>
  <c r="K23" i="17" s="1"/>
  <c r="B23" i="17"/>
  <c r="Q23" i="17" s="1"/>
  <c r="I22" i="17"/>
  <c r="H22" i="17"/>
  <c r="AC22" i="17" s="1"/>
  <c r="AE22" i="17" s="1"/>
  <c r="AF22" i="17" s="1"/>
  <c r="G22" i="17"/>
  <c r="L22" i="17" s="1"/>
  <c r="M22" i="17" s="1"/>
  <c r="F22" i="17"/>
  <c r="Y22" i="17" s="1"/>
  <c r="E22" i="17"/>
  <c r="D22" i="17"/>
  <c r="U22" i="17" s="1"/>
  <c r="C22" i="17"/>
  <c r="K22" i="17" s="1"/>
  <c r="B22" i="17"/>
  <c r="Q22" i="17" s="1"/>
  <c r="I21" i="17"/>
  <c r="H21" i="17"/>
  <c r="AC21" i="17" s="1"/>
  <c r="AE21" i="17" s="1"/>
  <c r="AF21" i="17" s="1"/>
  <c r="G21" i="17"/>
  <c r="F21" i="17"/>
  <c r="Y21" i="17" s="1"/>
  <c r="E21" i="17"/>
  <c r="D21" i="17"/>
  <c r="U21" i="17" s="1"/>
  <c r="W21" i="17" s="1"/>
  <c r="X21" i="17" s="1"/>
  <c r="C21" i="17"/>
  <c r="K21" i="17" s="1"/>
  <c r="B21" i="17"/>
  <c r="Q21" i="17" s="1"/>
  <c r="I20" i="17"/>
  <c r="H20" i="17"/>
  <c r="AC20" i="17" s="1"/>
  <c r="AD20" i="17" s="1"/>
  <c r="G20" i="17"/>
  <c r="F20" i="17"/>
  <c r="Y20" i="17" s="1"/>
  <c r="E20" i="17"/>
  <c r="D20" i="17"/>
  <c r="U20" i="17" s="1"/>
  <c r="C20" i="17"/>
  <c r="K20" i="17" s="1"/>
  <c r="M20" i="17" s="1"/>
  <c r="B20" i="17"/>
  <c r="Q20" i="17" s="1"/>
  <c r="I19" i="17"/>
  <c r="H19" i="17"/>
  <c r="AC19" i="17" s="1"/>
  <c r="AE19" i="17" s="1"/>
  <c r="AF19" i="17" s="1"/>
  <c r="G19" i="17"/>
  <c r="F19" i="17"/>
  <c r="Y19" i="17" s="1"/>
  <c r="E19" i="17"/>
  <c r="D19" i="17"/>
  <c r="U19" i="17" s="1"/>
  <c r="C19" i="17"/>
  <c r="K19" i="17" s="1"/>
  <c r="M19" i="17" s="1"/>
  <c r="B19" i="17"/>
  <c r="Q19" i="17" s="1"/>
  <c r="I18" i="17"/>
  <c r="H18" i="17"/>
  <c r="AC18" i="17" s="1"/>
  <c r="AD18" i="17" s="1"/>
  <c r="G18" i="17"/>
  <c r="L18" i="17" s="1"/>
  <c r="M18" i="17" s="1"/>
  <c r="F18" i="17"/>
  <c r="Y18" i="17" s="1"/>
  <c r="E18" i="17"/>
  <c r="D18" i="17"/>
  <c r="U18" i="17" s="1"/>
  <c r="C18" i="17"/>
  <c r="K18" i="17" s="1"/>
  <c r="B18" i="17"/>
  <c r="Q18" i="17" s="1"/>
  <c r="I17" i="17"/>
  <c r="H17" i="17"/>
  <c r="AC17" i="17" s="1"/>
  <c r="AD17" i="17" s="1"/>
  <c r="G17" i="17"/>
  <c r="L17" i="17" s="1"/>
  <c r="M17" i="17" s="1"/>
  <c r="F17" i="17"/>
  <c r="Y17" i="17" s="1"/>
  <c r="E17" i="17"/>
  <c r="D17" i="17"/>
  <c r="U17" i="17" s="1"/>
  <c r="W17" i="17" s="1"/>
  <c r="X17" i="17" s="1"/>
  <c r="C17" i="17"/>
  <c r="K17" i="17" s="1"/>
  <c r="B17" i="17"/>
  <c r="Q17" i="17" s="1"/>
  <c r="I16" i="17"/>
  <c r="H16" i="17"/>
  <c r="AC16" i="17" s="1"/>
  <c r="AE16" i="17" s="1"/>
  <c r="AF16" i="17" s="1"/>
  <c r="G16" i="17"/>
  <c r="L16" i="17" s="1"/>
  <c r="M16" i="17" s="1"/>
  <c r="F16" i="17"/>
  <c r="Y16" i="17" s="1"/>
  <c r="E16" i="17"/>
  <c r="D16" i="17"/>
  <c r="U16" i="17" s="1"/>
  <c r="C16" i="17"/>
  <c r="B16" i="17"/>
  <c r="Q16" i="17" s="1"/>
  <c r="I15" i="17"/>
  <c r="H15" i="17"/>
  <c r="AC15" i="17" s="1"/>
  <c r="AD15" i="17" s="1"/>
  <c r="G15" i="17"/>
  <c r="L15" i="17" s="1"/>
  <c r="M15" i="17" s="1"/>
  <c r="F15" i="17"/>
  <c r="Y15" i="17" s="1"/>
  <c r="E15" i="17"/>
  <c r="D15" i="17"/>
  <c r="U15" i="17" s="1"/>
  <c r="W15" i="17" s="1"/>
  <c r="X15" i="17" s="1"/>
  <c r="C15" i="17"/>
  <c r="K15" i="17" s="1"/>
  <c r="B15" i="17"/>
  <c r="Q15" i="17" s="1"/>
  <c r="I14" i="17"/>
  <c r="H14" i="17"/>
  <c r="AC14" i="17" s="1"/>
  <c r="AD14" i="17" s="1"/>
  <c r="G14" i="17"/>
  <c r="L14" i="17" s="1"/>
  <c r="M14" i="17" s="1"/>
  <c r="F14" i="17"/>
  <c r="Y14" i="17" s="1"/>
  <c r="E14" i="17"/>
  <c r="D14" i="17"/>
  <c r="U14" i="17" s="1"/>
  <c r="C14" i="17"/>
  <c r="K14" i="17" s="1"/>
  <c r="B14" i="17"/>
  <c r="Q14" i="17" s="1"/>
  <c r="I13" i="17"/>
  <c r="H13" i="17"/>
  <c r="AC13" i="17" s="1"/>
  <c r="AE13" i="17" s="1"/>
  <c r="AF13" i="17" s="1"/>
  <c r="G13" i="17"/>
  <c r="F13" i="17"/>
  <c r="Y13" i="17" s="1"/>
  <c r="E13" i="17"/>
  <c r="D13" i="17"/>
  <c r="U13" i="17" s="1"/>
  <c r="C13" i="17"/>
  <c r="K13" i="17" s="1"/>
  <c r="B13" i="17"/>
  <c r="Q13" i="17" s="1"/>
  <c r="I12" i="17"/>
  <c r="H12" i="17"/>
  <c r="AC12" i="17" s="1"/>
  <c r="AE12" i="17" s="1"/>
  <c r="AF12" i="17" s="1"/>
  <c r="G12" i="17"/>
  <c r="F12" i="17"/>
  <c r="Y12" i="17" s="1"/>
  <c r="E12" i="17"/>
  <c r="D12" i="17"/>
  <c r="U12" i="17" s="1"/>
  <c r="C12" i="17"/>
  <c r="K12" i="17" s="1"/>
  <c r="M12" i="17" s="1"/>
  <c r="B12" i="17"/>
  <c r="Q12" i="17" s="1"/>
  <c r="I11" i="17"/>
  <c r="H11" i="17"/>
  <c r="AC11" i="17" s="1"/>
  <c r="AE11" i="17" s="1"/>
  <c r="AF11" i="17" s="1"/>
  <c r="G11" i="17"/>
  <c r="L11" i="17" s="1"/>
  <c r="M11" i="17" s="1"/>
  <c r="F11" i="17"/>
  <c r="Y11" i="17" s="1"/>
  <c r="E11" i="17"/>
  <c r="D11" i="17"/>
  <c r="U11" i="17" s="1"/>
  <c r="C11" i="17"/>
  <c r="K11" i="17" s="1"/>
  <c r="B11" i="17"/>
  <c r="Q11" i="17" s="1"/>
  <c r="I10" i="17"/>
  <c r="H10" i="17"/>
  <c r="AC10" i="17" s="1"/>
  <c r="AD10" i="17" s="1"/>
  <c r="G10" i="17"/>
  <c r="L10" i="17" s="1"/>
  <c r="M10" i="17" s="1"/>
  <c r="F10" i="17"/>
  <c r="Y10" i="17" s="1"/>
  <c r="E10" i="17"/>
  <c r="D10" i="17"/>
  <c r="U10" i="17" s="1"/>
  <c r="C10" i="17"/>
  <c r="K10" i="17" s="1"/>
  <c r="B10" i="17"/>
  <c r="Q10" i="17" s="1"/>
  <c r="I9" i="17"/>
  <c r="H9" i="17"/>
  <c r="AC9" i="17" s="1"/>
  <c r="AD9" i="17" s="1"/>
  <c r="G9" i="17"/>
  <c r="L9" i="17" s="1"/>
  <c r="M9" i="17" s="1"/>
  <c r="F9" i="17"/>
  <c r="Y9" i="17" s="1"/>
  <c r="E9" i="17"/>
  <c r="D9" i="17"/>
  <c r="U9" i="17" s="1"/>
  <c r="W9" i="17" s="1"/>
  <c r="X9" i="17" s="1"/>
  <c r="C9" i="17"/>
  <c r="K9" i="17" s="1"/>
  <c r="B9" i="17"/>
  <c r="Q9" i="17" s="1"/>
  <c r="I8" i="17"/>
  <c r="H8" i="17"/>
  <c r="AC8" i="17" s="1"/>
  <c r="G8" i="17"/>
  <c r="L8" i="17" s="1"/>
  <c r="M8" i="17" s="1"/>
  <c r="F8" i="17"/>
  <c r="Y8" i="17" s="1"/>
  <c r="E8" i="17"/>
  <c r="D8" i="17"/>
  <c r="U8" i="17" s="1"/>
  <c r="V8" i="17" s="1"/>
  <c r="C8" i="17"/>
  <c r="B8" i="17"/>
  <c r="Q8" i="17" s="1"/>
  <c r="I7" i="17"/>
  <c r="H7" i="17"/>
  <c r="AC7" i="17" s="1"/>
  <c r="G7" i="17"/>
  <c r="L7" i="17" s="1"/>
  <c r="M7" i="17" s="1"/>
  <c r="F7" i="17"/>
  <c r="Y7" i="17" s="1"/>
  <c r="E7" i="17"/>
  <c r="D7" i="17"/>
  <c r="U7" i="17" s="1"/>
  <c r="C7" i="17"/>
  <c r="K7" i="17" s="1"/>
  <c r="B7" i="17"/>
  <c r="Q7" i="17" s="1"/>
  <c r="I6" i="17"/>
  <c r="H6" i="17"/>
  <c r="AC6" i="17" s="1"/>
  <c r="G6" i="17"/>
  <c r="L6" i="17" s="1"/>
  <c r="M6" i="17" s="1"/>
  <c r="F6" i="17"/>
  <c r="Y6" i="17" s="1"/>
  <c r="E6" i="17"/>
  <c r="D6" i="17"/>
  <c r="U6" i="17" s="1"/>
  <c r="W6" i="17" s="1"/>
  <c r="X6" i="17" s="1"/>
  <c r="C6" i="17"/>
  <c r="K6" i="17" s="1"/>
  <c r="B6" i="17"/>
  <c r="Q6" i="17" s="1"/>
  <c r="I5" i="17"/>
  <c r="H5" i="17"/>
  <c r="AC5" i="17" s="1"/>
  <c r="G5" i="17"/>
  <c r="F5" i="17"/>
  <c r="Y5" i="17" s="1"/>
  <c r="E5" i="17"/>
  <c r="L5" i="17" s="1"/>
  <c r="D5" i="17"/>
  <c r="U5" i="17" s="1"/>
  <c r="V5" i="17" s="1"/>
  <c r="C5" i="17"/>
  <c r="K5" i="17" s="1"/>
  <c r="B5" i="17"/>
  <c r="Q5" i="17" s="1"/>
  <c r="I4" i="17"/>
  <c r="H4" i="17"/>
  <c r="AC4" i="17" s="1"/>
  <c r="G4" i="17"/>
  <c r="F4" i="17"/>
  <c r="Y4" i="17" s="1"/>
  <c r="Z4" i="17" s="1"/>
  <c r="E4" i="17"/>
  <c r="L4" i="17" s="1"/>
  <c r="D4" i="17"/>
  <c r="U4" i="17" s="1"/>
  <c r="C4" i="17"/>
  <c r="K4" i="17" s="1"/>
  <c r="B4" i="17"/>
  <c r="Q4" i="17" s="1"/>
  <c r="R4" i="17" s="1"/>
  <c r="J41" i="13"/>
  <c r="M4" i="17" l="1"/>
  <c r="M5" i="17"/>
  <c r="M13" i="17"/>
  <c r="M25" i="17"/>
  <c r="M33" i="17"/>
  <c r="M27" i="17"/>
  <c r="M21" i="17"/>
  <c r="M26" i="17"/>
  <c r="L32" i="17"/>
  <c r="M32" i="17" s="1"/>
  <c r="W31" i="17"/>
  <c r="X31" i="17" s="1"/>
  <c r="AE32" i="17"/>
  <c r="AF32" i="17" s="1"/>
  <c r="AD24" i="17"/>
  <c r="V27" i="17"/>
  <c r="AE18" i="17"/>
  <c r="AF18" i="17" s="1"/>
  <c r="W20" i="17"/>
  <c r="X20" i="17" s="1"/>
  <c r="V20" i="17"/>
  <c r="W22" i="17"/>
  <c r="X22" i="17" s="1"/>
  <c r="V22" i="17"/>
  <c r="W16" i="17"/>
  <c r="X16" i="17" s="1"/>
  <c r="V16" i="17"/>
  <c r="W19" i="17"/>
  <c r="X19" i="17" s="1"/>
  <c r="V19" i="17"/>
  <c r="W24" i="17"/>
  <c r="X24" i="17" s="1"/>
  <c r="V24" i="17"/>
  <c r="W18" i="17"/>
  <c r="X18" i="17" s="1"/>
  <c r="V18" i="17"/>
  <c r="V7" i="17"/>
  <c r="W7" i="17"/>
  <c r="X7" i="17" s="1"/>
  <c r="W10" i="17"/>
  <c r="X10" i="17" s="1"/>
  <c r="V10" i="17"/>
  <c r="V11" i="17"/>
  <c r="W11" i="17"/>
  <c r="X11" i="17" s="1"/>
  <c r="W12" i="17"/>
  <c r="X12" i="17" s="1"/>
  <c r="V12" i="17"/>
  <c r="W13" i="17"/>
  <c r="X13" i="17" s="1"/>
  <c r="V13" i="17"/>
  <c r="W14" i="17"/>
  <c r="X14" i="17" s="1"/>
  <c r="V14" i="17"/>
  <c r="V30" i="17"/>
  <c r="V33" i="17"/>
  <c r="V17" i="17"/>
  <c r="V23" i="17"/>
  <c r="W8" i="17"/>
  <c r="X8" i="17" s="1"/>
  <c r="AE10" i="17"/>
  <c r="AF10" i="17" s="1"/>
  <c r="V15" i="17"/>
  <c r="V21" i="17"/>
  <c r="AE31" i="17"/>
  <c r="AF31" i="17" s="1"/>
  <c r="AE17" i="17"/>
  <c r="AF17" i="17" s="1"/>
  <c r="V25" i="17"/>
  <c r="W29" i="17"/>
  <c r="X29" i="17" s="1"/>
  <c r="AE9" i="17"/>
  <c r="AF9" i="17" s="1"/>
  <c r="AE15" i="17"/>
  <c r="AF15" i="17" s="1"/>
  <c r="AD23" i="17"/>
  <c r="V32" i="17"/>
  <c r="AE8" i="17"/>
  <c r="AF8" i="17" s="1"/>
  <c r="AD8" i="17"/>
  <c r="W4" i="17"/>
  <c r="X4" i="17" s="1"/>
  <c r="V4" i="17"/>
  <c r="AE4" i="17"/>
  <c r="AF4" i="17" s="1"/>
  <c r="AD4" i="17"/>
  <c r="AE5" i="17"/>
  <c r="AF5" i="17" s="1"/>
  <c r="AD5" i="17"/>
  <c r="AE6" i="17"/>
  <c r="AF6" i="17" s="1"/>
  <c r="AD6" i="17"/>
  <c r="AD7" i="17"/>
  <c r="AE7" i="17"/>
  <c r="AF7" i="17" s="1"/>
  <c r="AD12" i="17"/>
  <c r="AA12" i="17"/>
  <c r="AB12" i="17" s="1"/>
  <c r="Z12" i="17"/>
  <c r="S16" i="17"/>
  <c r="T16" i="17" s="1"/>
  <c r="R16" i="17"/>
  <c r="AA20" i="17"/>
  <c r="AB20" i="17" s="1"/>
  <c r="Z20" i="17"/>
  <c r="W28" i="17"/>
  <c r="X28" i="17" s="1"/>
  <c r="S30" i="17"/>
  <c r="T30" i="17" s="1"/>
  <c r="R30" i="17"/>
  <c r="AD33" i="17"/>
  <c r="AD11" i="17"/>
  <c r="S31" i="17"/>
  <c r="T31" i="17" s="1"/>
  <c r="R31" i="17"/>
  <c r="S32" i="17"/>
  <c r="T32" i="17" s="1"/>
  <c r="R32" i="17"/>
  <c r="S24" i="17"/>
  <c r="T24" i="17" s="1"/>
  <c r="R24" i="17"/>
  <c r="S25" i="17"/>
  <c r="T25" i="17" s="1"/>
  <c r="R25" i="17"/>
  <c r="AE20" i="17"/>
  <c r="AF20" i="17" s="1"/>
  <c r="S5" i="17"/>
  <c r="T5" i="17" s="1"/>
  <c r="R5" i="17"/>
  <c r="B38" i="17"/>
  <c r="AA4" i="17"/>
  <c r="AB4" i="17" s="1"/>
  <c r="S11" i="17"/>
  <c r="T11" i="17" s="1"/>
  <c r="R11" i="17"/>
  <c r="AD13" i="17"/>
  <c r="AE26" i="17"/>
  <c r="AF26" i="17" s="1"/>
  <c r="AD27" i="17"/>
  <c r="S12" i="17"/>
  <c r="T12" i="17" s="1"/>
  <c r="R12" i="17"/>
  <c r="AD22" i="17"/>
  <c r="S26" i="17"/>
  <c r="T26" i="17" s="1"/>
  <c r="R26" i="17"/>
  <c r="S4" i="17"/>
  <c r="T4" i="17" s="1"/>
  <c r="AA5" i="17"/>
  <c r="AB5" i="17" s="1"/>
  <c r="Z5" i="17"/>
  <c r="V6" i="17"/>
  <c r="S7" i="17"/>
  <c r="T7" i="17" s="1"/>
  <c r="R7" i="17"/>
  <c r="AA9" i="17"/>
  <c r="AB9" i="17" s="1"/>
  <c r="Z9" i="17"/>
  <c r="S13" i="17"/>
  <c r="T13" i="17" s="1"/>
  <c r="R13" i="17"/>
  <c r="AE14" i="17"/>
  <c r="AF14" i="17" s="1"/>
  <c r="AA17" i="17"/>
  <c r="AB17" i="17" s="1"/>
  <c r="Z17" i="17"/>
  <c r="S21" i="17"/>
  <c r="T21" i="17" s="1"/>
  <c r="R21" i="17"/>
  <c r="V26" i="17"/>
  <c r="S27" i="17"/>
  <c r="T27" i="17" s="1"/>
  <c r="R27" i="17"/>
  <c r="AE28" i="17"/>
  <c r="AF28" i="17" s="1"/>
  <c r="AD29" i="17"/>
  <c r="S9" i="17"/>
  <c r="T9" i="17" s="1"/>
  <c r="R9" i="17"/>
  <c r="S10" i="17"/>
  <c r="T10" i="17" s="1"/>
  <c r="R10" i="17"/>
  <c r="S18" i="17"/>
  <c r="T18" i="17" s="1"/>
  <c r="R18" i="17"/>
  <c r="AA8" i="17"/>
  <c r="AB8" i="17" s="1"/>
  <c r="Z8" i="17"/>
  <c r="V9" i="17"/>
  <c r="AA15" i="17"/>
  <c r="AB15" i="17" s="1"/>
  <c r="Z15" i="17"/>
  <c r="AD21" i="17"/>
  <c r="S33" i="17"/>
  <c r="T33" i="17" s="1"/>
  <c r="R33" i="17"/>
  <c r="W5" i="17"/>
  <c r="X5" i="17" s="1"/>
  <c r="AA16" i="17"/>
  <c r="AB16" i="17" s="1"/>
  <c r="Z16" i="17"/>
  <c r="B37" i="17"/>
  <c r="D37" i="17" s="1"/>
  <c r="P38" i="17" s="1"/>
  <c r="AA10" i="17"/>
  <c r="AB10" i="17" s="1"/>
  <c r="Z10" i="17"/>
  <c r="S14" i="17"/>
  <c r="T14" i="17" s="1"/>
  <c r="R14" i="17"/>
  <c r="AD16" i="17"/>
  <c r="AA18" i="17"/>
  <c r="AB18" i="17" s="1"/>
  <c r="Z18" i="17"/>
  <c r="S22" i="17"/>
  <c r="T22" i="17" s="1"/>
  <c r="R22" i="17"/>
  <c r="S28" i="17"/>
  <c r="T28" i="17" s="1"/>
  <c r="R28" i="17"/>
  <c r="AD30" i="17"/>
  <c r="AA7" i="17"/>
  <c r="AB7" i="17" s="1"/>
  <c r="Z7" i="17"/>
  <c r="AA13" i="17"/>
  <c r="AB13" i="17" s="1"/>
  <c r="Z13" i="17"/>
  <c r="S17" i="17"/>
  <c r="T17" i="17" s="1"/>
  <c r="R17" i="17"/>
  <c r="AD19" i="17"/>
  <c r="AA21" i="17"/>
  <c r="AB21" i="17" s="1"/>
  <c r="Z21" i="17"/>
  <c r="AD25" i="17"/>
  <c r="AA14" i="17"/>
  <c r="AB14" i="17" s="1"/>
  <c r="Z14" i="17"/>
  <c r="AA22" i="17"/>
  <c r="AB22" i="17" s="1"/>
  <c r="Z22" i="17"/>
  <c r="S6" i="17"/>
  <c r="T6" i="17" s="1"/>
  <c r="R6" i="17"/>
  <c r="S19" i="17"/>
  <c r="T19" i="17" s="1"/>
  <c r="R19" i="17"/>
  <c r="S20" i="17"/>
  <c r="T20" i="17" s="1"/>
  <c r="R20" i="17"/>
  <c r="AA6" i="17"/>
  <c r="AB6" i="17" s="1"/>
  <c r="Z6" i="17"/>
  <c r="S8" i="17"/>
  <c r="T8" i="17" s="1"/>
  <c r="R8" i="17"/>
  <c r="AA11" i="17"/>
  <c r="AB11" i="17" s="1"/>
  <c r="Z11" i="17"/>
  <c r="S15" i="17"/>
  <c r="T15" i="17" s="1"/>
  <c r="R15" i="17"/>
  <c r="AA19" i="17"/>
  <c r="AB19" i="17" s="1"/>
  <c r="Z19" i="17"/>
  <c r="S23" i="17"/>
  <c r="T23" i="17" s="1"/>
  <c r="R23" i="17"/>
  <c r="S29" i="17"/>
  <c r="T29" i="17" s="1"/>
  <c r="R29" i="17"/>
  <c r="Z23" i="17"/>
  <c r="Z24" i="17"/>
  <c r="Z25" i="17"/>
  <c r="Z26" i="17"/>
  <c r="Z27" i="17"/>
  <c r="Z28" i="17"/>
  <c r="Z29" i="17"/>
  <c r="Z30" i="17"/>
  <c r="Z31" i="17"/>
  <c r="Z32" i="17"/>
  <c r="Z33" i="17"/>
  <c r="D37" i="13"/>
  <c r="J38" i="13" s="1"/>
  <c r="F43" i="13"/>
  <c r="F42" i="13"/>
  <c r="F39" i="13"/>
  <c r="F40" i="13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" i="16"/>
  <c r="P28" i="16"/>
  <c r="R27" i="16"/>
  <c r="S25" i="16"/>
  <c r="S21" i="16"/>
  <c r="P20" i="16"/>
  <c r="S19" i="16"/>
  <c r="P12" i="16"/>
  <c r="R11" i="16"/>
  <c r="P4" i="16"/>
  <c r="R3" i="16"/>
  <c r="J23" i="16"/>
  <c r="Q23" i="16" s="1"/>
  <c r="J29" i="16"/>
  <c r="Q29" i="16" s="1"/>
  <c r="E3" i="16"/>
  <c r="L3" i="16" s="1"/>
  <c r="S3" i="16" s="1"/>
  <c r="E4" i="16"/>
  <c r="L4" i="16" s="1"/>
  <c r="S4" i="16" s="1"/>
  <c r="E5" i="16"/>
  <c r="L5" i="16" s="1"/>
  <c r="S5" i="16" s="1"/>
  <c r="E6" i="16"/>
  <c r="L6" i="16" s="1"/>
  <c r="S6" i="16" s="1"/>
  <c r="E7" i="16"/>
  <c r="L7" i="16" s="1"/>
  <c r="S7" i="16" s="1"/>
  <c r="E8" i="16"/>
  <c r="L8" i="16" s="1"/>
  <c r="S8" i="16" s="1"/>
  <c r="E9" i="16"/>
  <c r="L9" i="16" s="1"/>
  <c r="S9" i="16" s="1"/>
  <c r="E10" i="16"/>
  <c r="L10" i="16" s="1"/>
  <c r="S10" i="16" s="1"/>
  <c r="E11" i="16"/>
  <c r="L11" i="16" s="1"/>
  <c r="S11" i="16" s="1"/>
  <c r="E12" i="16"/>
  <c r="L12" i="16" s="1"/>
  <c r="S12" i="16" s="1"/>
  <c r="E13" i="16"/>
  <c r="L13" i="16" s="1"/>
  <c r="S13" i="16" s="1"/>
  <c r="E14" i="16"/>
  <c r="L14" i="16" s="1"/>
  <c r="S14" i="16" s="1"/>
  <c r="E15" i="16"/>
  <c r="L15" i="16" s="1"/>
  <c r="S15" i="16" s="1"/>
  <c r="E16" i="16"/>
  <c r="L16" i="16" s="1"/>
  <c r="S16" i="16" s="1"/>
  <c r="E17" i="16"/>
  <c r="L17" i="16" s="1"/>
  <c r="S17" i="16" s="1"/>
  <c r="E18" i="16"/>
  <c r="L18" i="16" s="1"/>
  <c r="S18" i="16" s="1"/>
  <c r="E19" i="16"/>
  <c r="L19" i="16" s="1"/>
  <c r="E20" i="16"/>
  <c r="L20" i="16" s="1"/>
  <c r="S20" i="16" s="1"/>
  <c r="E21" i="16"/>
  <c r="L21" i="16" s="1"/>
  <c r="E22" i="16"/>
  <c r="L22" i="16" s="1"/>
  <c r="S22" i="16" s="1"/>
  <c r="E23" i="16"/>
  <c r="L23" i="16" s="1"/>
  <c r="S23" i="16" s="1"/>
  <c r="E24" i="16"/>
  <c r="L24" i="16" s="1"/>
  <c r="S24" i="16" s="1"/>
  <c r="E25" i="16"/>
  <c r="L25" i="16" s="1"/>
  <c r="E26" i="16"/>
  <c r="L26" i="16" s="1"/>
  <c r="S26" i="16" s="1"/>
  <c r="E27" i="16"/>
  <c r="L27" i="16" s="1"/>
  <c r="S27" i="16" s="1"/>
  <c r="E28" i="16"/>
  <c r="L28" i="16" s="1"/>
  <c r="S28" i="16" s="1"/>
  <c r="E29" i="16"/>
  <c r="L29" i="16" s="1"/>
  <c r="S29" i="16" s="1"/>
  <c r="E30" i="16"/>
  <c r="L30" i="16" s="1"/>
  <c r="S30" i="16" s="1"/>
  <c r="E31" i="16"/>
  <c r="L31" i="16" s="1"/>
  <c r="S31" i="16" s="1"/>
  <c r="E32" i="16"/>
  <c r="L32" i="16" s="1"/>
  <c r="S32" i="16" s="1"/>
  <c r="D32" i="16"/>
  <c r="K32" i="16" s="1"/>
  <c r="R32" i="16" s="1"/>
  <c r="C32" i="16"/>
  <c r="J32" i="16" s="1"/>
  <c r="Q32" i="16" s="1"/>
  <c r="B32" i="16"/>
  <c r="I32" i="16" s="1"/>
  <c r="P32" i="16" s="1"/>
  <c r="D31" i="16"/>
  <c r="K31" i="16" s="1"/>
  <c r="R31" i="16" s="1"/>
  <c r="C31" i="16"/>
  <c r="J31" i="16" s="1"/>
  <c r="Q31" i="16" s="1"/>
  <c r="B31" i="16"/>
  <c r="I31" i="16" s="1"/>
  <c r="P31" i="16" s="1"/>
  <c r="D30" i="16"/>
  <c r="K30" i="16" s="1"/>
  <c r="R30" i="16" s="1"/>
  <c r="C30" i="16"/>
  <c r="J30" i="16" s="1"/>
  <c r="Q30" i="16" s="1"/>
  <c r="B30" i="16"/>
  <c r="I30" i="16" s="1"/>
  <c r="P30" i="16" s="1"/>
  <c r="D29" i="16"/>
  <c r="K29" i="16" s="1"/>
  <c r="R29" i="16" s="1"/>
  <c r="C29" i="16"/>
  <c r="B29" i="16"/>
  <c r="I29" i="16" s="1"/>
  <c r="P29" i="16" s="1"/>
  <c r="D28" i="16"/>
  <c r="K28" i="16" s="1"/>
  <c r="R28" i="16" s="1"/>
  <c r="C28" i="16"/>
  <c r="J28" i="16" s="1"/>
  <c r="Q28" i="16" s="1"/>
  <c r="B28" i="16"/>
  <c r="I28" i="16" s="1"/>
  <c r="D27" i="16"/>
  <c r="K27" i="16" s="1"/>
  <c r="C27" i="16"/>
  <c r="J27" i="16" s="1"/>
  <c r="Q27" i="16" s="1"/>
  <c r="B27" i="16"/>
  <c r="I27" i="16" s="1"/>
  <c r="P27" i="16" s="1"/>
  <c r="D26" i="16"/>
  <c r="K26" i="16" s="1"/>
  <c r="R26" i="16" s="1"/>
  <c r="C26" i="16"/>
  <c r="J26" i="16" s="1"/>
  <c r="Q26" i="16" s="1"/>
  <c r="B26" i="16"/>
  <c r="I26" i="16" s="1"/>
  <c r="P26" i="16" s="1"/>
  <c r="D25" i="16"/>
  <c r="K25" i="16" s="1"/>
  <c r="R25" i="16" s="1"/>
  <c r="C25" i="16"/>
  <c r="J25" i="16" s="1"/>
  <c r="Q25" i="16" s="1"/>
  <c r="B25" i="16"/>
  <c r="I25" i="16" s="1"/>
  <c r="P25" i="16" s="1"/>
  <c r="D24" i="16"/>
  <c r="K24" i="16" s="1"/>
  <c r="R24" i="16" s="1"/>
  <c r="C24" i="16"/>
  <c r="J24" i="16" s="1"/>
  <c r="Q24" i="16" s="1"/>
  <c r="B24" i="16"/>
  <c r="I24" i="16" s="1"/>
  <c r="P24" i="16" s="1"/>
  <c r="D23" i="16"/>
  <c r="K23" i="16" s="1"/>
  <c r="R23" i="16" s="1"/>
  <c r="C23" i="16"/>
  <c r="B23" i="16"/>
  <c r="I23" i="16" s="1"/>
  <c r="P23" i="16" s="1"/>
  <c r="D22" i="16"/>
  <c r="K22" i="16" s="1"/>
  <c r="R22" i="16" s="1"/>
  <c r="C22" i="16"/>
  <c r="J22" i="16" s="1"/>
  <c r="Q22" i="16" s="1"/>
  <c r="B22" i="16"/>
  <c r="I22" i="16" s="1"/>
  <c r="P22" i="16" s="1"/>
  <c r="D21" i="16"/>
  <c r="K21" i="16" s="1"/>
  <c r="R21" i="16" s="1"/>
  <c r="C21" i="16"/>
  <c r="J21" i="16" s="1"/>
  <c r="Q21" i="16" s="1"/>
  <c r="B21" i="16"/>
  <c r="I21" i="16" s="1"/>
  <c r="P21" i="16" s="1"/>
  <c r="D20" i="16"/>
  <c r="K20" i="16" s="1"/>
  <c r="R20" i="16" s="1"/>
  <c r="C20" i="16"/>
  <c r="J20" i="16" s="1"/>
  <c r="Q20" i="16" s="1"/>
  <c r="B20" i="16"/>
  <c r="I20" i="16" s="1"/>
  <c r="D19" i="16"/>
  <c r="K19" i="16" s="1"/>
  <c r="R19" i="16" s="1"/>
  <c r="C19" i="16"/>
  <c r="J19" i="16" s="1"/>
  <c r="Q19" i="16" s="1"/>
  <c r="B19" i="16"/>
  <c r="I19" i="16" s="1"/>
  <c r="P19" i="16" s="1"/>
  <c r="D18" i="16"/>
  <c r="K18" i="16" s="1"/>
  <c r="R18" i="16" s="1"/>
  <c r="C18" i="16"/>
  <c r="J18" i="16" s="1"/>
  <c r="Q18" i="16" s="1"/>
  <c r="B18" i="16"/>
  <c r="I18" i="16" s="1"/>
  <c r="P18" i="16" s="1"/>
  <c r="D17" i="16"/>
  <c r="K17" i="16" s="1"/>
  <c r="R17" i="16" s="1"/>
  <c r="C17" i="16"/>
  <c r="J17" i="16" s="1"/>
  <c r="Q17" i="16" s="1"/>
  <c r="B17" i="16"/>
  <c r="I17" i="16" s="1"/>
  <c r="P17" i="16" s="1"/>
  <c r="D16" i="16"/>
  <c r="K16" i="16" s="1"/>
  <c r="R16" i="16" s="1"/>
  <c r="C16" i="16"/>
  <c r="J16" i="16" s="1"/>
  <c r="Q16" i="16" s="1"/>
  <c r="B16" i="16"/>
  <c r="I16" i="16" s="1"/>
  <c r="P16" i="16" s="1"/>
  <c r="D15" i="16"/>
  <c r="K15" i="16" s="1"/>
  <c r="R15" i="16" s="1"/>
  <c r="C15" i="16"/>
  <c r="J15" i="16" s="1"/>
  <c r="Q15" i="16" s="1"/>
  <c r="B15" i="16"/>
  <c r="I15" i="16" s="1"/>
  <c r="P15" i="16" s="1"/>
  <c r="D14" i="16"/>
  <c r="K14" i="16" s="1"/>
  <c r="R14" i="16" s="1"/>
  <c r="C14" i="16"/>
  <c r="J14" i="16" s="1"/>
  <c r="Q14" i="16" s="1"/>
  <c r="B14" i="16"/>
  <c r="I14" i="16" s="1"/>
  <c r="P14" i="16" s="1"/>
  <c r="D13" i="16"/>
  <c r="K13" i="16" s="1"/>
  <c r="R13" i="16" s="1"/>
  <c r="C13" i="16"/>
  <c r="J13" i="16" s="1"/>
  <c r="Q13" i="16" s="1"/>
  <c r="B13" i="16"/>
  <c r="I13" i="16" s="1"/>
  <c r="P13" i="16" s="1"/>
  <c r="D12" i="16"/>
  <c r="K12" i="16" s="1"/>
  <c r="R12" i="16" s="1"/>
  <c r="C12" i="16"/>
  <c r="J12" i="16" s="1"/>
  <c r="Q12" i="16" s="1"/>
  <c r="B12" i="16"/>
  <c r="I12" i="16" s="1"/>
  <c r="D11" i="16"/>
  <c r="K11" i="16" s="1"/>
  <c r="C11" i="16"/>
  <c r="J11" i="16" s="1"/>
  <c r="Q11" i="16" s="1"/>
  <c r="B11" i="16"/>
  <c r="I11" i="16" s="1"/>
  <c r="P11" i="16" s="1"/>
  <c r="D10" i="16"/>
  <c r="K10" i="16" s="1"/>
  <c r="R10" i="16" s="1"/>
  <c r="C10" i="16"/>
  <c r="J10" i="16" s="1"/>
  <c r="Q10" i="16" s="1"/>
  <c r="B10" i="16"/>
  <c r="I10" i="16" s="1"/>
  <c r="P10" i="16" s="1"/>
  <c r="D9" i="16"/>
  <c r="K9" i="16" s="1"/>
  <c r="R9" i="16" s="1"/>
  <c r="C9" i="16"/>
  <c r="J9" i="16" s="1"/>
  <c r="Q9" i="16" s="1"/>
  <c r="B9" i="16"/>
  <c r="I9" i="16" s="1"/>
  <c r="P9" i="16" s="1"/>
  <c r="D8" i="16"/>
  <c r="K8" i="16" s="1"/>
  <c r="R8" i="16" s="1"/>
  <c r="C8" i="16"/>
  <c r="J8" i="16" s="1"/>
  <c r="Q8" i="16" s="1"/>
  <c r="B8" i="16"/>
  <c r="I8" i="16" s="1"/>
  <c r="P8" i="16" s="1"/>
  <c r="D7" i="16"/>
  <c r="K7" i="16" s="1"/>
  <c r="R7" i="16" s="1"/>
  <c r="C7" i="16"/>
  <c r="J7" i="16" s="1"/>
  <c r="Q7" i="16" s="1"/>
  <c r="B7" i="16"/>
  <c r="I7" i="16" s="1"/>
  <c r="P7" i="16" s="1"/>
  <c r="D6" i="16"/>
  <c r="K6" i="16" s="1"/>
  <c r="R6" i="16" s="1"/>
  <c r="C6" i="16"/>
  <c r="J6" i="16" s="1"/>
  <c r="Q6" i="16" s="1"/>
  <c r="B6" i="16"/>
  <c r="I6" i="16" s="1"/>
  <c r="P6" i="16" s="1"/>
  <c r="D5" i="16"/>
  <c r="K5" i="16" s="1"/>
  <c r="R5" i="16" s="1"/>
  <c r="C5" i="16"/>
  <c r="J5" i="16" s="1"/>
  <c r="Q5" i="16" s="1"/>
  <c r="B5" i="16"/>
  <c r="I5" i="16" s="1"/>
  <c r="P5" i="16" s="1"/>
  <c r="D4" i="16"/>
  <c r="K4" i="16" s="1"/>
  <c r="R4" i="16" s="1"/>
  <c r="C4" i="16"/>
  <c r="J4" i="16" s="1"/>
  <c r="Q4" i="16" s="1"/>
  <c r="B4" i="16"/>
  <c r="I4" i="16" s="1"/>
  <c r="D3" i="16"/>
  <c r="K3" i="16" s="1"/>
  <c r="C3" i="16"/>
  <c r="J3" i="16" s="1"/>
  <c r="Q3" i="16" s="1"/>
  <c r="B3" i="16"/>
  <c r="I3" i="16" s="1"/>
  <c r="P3" i="16" s="1"/>
  <c r="B38" i="13"/>
  <c r="D38" i="13" s="1"/>
  <c r="G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4" i="13"/>
  <c r="H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F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4" i="13"/>
  <c r="D4" i="13"/>
  <c r="C5" i="13"/>
  <c r="C6" i="13"/>
  <c r="C7" i="13"/>
  <c r="C8" i="13"/>
  <c r="B37" i="13" s="1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4" i="13"/>
  <c r="B4" i="13"/>
  <c r="K4" i="13" s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Q21" i="10"/>
  <c r="P5" i="5"/>
  <c r="F5" i="13"/>
  <c r="S5" i="13" s="1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9" i="17" l="1"/>
  <c r="D38" i="17"/>
  <c r="B39" i="13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Q31" i="10"/>
  <c r="Q30" i="10"/>
  <c r="Q29" i="10"/>
  <c r="Q28" i="10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31" i="8"/>
  <c r="Q31" i="8"/>
  <c r="P2" i="8"/>
  <c r="Q2" i="8"/>
  <c r="P3" i="8"/>
  <c r="Q3" i="8"/>
  <c r="P4" i="8"/>
  <c r="Q4" i="8"/>
  <c r="P5" i="8"/>
  <c r="Q5" i="8"/>
  <c r="P6" i="8"/>
  <c r="Q6" i="8"/>
  <c r="P7" i="8"/>
  <c r="Q7" i="8"/>
  <c r="P8" i="8"/>
  <c r="Q8" i="8"/>
  <c r="P9" i="8"/>
  <c r="Q9" i="8"/>
  <c r="P10" i="8"/>
  <c r="Q10" i="8"/>
  <c r="P11" i="8"/>
  <c r="Q11" i="8"/>
  <c r="P12" i="8"/>
  <c r="Q12" i="8"/>
  <c r="P13" i="8"/>
  <c r="Q13" i="8"/>
  <c r="P14" i="8"/>
  <c r="Q14" i="8"/>
  <c r="P15" i="8"/>
  <c r="Q15" i="8"/>
  <c r="P16" i="8"/>
  <c r="Q16" i="8"/>
  <c r="P17" i="8"/>
  <c r="Q17" i="8"/>
  <c r="P18" i="8"/>
  <c r="Q18" i="8"/>
  <c r="P19" i="8"/>
  <c r="Q19" i="8"/>
  <c r="P20" i="8"/>
  <c r="Q20" i="8"/>
  <c r="P21" i="8"/>
  <c r="Q21" i="8"/>
  <c r="P22" i="8"/>
  <c r="Q22" i="8"/>
  <c r="P23" i="8"/>
  <c r="Q23" i="8"/>
  <c r="P24" i="8"/>
  <c r="Q24" i="8"/>
  <c r="P25" i="8"/>
  <c r="Q25" i="8"/>
  <c r="P26" i="8"/>
  <c r="Q26" i="8"/>
  <c r="P27" i="8"/>
  <c r="Q27" i="8"/>
  <c r="P28" i="8"/>
  <c r="Q28" i="8"/>
  <c r="P29" i="8"/>
  <c r="Q29" i="8"/>
  <c r="P30" i="8"/>
  <c r="Q30" i="8"/>
  <c r="O2" i="7"/>
  <c r="P5" i="6"/>
  <c r="O2" i="6"/>
  <c r="P2" i="6"/>
  <c r="O3" i="6"/>
  <c r="P3" i="6"/>
  <c r="O4" i="6"/>
  <c r="P4" i="6"/>
  <c r="O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20" i="6"/>
  <c r="P20" i="6"/>
  <c r="O21" i="6"/>
  <c r="P21" i="6"/>
  <c r="O22" i="6"/>
  <c r="P22" i="6"/>
  <c r="O23" i="6"/>
  <c r="P23" i="6"/>
  <c r="O24" i="6"/>
  <c r="P24" i="6"/>
  <c r="O25" i="6"/>
  <c r="P25" i="6"/>
  <c r="O26" i="6"/>
  <c r="P26" i="6"/>
  <c r="O27" i="6"/>
  <c r="P27" i="6"/>
  <c r="O28" i="6"/>
  <c r="P28" i="6"/>
  <c r="O29" i="6"/>
  <c r="P29" i="6"/>
  <c r="O30" i="6"/>
  <c r="P30" i="6"/>
  <c r="O31" i="6"/>
  <c r="P31" i="6"/>
  <c r="P3" i="5"/>
  <c r="Q3" i="5"/>
  <c r="P4" i="5"/>
  <c r="Q4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28" i="5"/>
  <c r="Q28" i="5"/>
  <c r="P29" i="5"/>
  <c r="Q29" i="5"/>
  <c r="P30" i="5"/>
  <c r="Q30" i="5"/>
  <c r="P31" i="5"/>
  <c r="Q31" i="5"/>
  <c r="Q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P2" i="5"/>
  <c r="O2" i="5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N16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Q2" i="1"/>
  <c r="P2" i="1"/>
  <c r="O2" i="1"/>
  <c r="N2" i="1"/>
  <c r="K5" i="13" l="1"/>
  <c r="D9" i="15" l="1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W33" i="13" l="1"/>
  <c r="Y33" i="13" s="1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K20" i="13"/>
  <c r="L20" i="13" l="1"/>
  <c r="M20" i="13"/>
  <c r="N20" i="13" s="1"/>
  <c r="S9" i="13"/>
  <c r="U9" i="13" s="1"/>
  <c r="V9" i="13" s="1"/>
  <c r="S17" i="13"/>
  <c r="U17" i="13" s="1"/>
  <c r="V17" i="13" s="1"/>
  <c r="S25" i="13"/>
  <c r="U25" i="13" s="1"/>
  <c r="V25" i="13" s="1"/>
  <c r="S33" i="13"/>
  <c r="U33" i="13" s="1"/>
  <c r="V33" i="13" s="1"/>
  <c r="U5" i="13"/>
  <c r="V5" i="13" s="1"/>
  <c r="S18" i="13"/>
  <c r="T18" i="13" s="1"/>
  <c r="O11" i="13"/>
  <c r="P11" i="13" s="1"/>
  <c r="O19" i="13"/>
  <c r="P19" i="13" s="1"/>
  <c r="O27" i="13"/>
  <c r="P27" i="13" s="1"/>
  <c r="O12" i="13"/>
  <c r="Q12" i="13" s="1"/>
  <c r="R12" i="13" s="1"/>
  <c r="O28" i="13"/>
  <c r="P28" i="13" s="1"/>
  <c r="S8" i="13"/>
  <c r="T8" i="13" s="1"/>
  <c r="S16" i="13"/>
  <c r="T16" i="13" s="1"/>
  <c r="S10" i="13"/>
  <c r="U10" i="13" s="1"/>
  <c r="V10" i="13" s="1"/>
  <c r="S26" i="13"/>
  <c r="T26" i="13" s="1"/>
  <c r="S6" i="13"/>
  <c r="T6" i="13" s="1"/>
  <c r="S14" i="13"/>
  <c r="T14" i="13" s="1"/>
  <c r="S22" i="13"/>
  <c r="S30" i="13"/>
  <c r="U30" i="13" s="1"/>
  <c r="V30" i="13" s="1"/>
  <c r="O20" i="13"/>
  <c r="P20" i="13" s="1"/>
  <c r="S24" i="13"/>
  <c r="U24" i="13" s="1"/>
  <c r="V24" i="13" s="1"/>
  <c r="S32" i="13"/>
  <c r="T32" i="13" s="1"/>
  <c r="O33" i="13"/>
  <c r="Q33" i="13" s="1"/>
  <c r="R33" i="13" s="1"/>
  <c r="S13" i="13"/>
  <c r="T13" i="13" s="1"/>
  <c r="S21" i="13"/>
  <c r="T21" i="13" s="1"/>
  <c r="S29" i="13"/>
  <c r="T29" i="13" s="1"/>
  <c r="O6" i="13"/>
  <c r="P6" i="13" s="1"/>
  <c r="O14" i="13"/>
  <c r="P14" i="13" s="1"/>
  <c r="O22" i="13"/>
  <c r="P22" i="13" s="1"/>
  <c r="O30" i="13"/>
  <c r="P30" i="13" s="1"/>
  <c r="O13" i="13"/>
  <c r="Q13" i="13" s="1"/>
  <c r="R13" i="13" s="1"/>
  <c r="O16" i="13"/>
  <c r="P16" i="13" s="1"/>
  <c r="O24" i="13"/>
  <c r="Q24" i="13" s="1"/>
  <c r="R24" i="13" s="1"/>
  <c r="O32" i="13"/>
  <c r="Q32" i="13" s="1"/>
  <c r="R32" i="13" s="1"/>
  <c r="O4" i="13"/>
  <c r="Q4" i="13" s="1"/>
  <c r="R4" i="13" s="1"/>
  <c r="O5" i="13"/>
  <c r="P5" i="13" s="1"/>
  <c r="S4" i="13"/>
  <c r="T4" i="13" s="1"/>
  <c r="O10" i="13"/>
  <c r="P10" i="13" s="1"/>
  <c r="O18" i="13"/>
  <c r="P18" i="13" s="1"/>
  <c r="O26" i="13"/>
  <c r="Q26" i="13" s="1"/>
  <c r="R26" i="13" s="1"/>
  <c r="S7" i="13"/>
  <c r="T7" i="13" s="1"/>
  <c r="S15" i="13"/>
  <c r="T15" i="13" s="1"/>
  <c r="S23" i="13"/>
  <c r="T23" i="13" s="1"/>
  <c r="S31" i="13"/>
  <c r="U31" i="13" s="1"/>
  <c r="V31" i="13" s="1"/>
  <c r="O21" i="13"/>
  <c r="P21" i="13" s="1"/>
  <c r="O29" i="13"/>
  <c r="Q29" i="13" s="1"/>
  <c r="R29" i="13" s="1"/>
  <c r="O7" i="13"/>
  <c r="P7" i="13" s="1"/>
  <c r="O31" i="13"/>
  <c r="P31" i="13" s="1"/>
  <c r="M4" i="13"/>
  <c r="O8" i="13"/>
  <c r="P8" i="13" s="1"/>
  <c r="S11" i="13"/>
  <c r="T11" i="13" s="1"/>
  <c r="S27" i="13"/>
  <c r="T27" i="13" s="1"/>
  <c r="O15" i="13"/>
  <c r="P15" i="13" s="1"/>
  <c r="O23" i="13"/>
  <c r="Q23" i="13" s="1"/>
  <c r="R23" i="13" s="1"/>
  <c r="S19" i="13"/>
  <c r="T19" i="13" s="1"/>
  <c r="O9" i="13"/>
  <c r="P9" i="13" s="1"/>
  <c r="O17" i="13"/>
  <c r="Q17" i="13" s="1"/>
  <c r="R17" i="13" s="1"/>
  <c r="O25" i="13"/>
  <c r="P25" i="13" s="1"/>
  <c r="S12" i="13"/>
  <c r="T12" i="13" s="1"/>
  <c r="S20" i="13"/>
  <c r="T20" i="13" s="1"/>
  <c r="S28" i="13"/>
  <c r="T28" i="13" s="1"/>
  <c r="X19" i="13"/>
  <c r="Y19" i="13"/>
  <c r="Z19" i="13" s="1"/>
  <c r="Y30" i="13"/>
  <c r="Z30" i="13" s="1"/>
  <c r="X30" i="13"/>
  <c r="Y22" i="13"/>
  <c r="Z22" i="13" s="1"/>
  <c r="X22" i="13"/>
  <c r="Y14" i="13"/>
  <c r="Z14" i="13" s="1"/>
  <c r="X14" i="13"/>
  <c r="Y6" i="13"/>
  <c r="Z6" i="13" s="1"/>
  <c r="X6" i="13"/>
  <c r="X29" i="13"/>
  <c r="Y29" i="13"/>
  <c r="Z29" i="13" s="1"/>
  <c r="X21" i="13"/>
  <c r="Y21" i="13"/>
  <c r="Z21" i="13" s="1"/>
  <c r="Y13" i="13"/>
  <c r="Z13" i="13" s="1"/>
  <c r="X13" i="13"/>
  <c r="Y5" i="13"/>
  <c r="Z5" i="13" s="1"/>
  <c r="X5" i="13"/>
  <c r="X20" i="13"/>
  <c r="Y20" i="13"/>
  <c r="Z20" i="13" s="1"/>
  <c r="X27" i="13"/>
  <c r="Y27" i="13"/>
  <c r="Z27" i="13" s="1"/>
  <c r="X33" i="13"/>
  <c r="Z33" i="13"/>
  <c r="X25" i="13"/>
  <c r="Y25" i="13"/>
  <c r="Z25" i="13" s="1"/>
  <c r="X17" i="13"/>
  <c r="Y17" i="13"/>
  <c r="Z17" i="13" s="1"/>
  <c r="X9" i="13"/>
  <c r="Y9" i="13"/>
  <c r="Z9" i="13" s="1"/>
  <c r="X12" i="13"/>
  <c r="Y12" i="13"/>
  <c r="Z12" i="13" s="1"/>
  <c r="X4" i="13"/>
  <c r="Y4" i="13"/>
  <c r="Z4" i="13" s="1"/>
  <c r="X11" i="13"/>
  <c r="Y11" i="13"/>
  <c r="Z11" i="13" s="1"/>
  <c r="X26" i="13"/>
  <c r="Y26" i="13"/>
  <c r="Z26" i="13" s="1"/>
  <c r="X18" i="13"/>
  <c r="Y18" i="13"/>
  <c r="Z18" i="13" s="1"/>
  <c r="X32" i="13"/>
  <c r="Y32" i="13"/>
  <c r="Z32" i="13" s="1"/>
  <c r="X24" i="13"/>
  <c r="Y24" i="13"/>
  <c r="Z24" i="13" s="1"/>
  <c r="X16" i="13"/>
  <c r="Y16" i="13"/>
  <c r="Z16" i="13" s="1"/>
  <c r="X8" i="13"/>
  <c r="Y8" i="13"/>
  <c r="Z8" i="13" s="1"/>
  <c r="X28" i="13"/>
  <c r="Y28" i="13"/>
  <c r="Z28" i="13" s="1"/>
  <c r="X10" i="13"/>
  <c r="Y10" i="13"/>
  <c r="Z10" i="13" s="1"/>
  <c r="X31" i="13"/>
  <c r="Y31" i="13"/>
  <c r="Z31" i="13" s="1"/>
  <c r="X23" i="13"/>
  <c r="Y23" i="13"/>
  <c r="Z23" i="13" s="1"/>
  <c r="X15" i="13"/>
  <c r="Y15" i="13"/>
  <c r="Z15" i="13" s="1"/>
  <c r="X7" i="13"/>
  <c r="Y7" i="13"/>
  <c r="Z7" i="13" s="1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U13" i="13" l="1"/>
  <c r="V13" i="13" s="1"/>
  <c r="T22" i="13"/>
  <c r="U22" i="13"/>
  <c r="P29" i="13"/>
  <c r="T30" i="13"/>
  <c r="T9" i="13"/>
  <c r="T25" i="13"/>
  <c r="T17" i="13"/>
  <c r="T33" i="13"/>
  <c r="U32" i="13"/>
  <c r="V32" i="13" s="1"/>
  <c r="U27" i="13"/>
  <c r="V27" i="13" s="1"/>
  <c r="Q28" i="13"/>
  <c r="R28" i="13" s="1"/>
  <c r="Q15" i="13"/>
  <c r="R15" i="13" s="1"/>
  <c r="U16" i="13"/>
  <c r="V16" i="13" s="1"/>
  <c r="T5" i="13"/>
  <c r="P33" i="13"/>
  <c r="P23" i="13"/>
  <c r="T10" i="13"/>
  <c r="P13" i="13"/>
  <c r="Q30" i="13"/>
  <c r="R30" i="13" s="1"/>
  <c r="U18" i="13"/>
  <c r="V18" i="13" s="1"/>
  <c r="Q21" i="13"/>
  <c r="R21" i="13" s="1"/>
  <c r="T24" i="13"/>
  <c r="T31" i="13"/>
  <c r="Q10" i="13"/>
  <c r="R10" i="13" s="1"/>
  <c r="Q11" i="13"/>
  <c r="R11" i="13" s="1"/>
  <c r="V22" i="13"/>
  <c r="U26" i="13"/>
  <c r="V26" i="13" s="1"/>
  <c r="Q16" i="13"/>
  <c r="R16" i="13" s="1"/>
  <c r="U6" i="13"/>
  <c r="V6" i="13" s="1"/>
  <c r="P26" i="13"/>
  <c r="Q7" i="13"/>
  <c r="R7" i="13" s="1"/>
  <c r="Q19" i="13"/>
  <c r="R19" i="13" s="1"/>
  <c r="Q27" i="13"/>
  <c r="R27" i="13" s="1"/>
  <c r="U7" i="13"/>
  <c r="V7" i="13" s="1"/>
  <c r="U21" i="13"/>
  <c r="V21" i="13" s="1"/>
  <c r="U8" i="13"/>
  <c r="V8" i="13" s="1"/>
  <c r="P24" i="13"/>
  <c r="Q20" i="13"/>
  <c r="R20" i="13" s="1"/>
  <c r="P32" i="13"/>
  <c r="P12" i="13"/>
  <c r="U29" i="13"/>
  <c r="V29" i="13" s="1"/>
  <c r="Q31" i="13"/>
  <c r="R31" i="13" s="1"/>
  <c r="U14" i="13"/>
  <c r="V14" i="13" s="1"/>
  <c r="U15" i="13"/>
  <c r="V15" i="13" s="1"/>
  <c r="U11" i="13"/>
  <c r="V11" i="13" s="1"/>
  <c r="Q6" i="13"/>
  <c r="R6" i="13" s="1"/>
  <c r="Q25" i="13"/>
  <c r="R25" i="13" s="1"/>
  <c r="Q5" i="13"/>
  <c r="R5" i="13" s="1"/>
  <c r="Q14" i="13"/>
  <c r="R14" i="13" s="1"/>
  <c r="U23" i="13"/>
  <c r="V23" i="13" s="1"/>
  <c r="U12" i="13"/>
  <c r="V12" i="13" s="1"/>
  <c r="Q8" i="13"/>
  <c r="R8" i="13" s="1"/>
  <c r="U28" i="13"/>
  <c r="V28" i="13" s="1"/>
  <c r="Q22" i="13"/>
  <c r="R22" i="13" s="1"/>
  <c r="U20" i="13"/>
  <c r="V20" i="13" s="1"/>
  <c r="U4" i="13"/>
  <c r="V4" i="13" s="1"/>
  <c r="P4" i="13"/>
  <c r="Q9" i="13"/>
  <c r="R9" i="13" s="1"/>
  <c r="P17" i="13"/>
  <c r="Q18" i="13"/>
  <c r="R18" i="13" s="1"/>
  <c r="U19" i="13"/>
  <c r="V19" i="13" s="1"/>
  <c r="L16" i="13"/>
  <c r="M16" i="13"/>
  <c r="N16" i="13" s="1"/>
  <c r="M31" i="13"/>
  <c r="N31" i="13" s="1"/>
  <c r="L31" i="13"/>
  <c r="L23" i="13"/>
  <c r="M23" i="13"/>
  <c r="N23" i="13" s="1"/>
  <c r="L15" i="13"/>
  <c r="M15" i="13"/>
  <c r="N15" i="13" s="1"/>
  <c r="M7" i="13"/>
  <c r="N7" i="13" s="1"/>
  <c r="L7" i="13"/>
  <c r="M30" i="13"/>
  <c r="N30" i="13" s="1"/>
  <c r="L30" i="13"/>
  <c r="M22" i="13"/>
  <c r="N22" i="13" s="1"/>
  <c r="L22" i="13"/>
  <c r="M14" i="13"/>
  <c r="N14" i="13" s="1"/>
  <c r="L14" i="13"/>
  <c r="M6" i="13"/>
  <c r="N6" i="13" s="1"/>
  <c r="L6" i="13"/>
  <c r="M32" i="13"/>
  <c r="N32" i="13" s="1"/>
  <c r="L32" i="13"/>
  <c r="L21" i="13"/>
  <c r="M21" i="13"/>
  <c r="N21" i="13" s="1"/>
  <c r="M5" i="13"/>
  <c r="N5" i="13" s="1"/>
  <c r="L5" i="13"/>
  <c r="L28" i="13"/>
  <c r="M28" i="13"/>
  <c r="N28" i="13" s="1"/>
  <c r="M12" i="13"/>
  <c r="N12" i="13" s="1"/>
  <c r="L12" i="13"/>
  <c r="N4" i="13"/>
  <c r="L4" i="13"/>
  <c r="M27" i="13"/>
  <c r="N27" i="13" s="1"/>
  <c r="L27" i="13"/>
  <c r="M19" i="13"/>
  <c r="N19" i="13" s="1"/>
  <c r="L19" i="13"/>
  <c r="M11" i="13"/>
  <c r="N11" i="13" s="1"/>
  <c r="L11" i="13"/>
  <c r="L8" i="13"/>
  <c r="M8" i="13"/>
  <c r="N8" i="13" s="1"/>
  <c r="M10" i="13"/>
  <c r="N10" i="13" s="1"/>
  <c r="L10" i="13"/>
  <c r="M24" i="13"/>
  <c r="N24" i="13" s="1"/>
  <c r="L24" i="13"/>
  <c r="L29" i="13"/>
  <c r="M29" i="13"/>
  <c r="N29" i="13" s="1"/>
  <c r="L13" i="13"/>
  <c r="M13" i="13"/>
  <c r="N13" i="13" s="1"/>
  <c r="M26" i="13"/>
  <c r="N26" i="13" s="1"/>
  <c r="L26" i="13"/>
  <c r="M18" i="13"/>
  <c r="N18" i="13" s="1"/>
  <c r="L18" i="13"/>
  <c r="M33" i="13"/>
  <c r="N33" i="13" s="1"/>
  <c r="L33" i="13"/>
  <c r="L25" i="13"/>
  <c r="M25" i="13"/>
  <c r="N25" i="13" s="1"/>
  <c r="M17" i="13"/>
  <c r="N17" i="13" s="1"/>
  <c r="L17" i="13"/>
  <c r="M9" i="13"/>
  <c r="N9" i="13" s="1"/>
  <c r="L9" i="13"/>
  <c r="F13" i="12" l="1"/>
  <c r="F19" i="12"/>
  <c r="F25" i="12"/>
  <c r="E25" i="12"/>
  <c r="E19" i="12"/>
  <c r="E13" i="12"/>
  <c r="G13" i="12" s="1"/>
  <c r="G19" i="12" l="1"/>
  <c r="G25" i="12"/>
</calcChain>
</file>

<file path=xl/sharedStrings.xml><?xml version="1.0" encoding="utf-8"?>
<sst xmlns="http://schemas.openxmlformats.org/spreadsheetml/2006/main" count="633" uniqueCount="121">
  <si>
    <t>Age</t>
  </si>
  <si>
    <t>Engine - SoC Markov trace - Stage 4</t>
  </si>
  <si>
    <t>Engine - Galleri Markov trace - Stage 1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</si>
  <si>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</si>
  <si>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</si>
  <si>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</si>
  <si>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</si>
  <si>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</si>
  <si>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</si>
  <si>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</si>
  <si>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</si>
  <si>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</si>
  <si>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</si>
  <si>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</si>
  <si>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</si>
  <si>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</si>
  <si>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</si>
  <si>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</si>
  <si>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</si>
  <si>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</si>
  <si>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</si>
  <si>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</si>
  <si>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</si>
  <si>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</si>
  <si>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</si>
  <si>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</si>
  <si>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</si>
  <si>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</si>
  <si>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</si>
  <si>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</si>
  <si>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</si>
  <si>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</si>
  <si>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</si>
  <si>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</si>
  <si>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</si>
  <si>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</si>
  <si>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</si>
  <si>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</si>
  <si>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</si>
  <si>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</si>
  <si>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</si>
  <si>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</si>
  <si>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</si>
  <si>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</si>
  <si>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</si>
  <si>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</si>
  <si>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</si>
  <si>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</si>
  <si>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</si>
  <si>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</si>
  <si>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</si>
  <si>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</si>
  <si>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</si>
  <si>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</si>
  <si>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</si>
  <si>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</si>
  <si>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</si>
  <si>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</si>
  <si>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</si>
  <si>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</si>
  <si>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</si>
  <si>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</si>
  <si>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</si>
  <si>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</si>
  <si>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</si>
  <si>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</si>
  <si>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</si>
  <si>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</si>
  <si>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</si>
  <si>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</si>
  <si>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</si>
  <si>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</si>
  <si>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</si>
  <si>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</si>
  <si>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</si>
  <si>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</si>
  <si>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</si>
  <si>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</si>
  <si>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</si>
  <si>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</si>
  <si>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</si>
  <si>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</si>
  <si>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</si>
  <si>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</si>
  <si>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</si>
  <si>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</si>
  <si>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</si>
  <si>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</si>
  <si>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</si>
  <si>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</si>
  <si>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</si>
  <si>
    <t>one</t>
  </si>
  <si>
    <t>two</t>
  </si>
  <si>
    <t>three</t>
  </si>
  <si>
    <t>four</t>
  </si>
  <si>
    <t>Engine - Galleri Markov trace - Stage 4</t>
  </si>
  <si>
    <t>Post-diagnosis calculation - QALYs Galleri Stage 1</t>
  </si>
  <si>
    <t>Post-diagnosis calculation - QALYs Galleri stage 2</t>
  </si>
  <si>
    <t>Post-diagnosis calculation - QALYs Galleri stage 3</t>
  </si>
  <si>
    <t>Post-diagnosis calculation - QALYs Galleri stage 4</t>
  </si>
  <si>
    <t>Per patient QALYs 4 to 1</t>
  </si>
  <si>
    <t>Per patient QALYs 4 to 2</t>
  </si>
  <si>
    <t>Per patient QALYs 4 to 3</t>
  </si>
  <si>
    <t>Per patient QALYs 4 to 4</t>
  </si>
  <si>
    <t>No. patients</t>
  </si>
  <si>
    <t>Total undiagnosed</t>
  </si>
  <si>
    <t>Sum any modifier</t>
  </si>
  <si>
    <t>Proportion</t>
  </si>
  <si>
    <t>Expected QALYs</t>
  </si>
  <si>
    <t>Expected QALYs for undiagnosed lung cancer</t>
  </si>
  <si>
    <t>Per 100,000</t>
  </si>
  <si>
    <t>150 per 100,00 roughly in those 50 to 59</t>
  </si>
  <si>
    <t>3X multiplier</t>
  </si>
  <si>
    <t>6X multiplier</t>
  </si>
  <si>
    <t>300 per 100,00 roughly in those 70 to79</t>
  </si>
  <si>
    <t>5 mutpplier</t>
  </si>
  <si>
    <t>Total</t>
  </si>
  <si>
    <t xml:space="preserve">w/modifier </t>
  </si>
  <si>
    <t>%</t>
  </si>
  <si>
    <t>Simple average</t>
  </si>
  <si>
    <t>Value to paste into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</si>
</sst>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00"/>
    <numFmt numFmtId="166" formatCode="0.0000"/>
    <numFmt numFmtId="167" formatCode="0.0"/>
  </numFmts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b/>
      <sz val="12"/>
      <color theme="9" tint="0.59999389629810485"/>
      <name val="Aptos Narrow"/>
      <scheme val="minor"/>
    </font>
    <font>
      <sz val="12"/>
      <color theme="9" tint="0.59999389629810485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2E2E2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43" fontId="16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0" xfId="1"/>
    <xf numFmtId="0" fontId="4" fillId="4" borderId="0" xfId="1" applyFill="1"/>
    <xf numFmtId="164" fontId="5" fillId="0" borderId="0" xfId="2" applyNumberFormat="1"/>
    <xf numFmtId="165" fontId="5" fillId="0" borderId="0" xfId="2" applyNumberFormat="1"/>
    <xf numFmtId="164" fontId="4" fillId="0" borderId="0" xfId="1" applyNumberFormat="1"/>
    <xf numFmtId="0" fontId="6" fillId="0" borderId="0" xfId="1" applyFont="1"/>
    <xf numFmtId="0" fontId="5" fillId="0" borderId="0" xfId="2"/>
    <xf numFmtId="165" fontId="4" fillId="0" borderId="0" xfId="1" applyNumberFormat="1"/>
    <xf numFmtId="164" fontId="5" fillId="0" borderId="2" xfId="2" applyNumberFormat="1" applyBorder="1"/>
    <xf numFmtId="164" fontId="5" fillId="0" borderId="1" xfId="2" applyNumberFormat="1" applyBorder="1"/>
    <xf numFmtId="0" fontId="4" fillId="0" borderId="1" xfId="1" applyBorder="1"/>
    <xf numFmtId="0" fontId="4" fillId="0" borderId="3" xfId="1" applyBorder="1"/>
    <xf numFmtId="164" fontId="5" fillId="0" borderId="4" xfId="2" applyNumberFormat="1" applyBorder="1"/>
    <xf numFmtId="0" fontId="4" fillId="0" borderId="5" xfId="1" applyBorder="1"/>
    <xf numFmtId="0" fontId="4" fillId="0" borderId="6" xfId="1" applyBorder="1"/>
    <xf numFmtId="0" fontId="7" fillId="0" borderId="7" xfId="1" applyFont="1" applyBorder="1"/>
    <xf numFmtId="0" fontId="4" fillId="0" borderId="8" xfId="1" applyBorder="1"/>
    <xf numFmtId="0" fontId="7" fillId="0" borderId="9" xfId="1" applyFont="1" applyBorder="1"/>
    <xf numFmtId="0" fontId="7" fillId="0" borderId="0" xfId="1" applyFont="1"/>
    <xf numFmtId="0" fontId="4" fillId="0" borderId="4" xfId="1" applyBorder="1"/>
    <xf numFmtId="0" fontId="8" fillId="0" borderId="0" xfId="2" applyFont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right" vertical="top"/>
    </xf>
    <xf numFmtId="166" fontId="4" fillId="0" borderId="0" xfId="1" applyNumberFormat="1"/>
    <xf numFmtId="0" fontId="4" fillId="0" borderId="13" xfId="1" applyBorder="1"/>
    <xf numFmtId="0" fontId="4" fillId="0" borderId="14" xfId="1" applyBorder="1"/>
    <xf numFmtId="0" fontId="7" fillId="0" borderId="14" xfId="1" applyFont="1" applyBorder="1"/>
    <xf numFmtId="0" fontId="7" fillId="0" borderId="15" xfId="1" applyFont="1" applyBorder="1"/>
    <xf numFmtId="0" fontId="4" fillId="0" borderId="2" xfId="1" applyBorder="1"/>
    <xf numFmtId="0" fontId="4" fillId="0" borderId="16" xfId="1" applyBorder="1"/>
    <xf numFmtId="0" fontId="4" fillId="0" borderId="17" xfId="1" applyBorder="1"/>
    <xf numFmtId="0" fontId="7" fillId="0" borderId="18" xfId="1" applyFont="1" applyBorder="1"/>
    <xf numFmtId="2" fontId="7" fillId="0" borderId="6" xfId="1" applyNumberFormat="1" applyFont="1" applyBorder="1"/>
    <xf numFmtId="0" fontId="4" fillId="0" borderId="19" xfId="1" applyBorder="1"/>
    <xf numFmtId="0" fontId="7" fillId="0" borderId="20" xfId="1" applyFont="1" applyBorder="1"/>
    <xf numFmtId="2" fontId="7" fillId="0" borderId="21" xfId="1" applyNumberFormat="1" applyFont="1" applyBorder="1"/>
    <xf numFmtId="0" fontId="7" fillId="0" borderId="22" xfId="1" applyFont="1" applyBorder="1"/>
    <xf numFmtId="0" fontId="4" fillId="0" borderId="23" xfId="1" applyBorder="1"/>
    <xf numFmtId="0" fontId="7" fillId="0" borderId="24" xfId="1" applyFont="1" applyBorder="1"/>
    <xf numFmtId="0" fontId="7" fillId="0" borderId="8" xfId="1" applyFont="1" applyBorder="1"/>
    <xf numFmtId="0" fontId="4" fillId="0" borderId="25" xfId="1" applyBorder="1"/>
    <xf numFmtId="0" fontId="4" fillId="0" borderId="26" xfId="1" applyBorder="1"/>
    <xf numFmtId="0" fontId="4" fillId="0" borderId="27" xfId="1" applyBorder="1"/>
    <xf numFmtId="0" fontId="10" fillId="0" borderId="0" xfId="1" applyFont="1"/>
    <xf numFmtId="0" fontId="4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wrapText="1"/>
    </xf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wrapText="1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2" fillId="0" borderId="4" xfId="0" applyFont="1" applyBorder="1"/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15" fillId="0" borderId="4" xfId="0" applyFont="1" applyBorder="1"/>
    <xf numFmtId="0" fontId="15" fillId="0" borderId="1" xfId="0" applyFont="1" applyBorder="1"/>
    <xf numFmtId="2" fontId="0" fillId="5" borderId="0" xfId="0" applyNumberFormat="1" applyFill="1"/>
    <xf numFmtId="2" fontId="0" fillId="6" borderId="0" xfId="0" applyNumberFormat="1" applyFill="1"/>
    <xf numFmtId="0" fontId="0" fillId="6" borderId="0" xfId="0" applyFill="1"/>
    <xf numFmtId="0" fontId="0" fillId="6" borderId="4" xfId="0" applyFill="1" applyBorder="1"/>
    <xf numFmtId="0" fontId="0" fillId="7" borderId="4" xfId="0" applyFill="1" applyBorder="1"/>
    <xf numFmtId="0" fontId="1" fillId="2" borderId="0" xfId="0" applyFont="1" applyFill="1" applyAlignment="1">
      <alignment horizontal="center"/>
    </xf>
    <xf numFmtId="167" fontId="0" fillId="0" borderId="0" xfId="3" applyNumberFormat="1" applyFont="1"/>
    <xf numFmtId="167" fontId="0" fillId="6" borderId="0" xfId="3" applyNumberFormat="1" applyFont="1" applyFill="1"/>
    <xf numFmtId="0" fontId="18" fillId="0" borderId="0" xfId="0" applyFont="1"/>
    <xf numFmtId="0" fontId="9" fillId="0" borderId="0" xfId="2" applyFont="1" applyAlignment="1">
      <alignment wrapText="1"/>
    </xf>
    <xf numFmtId="0" fontId="4" fillId="0" borderId="0" xfId="1" applyAlignment="1">
      <alignment wrapText="1"/>
    </xf>
    <xf numFmtId="0" fontId="4" fillId="0" borderId="4" xfId="1" applyBorder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1" fillId="0" borderId="0" xfId="0" applyFont="1"/>
  </cellXfs>
  <cellStyles count="4">
    <cellStyle name="Comma" xfId="3" builtinId="3"/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15</v>
      </c>
      <c r="B1" t="s">
        <v>3</v>
      </c>
      <c r="C1" t="s">
        <v>7</v>
      </c>
      <c r="E1" t="s">
        <v>8</v>
      </c>
      <c r="F1" t="s">
        <v>5</v>
      </c>
      <c r="G1" t="s">
        <v>6</v>
      </c>
    </row>
    <row r="2" spans="1:7" x14ac:dyDescent="0.2">
      <c r="A2" t="s">
        <v>16</v>
      </c>
      <c r="B2" t="s">
        <v>9</v>
      </c>
      <c r="C2" s="1">
        <v>4.4349020000000001</v>
      </c>
      <c r="D2" s="1">
        <v>0.77200000000000002</v>
      </c>
      <c r="E2">
        <v>26.24</v>
      </c>
      <c r="F2" s="1">
        <v>4.4349020000000001</v>
      </c>
      <c r="G2">
        <v>28.64</v>
      </c>
    </row>
    <row r="3" spans="1:7" x14ac:dyDescent="0.2">
      <c r="A3" t="s">
        <v>16</v>
      </c>
      <c r="B3" t="s">
        <v>10</v>
      </c>
      <c r="C3" s="1">
        <v>10.150356</v>
      </c>
      <c r="D3" s="1">
        <v>0.69</v>
      </c>
      <c r="E3">
        <v>21.42</v>
      </c>
      <c r="F3" s="1">
        <v>10.150356</v>
      </c>
      <c r="G3">
        <v>23.38</v>
      </c>
    </row>
    <row r="4" spans="1:7" x14ac:dyDescent="0.2">
      <c r="A4" t="s">
        <v>16</v>
      </c>
      <c r="B4" t="s">
        <v>11</v>
      </c>
      <c r="C4" s="1">
        <v>20.912485</v>
      </c>
      <c r="D4" s="1">
        <v>0.67400000000000004</v>
      </c>
      <c r="E4">
        <v>17.7</v>
      </c>
      <c r="F4" s="1">
        <v>20.912485</v>
      </c>
      <c r="G4">
        <v>19.41</v>
      </c>
    </row>
    <row r="5" spans="1:7" x14ac:dyDescent="0.2">
      <c r="A5" t="s">
        <v>16</v>
      </c>
      <c r="B5" t="s">
        <v>12</v>
      </c>
      <c r="C5" s="1">
        <v>35.535290000000003</v>
      </c>
      <c r="D5" s="1">
        <v>0.64300000000000002</v>
      </c>
      <c r="E5">
        <v>13.55</v>
      </c>
      <c r="F5" s="1">
        <v>35.535290000000003</v>
      </c>
      <c r="G5">
        <v>14.89</v>
      </c>
    </row>
    <row r="6" spans="1:7" x14ac:dyDescent="0.2">
      <c r="A6" t="s">
        <v>16</v>
      </c>
      <c r="B6" t="s">
        <v>13</v>
      </c>
      <c r="C6" s="1">
        <v>56.038108999999999</v>
      </c>
      <c r="D6" s="1">
        <v>0.54900000000000004</v>
      </c>
      <c r="E6">
        <v>10.08</v>
      </c>
      <c r="F6" s="1">
        <v>56.038108999999999</v>
      </c>
      <c r="G6">
        <v>11.06</v>
      </c>
    </row>
    <row r="7" spans="1:7" x14ac:dyDescent="0.2">
      <c r="A7" t="s">
        <v>16</v>
      </c>
      <c r="B7" t="s">
        <v>14</v>
      </c>
      <c r="C7" s="1">
        <v>71.974258000000006</v>
      </c>
      <c r="D7" s="1">
        <v>0.47899999999999998</v>
      </c>
      <c r="E7">
        <v>9.18</v>
      </c>
      <c r="F7" s="1">
        <v>71.974258000000006</v>
      </c>
      <c r="G7">
        <v>10.17</v>
      </c>
    </row>
    <row r="8" spans="1:7" x14ac:dyDescent="0.2">
      <c r="A8" t="s">
        <v>17</v>
      </c>
      <c r="B8" t="s">
        <v>9</v>
      </c>
      <c r="C8" s="1">
        <v>1.8562669999999999</v>
      </c>
      <c r="D8" s="1">
        <v>0.46899999999999997</v>
      </c>
      <c r="E8">
        <v>18.059999999999999</v>
      </c>
      <c r="F8" s="1">
        <v>1.8562669999999999</v>
      </c>
      <c r="G8">
        <v>20.43</v>
      </c>
    </row>
    <row r="9" spans="1:7" x14ac:dyDescent="0.2">
      <c r="A9" t="s">
        <v>17</v>
      </c>
      <c r="B9" t="s">
        <v>10</v>
      </c>
      <c r="C9" s="1">
        <v>4.5079370000000001</v>
      </c>
      <c r="D9" s="1">
        <v>0.52500000000000002</v>
      </c>
      <c r="E9">
        <v>14.47</v>
      </c>
      <c r="F9" s="1">
        <v>4.5079370000000001</v>
      </c>
      <c r="G9">
        <v>17</v>
      </c>
    </row>
    <row r="10" spans="1:7" x14ac:dyDescent="0.2">
      <c r="A10" t="s">
        <v>17</v>
      </c>
      <c r="B10" t="s">
        <v>11</v>
      </c>
      <c r="C10" s="1">
        <v>9.6236929999999994</v>
      </c>
      <c r="D10" s="1">
        <v>0.48399999999999999</v>
      </c>
      <c r="E10">
        <v>13.07</v>
      </c>
      <c r="F10" s="1">
        <v>9.6236929999999994</v>
      </c>
      <c r="G10">
        <v>13.39</v>
      </c>
    </row>
    <row r="11" spans="1:7" x14ac:dyDescent="0.2">
      <c r="A11" t="s">
        <v>17</v>
      </c>
      <c r="B11" t="s">
        <v>12</v>
      </c>
      <c r="C11" s="1">
        <v>15.235882999999999</v>
      </c>
      <c r="D11" s="1">
        <v>0.39</v>
      </c>
      <c r="E11">
        <v>9.01</v>
      </c>
      <c r="F11" s="1">
        <v>15.235882999999999</v>
      </c>
      <c r="G11">
        <v>9.86</v>
      </c>
    </row>
    <row r="12" spans="1:7" x14ac:dyDescent="0.2">
      <c r="A12" t="s">
        <v>17</v>
      </c>
      <c r="B12" t="s">
        <v>13</v>
      </c>
      <c r="C12" s="1">
        <v>23.261631000000001</v>
      </c>
      <c r="D12" s="1">
        <v>0.312</v>
      </c>
      <c r="E12">
        <v>7.18</v>
      </c>
      <c r="F12" s="1">
        <v>23.261631000000001</v>
      </c>
      <c r="G12">
        <v>7.61</v>
      </c>
    </row>
    <row r="13" spans="1:7" x14ac:dyDescent="0.2">
      <c r="A13" t="s">
        <v>17</v>
      </c>
      <c r="B13" t="s">
        <v>14</v>
      </c>
      <c r="C13" s="1">
        <v>30.003927000000001</v>
      </c>
      <c r="D13" s="1">
        <v>0.27</v>
      </c>
      <c r="E13">
        <v>7.25</v>
      </c>
      <c r="F13" s="1">
        <v>30.003927000000001</v>
      </c>
      <c r="G13">
        <v>8.2200000000000006</v>
      </c>
    </row>
    <row r="14" spans="1:7" x14ac:dyDescent="0.2">
      <c r="A14" t="s">
        <v>18</v>
      </c>
      <c r="B14" t="s">
        <v>9</v>
      </c>
      <c r="C14" s="1">
        <v>6.7158340000000001</v>
      </c>
      <c r="D14" s="1">
        <v>0.23499999999999999</v>
      </c>
      <c r="E14">
        <v>10.050000000000001</v>
      </c>
      <c r="F14" s="1">
        <v>6.7158340000000001</v>
      </c>
      <c r="G14">
        <v>10.83</v>
      </c>
    </row>
    <row r="15" spans="1:7" x14ac:dyDescent="0.2">
      <c r="A15" t="s">
        <v>18</v>
      </c>
      <c r="B15" t="s">
        <v>10</v>
      </c>
      <c r="C15" s="1">
        <v>14.493369</v>
      </c>
      <c r="D15" s="1">
        <v>0.18</v>
      </c>
      <c r="E15">
        <v>7.57</v>
      </c>
      <c r="F15" s="1">
        <v>14.493369</v>
      </c>
      <c r="G15">
        <v>8.2899999999999991</v>
      </c>
    </row>
    <row r="16" spans="1:7" x14ac:dyDescent="0.2">
      <c r="A16" t="s">
        <v>18</v>
      </c>
      <c r="B16" t="s">
        <v>11</v>
      </c>
      <c r="C16" s="1">
        <v>26.968920000000001</v>
      </c>
      <c r="D16" s="1">
        <v>0.17499999999999999</v>
      </c>
      <c r="E16">
        <v>6.48</v>
      </c>
      <c r="F16" s="1">
        <v>26.968920000000001</v>
      </c>
      <c r="G16">
        <v>6.97</v>
      </c>
    </row>
    <row r="17" spans="1:7" x14ac:dyDescent="0.2">
      <c r="A17" t="s">
        <v>18</v>
      </c>
      <c r="B17" t="s">
        <v>12</v>
      </c>
      <c r="C17" s="1">
        <v>41.374766999999999</v>
      </c>
      <c r="D17" s="1">
        <v>0.13800000000000001</v>
      </c>
      <c r="E17">
        <v>4.51</v>
      </c>
      <c r="F17" s="1">
        <v>41.374766999999999</v>
      </c>
      <c r="G17">
        <v>4.63</v>
      </c>
    </row>
    <row r="18" spans="1:7" x14ac:dyDescent="0.2">
      <c r="A18" t="s">
        <v>18</v>
      </c>
      <c r="B18" t="s">
        <v>13</v>
      </c>
      <c r="C18" s="1">
        <v>58.420326000000003</v>
      </c>
      <c r="D18" s="1">
        <v>0.112</v>
      </c>
      <c r="E18">
        <v>3.46</v>
      </c>
      <c r="F18" s="1">
        <v>58.420326000000003</v>
      </c>
      <c r="G18">
        <v>3.7</v>
      </c>
    </row>
    <row r="19" spans="1:7" x14ac:dyDescent="0.2">
      <c r="A19" t="s">
        <v>18</v>
      </c>
      <c r="B19" t="s">
        <v>14</v>
      </c>
      <c r="C19" s="1">
        <v>73.279182000000006</v>
      </c>
      <c r="D19" s="1">
        <v>9.6000000000000002E-2</v>
      </c>
      <c r="E19">
        <v>4.55</v>
      </c>
      <c r="F19" s="1">
        <v>73.279182000000006</v>
      </c>
      <c r="G19">
        <v>4.97</v>
      </c>
    </row>
    <row r="20" spans="1:7" x14ac:dyDescent="0.2">
      <c r="A20" t="s">
        <v>19</v>
      </c>
      <c r="B20" t="s">
        <v>9</v>
      </c>
      <c r="C20" s="1">
        <v>17.516331000000001</v>
      </c>
      <c r="D20" s="1">
        <v>5.5E-2</v>
      </c>
      <c r="E20">
        <v>3.06</v>
      </c>
      <c r="F20" s="1">
        <v>17.516331000000001</v>
      </c>
      <c r="G20">
        <v>2.87</v>
      </c>
    </row>
    <row r="21" spans="1:7" x14ac:dyDescent="0.2">
      <c r="A21" t="s">
        <v>19</v>
      </c>
      <c r="B21" t="s">
        <v>10</v>
      </c>
      <c r="C21" s="1">
        <v>35.513751999999997</v>
      </c>
      <c r="D21" s="1">
        <v>4.4999999999999998E-2</v>
      </c>
      <c r="E21">
        <v>2.2000000000000002</v>
      </c>
      <c r="F21" s="1">
        <v>35.513751999999997</v>
      </c>
      <c r="G21">
        <v>2.34</v>
      </c>
    </row>
    <row r="22" spans="1:7" x14ac:dyDescent="0.2">
      <c r="A22" t="s">
        <v>19</v>
      </c>
      <c r="B22" t="s">
        <v>11</v>
      </c>
      <c r="C22" s="1">
        <v>65.085517999999993</v>
      </c>
      <c r="D22" s="1">
        <v>3.5000000000000003E-2</v>
      </c>
      <c r="E22">
        <v>1.83</v>
      </c>
      <c r="F22" s="1">
        <v>65.085517999999993</v>
      </c>
      <c r="G22">
        <v>1.94</v>
      </c>
    </row>
    <row r="23" spans="1:7" x14ac:dyDescent="0.2">
      <c r="A23" t="s">
        <v>19</v>
      </c>
      <c r="B23" t="s">
        <v>12</v>
      </c>
      <c r="C23" s="1">
        <v>99.622283999999993</v>
      </c>
      <c r="D23" s="1">
        <v>2.7E-2</v>
      </c>
      <c r="E23">
        <v>1.39</v>
      </c>
      <c r="F23" s="1">
        <v>99.622283999999993</v>
      </c>
      <c r="G23">
        <v>1.51</v>
      </c>
    </row>
    <row r="24" spans="1:7" x14ac:dyDescent="0.2">
      <c r="A24" t="s">
        <v>19</v>
      </c>
      <c r="B24" t="s">
        <v>13</v>
      </c>
      <c r="C24" s="1">
        <v>138.44874999999999</v>
      </c>
      <c r="D24" s="1">
        <v>2.3E-2</v>
      </c>
      <c r="E24">
        <v>1.1399999999999999</v>
      </c>
      <c r="F24" s="1">
        <v>138.44874999999999</v>
      </c>
      <c r="G24">
        <v>1.28</v>
      </c>
    </row>
    <row r="25" spans="1:7" x14ac:dyDescent="0.2">
      <c r="A25" t="s">
        <v>19</v>
      </c>
      <c r="B25" t="s">
        <v>14</v>
      </c>
      <c r="C25" s="1">
        <v>169.87109000000001</v>
      </c>
      <c r="D25" s="1">
        <v>1.7999999999999999E-2</v>
      </c>
      <c r="E25">
        <v>4.12</v>
      </c>
      <c r="F25" s="1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K10" sqref="K1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3" t="s">
        <v>15</v>
      </c>
      <c r="B1" s="3" t="s">
        <v>3</v>
      </c>
      <c r="C1" s="3" t="s">
        <v>4</v>
      </c>
      <c r="D1" s="3" t="s">
        <v>20</v>
      </c>
      <c r="E1" s="3" t="s">
        <v>8</v>
      </c>
      <c r="F1" s="3" t="s">
        <v>6</v>
      </c>
      <c r="G1" s="3" t="s">
        <v>21</v>
      </c>
    </row>
    <row r="2" spans="1:7" x14ac:dyDescent="0.2">
      <c r="A2" t="s">
        <v>16</v>
      </c>
      <c r="B2" t="s">
        <v>9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16" si="0">SUM(E2*(1-0.53) + F2*0.53)</f>
        <v>27.512</v>
      </c>
    </row>
    <row r="3" spans="1:7" x14ac:dyDescent="0.2">
      <c r="A3" t="s">
        <v>16</v>
      </c>
      <c r="B3" t="s">
        <v>10</v>
      </c>
      <c r="C3">
        <v>10.150356</v>
      </c>
      <c r="D3">
        <v>0.69</v>
      </c>
      <c r="E3">
        <v>21.42</v>
      </c>
      <c r="F3">
        <v>23.38</v>
      </c>
      <c r="G3">
        <f t="shared" si="0"/>
        <v>22.458800000000004</v>
      </c>
    </row>
    <row r="4" spans="1:7" x14ac:dyDescent="0.2">
      <c r="A4" t="s">
        <v>16</v>
      </c>
      <c r="B4" t="s">
        <v>11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18.606299999999997</v>
      </c>
    </row>
    <row r="5" spans="1:7" x14ac:dyDescent="0.2">
      <c r="A5" t="s">
        <v>16</v>
      </c>
      <c r="B5" t="s">
        <v>12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14.260200000000001</v>
      </c>
    </row>
    <row r="6" spans="1:7" x14ac:dyDescent="0.2">
      <c r="A6" t="s">
        <v>16</v>
      </c>
      <c r="B6" t="s">
        <v>13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10.599399999999999</v>
      </c>
    </row>
    <row r="7" spans="1:7" x14ac:dyDescent="0.2">
      <c r="A7" s="2" t="s">
        <v>16</v>
      </c>
      <c r="B7" s="2" t="s">
        <v>14</v>
      </c>
      <c r="C7" s="2">
        <v>71.974258000000006</v>
      </c>
      <c r="D7" s="2">
        <v>0.47899999999999998</v>
      </c>
      <c r="E7" s="2">
        <v>9.18</v>
      </c>
      <c r="F7" s="2">
        <v>10.17</v>
      </c>
      <c r="G7">
        <f t="shared" si="0"/>
        <v>9.704699999999999</v>
      </c>
    </row>
    <row r="8" spans="1:7" x14ac:dyDescent="0.2">
      <c r="A8" t="s">
        <v>17</v>
      </c>
      <c r="B8" t="s">
        <v>9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19.316099999999999</v>
      </c>
    </row>
    <row r="9" spans="1:7" x14ac:dyDescent="0.2">
      <c r="A9" t="s">
        <v>17</v>
      </c>
      <c r="B9" t="s">
        <v>10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15.8109</v>
      </c>
    </row>
    <row r="10" spans="1:7" x14ac:dyDescent="0.2">
      <c r="A10" t="s">
        <v>17</v>
      </c>
      <c r="B10" t="s">
        <v>11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13.239599999999999</v>
      </c>
    </row>
    <row r="11" spans="1:7" x14ac:dyDescent="0.2">
      <c r="A11" t="s">
        <v>17</v>
      </c>
      <c r="B11" t="s">
        <v>12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9.4604999999999997</v>
      </c>
    </row>
    <row r="12" spans="1:7" x14ac:dyDescent="0.2">
      <c r="A12" t="s">
        <v>17</v>
      </c>
      <c r="B12" t="s">
        <v>13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7.4078999999999997</v>
      </c>
    </row>
    <row r="13" spans="1:7" x14ac:dyDescent="0.2">
      <c r="A13" s="2" t="s">
        <v>17</v>
      </c>
      <c r="B13" s="2" t="s">
        <v>14</v>
      </c>
      <c r="C13" s="2">
        <v>30.003927000000001</v>
      </c>
      <c r="D13" s="2">
        <v>0.27</v>
      </c>
      <c r="E13" s="2">
        <f>E12</f>
        <v>7.18</v>
      </c>
      <c r="F13" s="2">
        <f>F12</f>
        <v>7.61</v>
      </c>
      <c r="G13">
        <f t="shared" si="0"/>
        <v>7.4078999999999997</v>
      </c>
    </row>
    <row r="14" spans="1:7" x14ac:dyDescent="0.2">
      <c r="A14" t="s">
        <v>18</v>
      </c>
      <c r="B14" t="s">
        <v>9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10.4634</v>
      </c>
    </row>
    <row r="15" spans="1:7" x14ac:dyDescent="0.2">
      <c r="A15" t="s">
        <v>18</v>
      </c>
      <c r="B15" t="s">
        <v>10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7.9516</v>
      </c>
    </row>
    <row r="16" spans="1:7" x14ac:dyDescent="0.2">
      <c r="A16" t="s">
        <v>18</v>
      </c>
      <c r="B16" t="s">
        <v>11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6.7397</v>
      </c>
    </row>
    <row r="17" spans="1:7" x14ac:dyDescent="0.2">
      <c r="A17" t="s">
        <v>18</v>
      </c>
      <c r="B17" t="s">
        <v>12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17:G25" si="1">SUM(E17*(1-0.53) + F17*0.53)</f>
        <v>4.5735999999999999</v>
      </c>
    </row>
    <row r="18" spans="1:7" x14ac:dyDescent="0.2">
      <c r="A18" t="s">
        <v>18</v>
      </c>
      <c r="B18" t="s">
        <v>13</v>
      </c>
      <c r="C18">
        <v>58.420326000000003</v>
      </c>
      <c r="D18">
        <v>0.112</v>
      </c>
      <c r="E18">
        <v>3.46</v>
      </c>
      <c r="F18">
        <v>3.7</v>
      </c>
      <c r="G18">
        <f t="shared" si="1"/>
        <v>3.5872000000000002</v>
      </c>
    </row>
    <row r="19" spans="1:7" x14ac:dyDescent="0.2">
      <c r="A19" s="2" t="s">
        <v>18</v>
      </c>
      <c r="B19" s="2" t="s">
        <v>14</v>
      </c>
      <c r="C19" s="2">
        <v>73.279182000000006</v>
      </c>
      <c r="D19" s="2">
        <v>9.6000000000000002E-2</v>
      </c>
      <c r="E19" s="2">
        <f>E18</f>
        <v>3.46</v>
      </c>
      <c r="F19" s="2">
        <f>F18</f>
        <v>3.7</v>
      </c>
      <c r="G19">
        <f>SUM(E19*(1-0.53) + F19*0.53)</f>
        <v>3.5872000000000002</v>
      </c>
    </row>
    <row r="20" spans="1:7" x14ac:dyDescent="0.2">
      <c r="A20" t="s">
        <v>19</v>
      </c>
      <c r="B20" t="s">
        <v>9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19</v>
      </c>
      <c r="B21" t="s">
        <v>10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19</v>
      </c>
      <c r="B22" t="s">
        <v>11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19</v>
      </c>
      <c r="B23" t="s">
        <v>12</v>
      </c>
      <c r="C23">
        <v>99.622283999999993</v>
      </c>
      <c r="D23">
        <v>2.7E-2</v>
      </c>
      <c r="E23">
        <v>1.39</v>
      </c>
      <c r="F23">
        <v>1.51</v>
      </c>
      <c r="G23">
        <f t="shared" si="1"/>
        <v>1.4535999999999998</v>
      </c>
    </row>
    <row r="24" spans="1:7" x14ac:dyDescent="0.2">
      <c r="A24" t="s">
        <v>19</v>
      </c>
      <c r="B24" t="s">
        <v>13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1"/>
        <v>1.2141999999999999</v>
      </c>
    </row>
    <row r="25" spans="1:7" x14ac:dyDescent="0.2">
      <c r="A25" s="2" t="s">
        <v>19</v>
      </c>
      <c r="B25" s="2" t="s">
        <v>14</v>
      </c>
      <c r="C25" s="2">
        <v>169.87109000000001</v>
      </c>
      <c r="D25" s="2">
        <v>1.7999999999999999E-2</v>
      </c>
      <c r="E25" s="2">
        <f>E24</f>
        <v>1.1399999999999999</v>
      </c>
      <c r="F25" s="2">
        <f>F24</f>
        <v>1.28</v>
      </c>
      <c r="G25">
        <f t="shared" si="1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2" customWidth="1"/>
    <col min="2" max="3" width="8.83203125" style="12"/>
    <col min="4" max="4" width="15.83203125" style="12" bestFit="1" customWidth="1"/>
    <col min="5" max="15" width="8.83203125" style="12"/>
    <col min="16" max="16" width="12" style="12" customWidth="1"/>
    <col min="17" max="17" width="11.83203125" style="12" bestFit="1" customWidth="1"/>
    <col min="18" max="23" width="8.83203125" style="12"/>
    <col min="24" max="24" width="2.5" style="13" customWidth="1"/>
    <col min="25" max="25" width="16" style="12" bestFit="1" customWidth="1"/>
    <col min="26" max="16384" width="8.83203125" style="12"/>
  </cols>
  <sheetData>
    <row r="1" spans="1:28" ht="20" thickBot="1" x14ac:dyDescent="0.3">
      <c r="A1" s="56" t="s">
        <v>86</v>
      </c>
      <c r="N1" s="30" t="s">
        <v>85</v>
      </c>
      <c r="Y1" s="30" t="s">
        <v>83</v>
      </c>
    </row>
    <row r="2" spans="1:28" ht="16" thickTop="1" x14ac:dyDescent="0.2">
      <c r="A2" s="55" t="s">
        <v>84</v>
      </c>
      <c r="B2" s="54"/>
      <c r="C2" s="54"/>
      <c r="D2" s="54"/>
      <c r="E2" s="53"/>
      <c r="J2" s="29" t="s">
        <v>83</v>
      </c>
      <c r="K2" s="52"/>
      <c r="Y2" s="30"/>
      <c r="Z2" s="30" t="s">
        <v>52</v>
      </c>
      <c r="AA2" s="30" t="s">
        <v>51</v>
      </c>
      <c r="AB2" s="30" t="s">
        <v>82</v>
      </c>
    </row>
    <row r="3" spans="1:28" x14ac:dyDescent="0.2">
      <c r="A3" s="51" t="s">
        <v>81</v>
      </c>
      <c r="B3" s="38">
        <v>3.5000000000000003E-2</v>
      </c>
      <c r="C3" s="38"/>
      <c r="D3" s="39" t="s">
        <v>80</v>
      </c>
      <c r="E3" s="50">
        <v>1</v>
      </c>
      <c r="F3" s="38" t="s">
        <v>79</v>
      </c>
      <c r="G3" s="38"/>
      <c r="H3" s="38"/>
      <c r="I3" s="38"/>
      <c r="J3" s="49" t="s">
        <v>44</v>
      </c>
      <c r="K3" s="48">
        <f>Z9</f>
        <v>-0.48098125671132408</v>
      </c>
      <c r="Y3" s="30" t="s">
        <v>78</v>
      </c>
      <c r="Z3" s="12">
        <f>SUMIF(P9:P109,"&lt;&gt;#N/A")</f>
        <v>9.0301057007384316</v>
      </c>
      <c r="AA3" s="12">
        <f>SUMIF(Q9:Q109,"&lt;&gt;#N/A")</f>
        <v>10.319695006126206</v>
      </c>
      <c r="AB3" s="12">
        <f>(Z3*(1-Female))+(AA3*Female)</f>
        <v>9.7135880325939521</v>
      </c>
    </row>
    <row r="4" spans="1:28" ht="16" thickBot="1" x14ac:dyDescent="0.25">
      <c r="A4" s="47" t="s">
        <v>77</v>
      </c>
      <c r="B4" s="12">
        <v>0.53</v>
      </c>
      <c r="D4" s="30" t="s">
        <v>76</v>
      </c>
      <c r="E4" s="46">
        <v>6.03</v>
      </c>
      <c r="J4" s="27" t="s">
        <v>42</v>
      </c>
      <c r="K4" s="45">
        <f>Z10</f>
        <v>-8.6678614537579704E-2</v>
      </c>
      <c r="Y4" s="30" t="s">
        <v>75</v>
      </c>
      <c r="Z4" s="12">
        <f>SUMIF(R9:R109,"&lt;&gt;#N/A")</f>
        <v>8.5241602070232254</v>
      </c>
      <c r="AA4" s="12">
        <f>SUMIF(S9:S109,"&lt;&gt;#N/A")</f>
        <v>9.8069132005465711</v>
      </c>
      <c r="AB4" s="12">
        <f>(Z4*(1-Female))+(AA4*Female)</f>
        <v>9.2040192935905978</v>
      </c>
    </row>
    <row r="5" spans="1:28" ht="17" thickTop="1" thickBot="1" x14ac:dyDescent="0.25">
      <c r="A5" s="44" t="s">
        <v>74</v>
      </c>
      <c r="B5" s="43">
        <v>80</v>
      </c>
      <c r="C5" s="43"/>
      <c r="D5" s="43"/>
      <c r="E5" s="42"/>
      <c r="F5" s="22"/>
      <c r="G5" s="22"/>
      <c r="H5" s="22"/>
      <c r="I5" s="41"/>
      <c r="J5" s="30"/>
      <c r="Y5" s="30" t="s">
        <v>73</v>
      </c>
      <c r="Z5" s="12">
        <f>SUMIF(T9:T109,"&lt;&gt;#N/A")</f>
        <v>6.4574922011759215</v>
      </c>
      <c r="AA5" s="12">
        <f>SUMIF(U9:U109,"&lt;&gt;#N/A")</f>
        <v>6.7805384616554676</v>
      </c>
      <c r="AB5" s="12">
        <f>(Z5*(1-Female))+(AA5*Female)</f>
        <v>6.628706719230081</v>
      </c>
    </row>
    <row r="6" spans="1:28" ht="43.5" customHeight="1" thickTop="1" thickBot="1" x14ac:dyDescent="0.3">
      <c r="A6" s="88" t="s">
        <v>72</v>
      </c>
      <c r="B6" s="89"/>
      <c r="C6" s="89"/>
      <c r="D6" s="89"/>
      <c r="E6" s="89"/>
      <c r="F6" s="89"/>
      <c r="G6" s="89"/>
      <c r="H6" s="89"/>
      <c r="I6" s="90"/>
      <c r="J6" s="40" t="s">
        <v>71</v>
      </c>
      <c r="K6" s="39"/>
      <c r="L6" s="38"/>
      <c r="M6" s="37"/>
      <c r="Y6" s="30" t="s">
        <v>70</v>
      </c>
      <c r="Z6" s="12">
        <f>SUMIF(V9:V109,"&lt;&gt;#N/A")</f>
        <v>5.4506503367972394</v>
      </c>
      <c r="AA6" s="12">
        <f>SUMIF(W9:W109,"&lt;&gt;#N/A")</f>
        <v>5.6362511037622145</v>
      </c>
      <c r="AB6" s="57">
        <f>(Z6*(1-Female))+(AA6*Female)</f>
        <v>5.5490187432886762</v>
      </c>
    </row>
    <row r="7" spans="1:28" ht="30" customHeight="1" x14ac:dyDescent="0.2">
      <c r="B7" s="12" t="s">
        <v>68</v>
      </c>
      <c r="C7" s="12" t="s">
        <v>59</v>
      </c>
      <c r="D7" s="12" t="s">
        <v>69</v>
      </c>
      <c r="F7" s="12" t="s">
        <v>68</v>
      </c>
      <c r="G7" s="12" t="s">
        <v>59</v>
      </c>
      <c r="H7" s="12" t="s">
        <v>67</v>
      </c>
      <c r="J7" s="25"/>
      <c r="M7" s="31"/>
      <c r="P7" s="91" t="s">
        <v>66</v>
      </c>
      <c r="Q7" s="91"/>
      <c r="R7" s="92" t="s">
        <v>65</v>
      </c>
      <c r="S7" s="92"/>
      <c r="T7" s="30" t="s">
        <v>64</v>
      </c>
      <c r="V7" s="30" t="s">
        <v>63</v>
      </c>
      <c r="Y7" s="30" t="s">
        <v>62</v>
      </c>
      <c r="Z7" s="36" t="e">
        <f>SUM(P9:P47)</f>
        <v>#N/A</v>
      </c>
      <c r="AA7" s="36" t="e">
        <f>SUM(Q9:Q47)</f>
        <v>#N/A</v>
      </c>
      <c r="AB7" s="12" t="e">
        <f>Z7*(1-Female)+AA7*Female</f>
        <v>#N/A</v>
      </c>
    </row>
    <row r="8" spans="1:28" ht="16" thickBot="1" x14ac:dyDescent="0.25">
      <c r="A8" s="35" t="s">
        <v>61</v>
      </c>
      <c r="B8" s="34" t="s">
        <v>60</v>
      </c>
      <c r="C8" s="33" t="s">
        <v>60</v>
      </c>
      <c r="D8" s="32" t="s">
        <v>56</v>
      </c>
      <c r="E8" s="32" t="s">
        <v>59</v>
      </c>
      <c r="F8" s="30" t="s">
        <v>58</v>
      </c>
      <c r="G8" s="12" t="s">
        <v>57</v>
      </c>
      <c r="H8" s="32" t="s">
        <v>56</v>
      </c>
      <c r="I8" s="32" t="s">
        <v>55</v>
      </c>
      <c r="J8" s="25" t="s">
        <v>54</v>
      </c>
      <c r="K8" s="12" t="s">
        <v>53</v>
      </c>
      <c r="L8" s="12" t="s">
        <v>52</v>
      </c>
      <c r="M8" s="31" t="s">
        <v>51</v>
      </c>
      <c r="N8" s="12" t="s">
        <v>50</v>
      </c>
      <c r="O8" s="12" t="s">
        <v>0</v>
      </c>
      <c r="P8" s="12" t="s">
        <v>49</v>
      </c>
      <c r="Q8" s="12" t="s">
        <v>48</v>
      </c>
      <c r="R8" s="12" t="s">
        <v>47</v>
      </c>
      <c r="S8" s="12" t="s">
        <v>46</v>
      </c>
      <c r="T8" s="12" t="s">
        <v>47</v>
      </c>
      <c r="U8" s="12" t="s">
        <v>46</v>
      </c>
      <c r="V8" s="12" t="s">
        <v>47</v>
      </c>
      <c r="W8" s="12" t="s">
        <v>46</v>
      </c>
      <c r="Y8" s="30"/>
    </row>
    <row r="9" spans="1:28" ht="16" thickTop="1" x14ac:dyDescent="0.2">
      <c r="A9" s="17">
        <v>0</v>
      </c>
      <c r="B9" s="19">
        <v>4.3119999999999999E-3</v>
      </c>
      <c r="C9" s="15">
        <v>3.5760000000000002E-3</v>
      </c>
      <c r="D9" s="15">
        <f t="shared" ref="D9:D40" si="0">IF(util=1,F9,IF(util=2,H9,"err"))</f>
        <v>0.94464086000000003</v>
      </c>
      <c r="E9" s="15">
        <f t="shared" ref="E9:E40" si="1">IF(util=1,G9,IF(util=2,I9,"err"))</f>
        <v>0.91032568000000003</v>
      </c>
      <c r="F9" s="12">
        <v>0.94464086000000003</v>
      </c>
      <c r="G9" s="12">
        <v>0.91032568000000003</v>
      </c>
      <c r="H9" s="14">
        <f t="shared" ref="H9:H40" si="2">VLOOKUP($A9,$K$9:$M$26,2)</f>
        <v>0.91600000000000004</v>
      </c>
      <c r="I9" s="14">
        <f t="shared" ref="I9:I40" si="3">VLOOKUP($A9,$K$9:$M$26,3)</f>
        <v>0.88100000000000001</v>
      </c>
      <c r="J9" s="25" t="s">
        <v>45</v>
      </c>
      <c r="K9" s="12">
        <v>0</v>
      </c>
      <c r="L9" s="14">
        <f>L10</f>
        <v>0.91600000000000004</v>
      </c>
      <c r="M9" s="24">
        <f>M10</f>
        <v>0.88100000000000001</v>
      </c>
      <c r="N9" s="17">
        <v>0</v>
      </c>
      <c r="O9" s="12">
        <f t="shared" ref="O9:O40" si="4">Age+N9</f>
        <v>80</v>
      </c>
      <c r="P9" s="16">
        <v>1</v>
      </c>
      <c r="Q9" s="16">
        <v>1</v>
      </c>
      <c r="R9" s="12">
        <f t="shared" ref="R9:R40" si="5">(P9+P10)/2</f>
        <v>0.97355400000000003</v>
      </c>
      <c r="S9" s="12">
        <f t="shared" ref="S9:S40" si="6">(Q9+Q10)/2</f>
        <v>0.98117500000000002</v>
      </c>
      <c r="T9" s="12">
        <f t="shared" ref="T9:T40" si="7">R9*VLOOKUP(O9,lifetable,4,FALSE)</f>
        <v>0.75894717341453999</v>
      </c>
      <c r="U9" s="12">
        <f t="shared" ref="U9:U40" si="8">S9*VLOOKUP(O9,lifetable,5,FALSE)</f>
        <v>0.71476395030950002</v>
      </c>
      <c r="V9" s="12">
        <f t="shared" ref="V9:V40" si="9">T9/(1+Disc)^N9</f>
        <v>0.75894717341453999</v>
      </c>
      <c r="W9" s="12">
        <f t="shared" ref="W9:W40" si="10">U9/(1+Disc)^N9</f>
        <v>0.71476395030950002</v>
      </c>
      <c r="Y9" s="29" t="s">
        <v>44</v>
      </c>
      <c r="Z9" s="28">
        <f>AB6-E4</f>
        <v>-0.48098125671132408</v>
      </c>
    </row>
    <row r="10" spans="1:28" ht="16" thickBot="1" x14ac:dyDescent="0.25">
      <c r="A10" s="17">
        <v>1</v>
      </c>
      <c r="B10" s="19">
        <v>2.42E-4</v>
      </c>
      <c r="C10" s="15">
        <v>2.13E-4</v>
      </c>
      <c r="D10" s="15">
        <f t="shared" si="0"/>
        <v>0.94464086000000003</v>
      </c>
      <c r="E10" s="15">
        <f t="shared" si="1"/>
        <v>0.91032568000000003</v>
      </c>
      <c r="F10" s="12">
        <v>0.94464086000000003</v>
      </c>
      <c r="G10" s="12">
        <v>0.91032568000000003</v>
      </c>
      <c r="H10" s="14">
        <f t="shared" si="2"/>
        <v>0.91600000000000004</v>
      </c>
      <c r="I10" s="14">
        <f t="shared" si="3"/>
        <v>0.88100000000000001</v>
      </c>
      <c r="J10" s="25" t="s">
        <v>43</v>
      </c>
      <c r="K10" s="12">
        <v>16</v>
      </c>
      <c r="L10" s="14">
        <v>0.91600000000000004</v>
      </c>
      <c r="M10" s="24">
        <v>0.88100000000000001</v>
      </c>
      <c r="N10" s="17">
        <v>1</v>
      </c>
      <c r="O10" s="12">
        <f t="shared" si="4"/>
        <v>81</v>
      </c>
      <c r="P10" s="16">
        <f t="shared" ref="P10:P42" si="11">P9-P9*VLOOKUP(O9,lifetable,2,FALSE)</f>
        <v>0.94710799999999995</v>
      </c>
      <c r="Q10" s="16">
        <f t="shared" ref="Q10:Q39" si="12">Q9-Q9*VLOOKUP(O9,lifetable,3,FALSE)</f>
        <v>0.96235000000000004</v>
      </c>
      <c r="R10" s="12">
        <f t="shared" si="5"/>
        <v>0.91922466692600002</v>
      </c>
      <c r="S10" s="12">
        <f t="shared" si="6"/>
        <v>0.94196790817500009</v>
      </c>
      <c r="T10" s="12">
        <f t="shared" si="7"/>
        <v>0.71291686096904938</v>
      </c>
      <c r="U10" s="12">
        <f t="shared" si="8"/>
        <v>0.68071507755559191</v>
      </c>
      <c r="V10" s="12">
        <f t="shared" si="9"/>
        <v>0.68880856132275303</v>
      </c>
      <c r="W10" s="12">
        <f t="shared" si="10"/>
        <v>0.65769572710685209</v>
      </c>
      <c r="Y10" s="27" t="s">
        <v>42</v>
      </c>
      <c r="Z10" s="26">
        <f>Z9/AB6</f>
        <v>-8.6678614537579704E-2</v>
      </c>
    </row>
    <row r="11" spans="1:28" ht="16" thickTop="1" x14ac:dyDescent="0.2">
      <c r="A11" s="17">
        <v>2</v>
      </c>
      <c r="B11" s="19">
        <v>1.3200000000000001E-4</v>
      </c>
      <c r="C11" s="15">
        <v>1.25E-4</v>
      </c>
      <c r="D11" s="15">
        <f t="shared" si="0"/>
        <v>0.94464086000000003</v>
      </c>
      <c r="E11" s="15">
        <f t="shared" si="1"/>
        <v>0.91032568000000003</v>
      </c>
      <c r="F11" s="12">
        <v>0.94464086000000003</v>
      </c>
      <c r="G11" s="12">
        <v>0.91032568000000003</v>
      </c>
      <c r="H11" s="14">
        <f t="shared" si="2"/>
        <v>0.91600000000000004</v>
      </c>
      <c r="I11" s="14">
        <f t="shared" si="3"/>
        <v>0.88100000000000001</v>
      </c>
      <c r="J11" s="25" t="s">
        <v>41</v>
      </c>
      <c r="K11" s="12">
        <v>18</v>
      </c>
      <c r="L11" s="14">
        <v>0.93300000000000005</v>
      </c>
      <c r="M11" s="24">
        <v>0.86399999999999999</v>
      </c>
      <c r="N11" s="17">
        <v>2</v>
      </c>
      <c r="O11" s="12">
        <f t="shared" si="4"/>
        <v>82</v>
      </c>
      <c r="P11" s="16">
        <f t="shared" si="11"/>
        <v>0.89134133385199998</v>
      </c>
      <c r="Q11" s="16">
        <f t="shared" si="12"/>
        <v>0.92158581635000003</v>
      </c>
      <c r="R11" s="12">
        <f t="shared" si="5"/>
        <v>0.8623254994111158</v>
      </c>
      <c r="S11" s="12">
        <f t="shared" si="6"/>
        <v>0.89952120873494834</v>
      </c>
      <c r="T11" s="12">
        <f t="shared" si="7"/>
        <v>0.66530723311906004</v>
      </c>
      <c r="U11" s="12">
        <f t="shared" si="8"/>
        <v>0.64470682866638351</v>
      </c>
      <c r="V11" s="12">
        <f t="shared" si="9"/>
        <v>0.62107142114780756</v>
      </c>
      <c r="W11" s="12">
        <f t="shared" si="10"/>
        <v>0.60184072315935833</v>
      </c>
    </row>
    <row r="12" spans="1:28" x14ac:dyDescent="0.2">
      <c r="A12" s="17">
        <v>3</v>
      </c>
      <c r="B12" s="19">
        <v>1.02E-4</v>
      </c>
      <c r="C12" s="15">
        <v>9.7999999999999997E-5</v>
      </c>
      <c r="D12" s="15">
        <f t="shared" si="0"/>
        <v>0.94464086000000003</v>
      </c>
      <c r="E12" s="15">
        <f t="shared" si="1"/>
        <v>0.91032568000000003</v>
      </c>
      <c r="F12" s="12">
        <v>0.94464086000000003</v>
      </c>
      <c r="G12" s="12">
        <v>0.91032568000000003</v>
      </c>
      <c r="H12" s="14">
        <f t="shared" si="2"/>
        <v>0.91600000000000004</v>
      </c>
      <c r="I12" s="14">
        <f t="shared" si="3"/>
        <v>0.88100000000000001</v>
      </c>
      <c r="J12" s="25" t="s">
        <v>40</v>
      </c>
      <c r="K12" s="12">
        <v>20</v>
      </c>
      <c r="L12" s="14">
        <v>0.89500000000000002</v>
      </c>
      <c r="M12" s="24">
        <v>0.86599999999999999</v>
      </c>
      <c r="N12" s="17">
        <v>3</v>
      </c>
      <c r="O12" s="12">
        <f t="shared" si="4"/>
        <v>83</v>
      </c>
      <c r="P12" s="16">
        <f t="shared" si="11"/>
        <v>0.83330966497023162</v>
      </c>
      <c r="Q12" s="16">
        <f t="shared" si="12"/>
        <v>0.87745660111989665</v>
      </c>
      <c r="R12" s="12">
        <f t="shared" si="5"/>
        <v>0.8027126173466872</v>
      </c>
      <c r="S12" s="12">
        <f t="shared" si="6"/>
        <v>0.85321686251395956</v>
      </c>
      <c r="T12" s="12">
        <f t="shared" si="7"/>
        <v>0.61604618099360575</v>
      </c>
      <c r="U12" s="12">
        <f t="shared" si="8"/>
        <v>0.60637058457439552</v>
      </c>
      <c r="V12" s="12">
        <f t="shared" si="9"/>
        <v>0.55563835930182504</v>
      </c>
      <c r="W12" s="12">
        <f t="shared" si="10"/>
        <v>0.54691152568853074</v>
      </c>
    </row>
    <row r="13" spans="1:28" x14ac:dyDescent="0.2">
      <c r="A13" s="17">
        <v>4</v>
      </c>
      <c r="B13" s="19">
        <v>9.3999999999999994E-5</v>
      </c>
      <c r="C13" s="15">
        <v>6.3999999999999997E-5</v>
      </c>
      <c r="D13" s="15">
        <f t="shared" si="0"/>
        <v>0.94464086000000003</v>
      </c>
      <c r="E13" s="15">
        <f t="shared" si="1"/>
        <v>0.91032568000000003</v>
      </c>
      <c r="F13" s="12">
        <v>0.94464086000000003</v>
      </c>
      <c r="G13" s="12">
        <v>0.91032568000000003</v>
      </c>
      <c r="H13" s="14">
        <f t="shared" si="2"/>
        <v>0.91600000000000004</v>
      </c>
      <c r="I13" s="14">
        <f t="shared" si="3"/>
        <v>0.88100000000000001</v>
      </c>
      <c r="J13" s="25" t="s">
        <v>39</v>
      </c>
      <c r="K13" s="12">
        <v>25</v>
      </c>
      <c r="L13" s="14">
        <v>0.89500000000000002</v>
      </c>
      <c r="M13" s="24">
        <v>0.873</v>
      </c>
      <c r="N13" s="17">
        <v>4</v>
      </c>
      <c r="O13" s="12">
        <f t="shared" si="4"/>
        <v>84</v>
      </c>
      <c r="P13" s="16">
        <f t="shared" si="11"/>
        <v>0.77211556972314266</v>
      </c>
      <c r="Q13" s="16">
        <f t="shared" si="12"/>
        <v>0.82897712390802236</v>
      </c>
      <c r="R13" s="12">
        <f t="shared" si="5"/>
        <v>0.73989094036296243</v>
      </c>
      <c r="S13" s="12">
        <f t="shared" si="6"/>
        <v>0.8030699308316489</v>
      </c>
      <c r="T13" s="12">
        <f t="shared" si="7"/>
        <v>0.56479616366499397</v>
      </c>
      <c r="U13" s="12">
        <f t="shared" si="8"/>
        <v>0.56580124938198206</v>
      </c>
      <c r="V13" s="12">
        <f t="shared" si="9"/>
        <v>0.49218722705982981</v>
      </c>
      <c r="W13" s="12">
        <f t="shared" si="10"/>
        <v>0.49306310119606994</v>
      </c>
    </row>
    <row r="14" spans="1:28" x14ac:dyDescent="0.2">
      <c r="A14" s="17">
        <v>5</v>
      </c>
      <c r="B14" s="19">
        <v>8.8999999999999995E-5</v>
      </c>
      <c r="C14" s="15">
        <v>8.5000000000000006E-5</v>
      </c>
      <c r="D14" s="15">
        <f t="shared" si="0"/>
        <v>0.94464086000000003</v>
      </c>
      <c r="E14" s="15">
        <f t="shared" si="1"/>
        <v>0.91032568000000003</v>
      </c>
      <c r="F14" s="12">
        <v>0.94464086000000003</v>
      </c>
      <c r="G14" s="12">
        <v>0.91032568000000003</v>
      </c>
      <c r="H14" s="14">
        <f t="shared" si="2"/>
        <v>0.91600000000000004</v>
      </c>
      <c r="I14" s="14">
        <f t="shared" si="3"/>
        <v>0.88100000000000001</v>
      </c>
      <c r="J14" s="25" t="s">
        <v>38</v>
      </c>
      <c r="K14" s="12">
        <v>30</v>
      </c>
      <c r="L14" s="14">
        <v>0.91600000000000004</v>
      </c>
      <c r="M14" s="24">
        <v>0.87</v>
      </c>
      <c r="N14" s="17">
        <v>5</v>
      </c>
      <c r="O14" s="12">
        <f t="shared" si="4"/>
        <v>85</v>
      </c>
      <c r="P14" s="16">
        <f t="shared" si="11"/>
        <v>0.70766631100278221</v>
      </c>
      <c r="Q14" s="16">
        <f t="shared" si="12"/>
        <v>0.77716273775527533</v>
      </c>
      <c r="R14" s="12">
        <f t="shared" si="5"/>
        <v>0.67468410724587558</v>
      </c>
      <c r="S14" s="12">
        <f t="shared" si="6"/>
        <v>0.7494156965291987</v>
      </c>
      <c r="T14" s="12">
        <f t="shared" si="7"/>
        <v>0.51222930944388079</v>
      </c>
      <c r="U14" s="12">
        <f t="shared" si="8"/>
        <v>0.52331961882959122</v>
      </c>
      <c r="V14" s="12">
        <f t="shared" si="9"/>
        <v>0.43128333383021927</v>
      </c>
      <c r="W14" s="12">
        <f t="shared" si="10"/>
        <v>0.44062107674514667</v>
      </c>
    </row>
    <row r="15" spans="1:28" x14ac:dyDescent="0.2">
      <c r="A15" s="17">
        <v>6</v>
      </c>
      <c r="B15" s="19">
        <v>8.2999999999999998E-5</v>
      </c>
      <c r="C15" s="15">
        <v>7.8999999999999996E-5</v>
      </c>
      <c r="D15" s="15">
        <f t="shared" si="0"/>
        <v>0.94464086000000003</v>
      </c>
      <c r="E15" s="15">
        <f t="shared" si="1"/>
        <v>0.91032568000000003</v>
      </c>
      <c r="F15" s="12">
        <v>0.94464086000000003</v>
      </c>
      <c r="G15" s="12">
        <v>0.91032568000000003</v>
      </c>
      <c r="H15" s="14">
        <f t="shared" si="2"/>
        <v>0.91600000000000004</v>
      </c>
      <c r="I15" s="14">
        <f t="shared" si="3"/>
        <v>0.88100000000000001</v>
      </c>
      <c r="J15" s="25" t="s">
        <v>37</v>
      </c>
      <c r="K15" s="12">
        <v>35</v>
      </c>
      <c r="L15" s="14">
        <v>0.86199999999999999</v>
      </c>
      <c r="M15" s="24">
        <v>0.85699999999999998</v>
      </c>
      <c r="N15" s="17">
        <v>6</v>
      </c>
      <c r="O15" s="12">
        <f t="shared" si="4"/>
        <v>86</v>
      </c>
      <c r="P15" s="16">
        <f t="shared" si="11"/>
        <v>0.64170190348896883</v>
      </c>
      <c r="Q15" s="16">
        <f t="shared" si="12"/>
        <v>0.72166865530312219</v>
      </c>
      <c r="R15" s="12">
        <f t="shared" si="5"/>
        <v>0.60792079018359901</v>
      </c>
      <c r="S15" s="12">
        <f t="shared" si="6"/>
        <v>0.69222276999511656</v>
      </c>
      <c r="T15" s="12">
        <f t="shared" si="7"/>
        <v>0.45900812446971828</v>
      </c>
      <c r="U15" s="12">
        <f t="shared" si="8"/>
        <v>0.47898684067850611</v>
      </c>
      <c r="V15" s="12">
        <f t="shared" si="9"/>
        <v>0.37340340499860902</v>
      </c>
      <c r="W15" s="12">
        <f t="shared" si="10"/>
        <v>0.38965610350689966</v>
      </c>
    </row>
    <row r="16" spans="1:28" x14ac:dyDescent="0.2">
      <c r="A16" s="17">
        <v>7</v>
      </c>
      <c r="B16" s="19">
        <v>7.2999999999999999E-5</v>
      </c>
      <c r="C16" s="15">
        <v>6.0999999999999999E-5</v>
      </c>
      <c r="D16" s="15">
        <f t="shared" si="0"/>
        <v>0.94464086000000003</v>
      </c>
      <c r="E16" s="15">
        <f t="shared" si="1"/>
        <v>0.91032568000000003</v>
      </c>
      <c r="F16" s="12">
        <v>0.94464086000000003</v>
      </c>
      <c r="G16" s="12">
        <v>0.91032568000000003</v>
      </c>
      <c r="H16" s="14">
        <f t="shared" si="2"/>
        <v>0.91600000000000004</v>
      </c>
      <c r="I16" s="14">
        <f t="shared" si="3"/>
        <v>0.88100000000000001</v>
      </c>
      <c r="J16" s="25" t="s">
        <v>36</v>
      </c>
      <c r="K16" s="12">
        <v>40</v>
      </c>
      <c r="L16" s="14">
        <v>0.87</v>
      </c>
      <c r="M16" s="24">
        <v>0.85</v>
      </c>
      <c r="N16" s="17">
        <v>7</v>
      </c>
      <c r="O16" s="12">
        <f t="shared" si="4"/>
        <v>87</v>
      </c>
      <c r="P16" s="16">
        <f t="shared" si="11"/>
        <v>0.5741396768782292</v>
      </c>
      <c r="Q16" s="16">
        <f t="shared" si="12"/>
        <v>0.66277688468711093</v>
      </c>
      <c r="R16" s="12">
        <f t="shared" si="5"/>
        <v>0.54045949515319847</v>
      </c>
      <c r="S16" s="12">
        <f t="shared" si="6"/>
        <v>0.63228384577642638</v>
      </c>
      <c r="T16" s="12">
        <f t="shared" si="7"/>
        <v>0.40580367144629709</v>
      </c>
      <c r="U16" s="12">
        <f t="shared" si="8"/>
        <v>0.43343208743813172</v>
      </c>
      <c r="V16" s="12">
        <f t="shared" si="9"/>
        <v>0.31895801756909598</v>
      </c>
      <c r="W16" s="12">
        <f t="shared" si="10"/>
        <v>0.34067370279669024</v>
      </c>
    </row>
    <row r="17" spans="1:23" s="13" customFormat="1" x14ac:dyDescent="0.2">
      <c r="A17" s="17">
        <v>8</v>
      </c>
      <c r="B17" s="19">
        <v>6.3999999999999997E-5</v>
      </c>
      <c r="C17" s="15">
        <v>6.3999999999999997E-5</v>
      </c>
      <c r="D17" s="15">
        <f t="shared" si="0"/>
        <v>0.94464086000000003</v>
      </c>
      <c r="E17" s="15">
        <f t="shared" si="1"/>
        <v>0.91032568000000003</v>
      </c>
      <c r="F17" s="12">
        <v>0.94464086000000003</v>
      </c>
      <c r="G17" s="12">
        <v>0.91032568000000003</v>
      </c>
      <c r="H17" s="14">
        <f t="shared" si="2"/>
        <v>0.91600000000000004</v>
      </c>
      <c r="I17" s="14">
        <f t="shared" si="3"/>
        <v>0.88100000000000001</v>
      </c>
      <c r="J17" s="25" t="s">
        <v>35</v>
      </c>
      <c r="K17" s="12">
        <v>45</v>
      </c>
      <c r="L17" s="14">
        <v>0.82399999999999995</v>
      </c>
      <c r="M17" s="24">
        <v>0.81499999999999995</v>
      </c>
      <c r="N17" s="17">
        <v>8</v>
      </c>
      <c r="O17" s="12">
        <f t="shared" si="4"/>
        <v>88</v>
      </c>
      <c r="P17" s="16">
        <f t="shared" si="11"/>
        <v>0.50677931342816784</v>
      </c>
      <c r="Q17" s="16">
        <f t="shared" si="12"/>
        <v>0.60179080686574171</v>
      </c>
      <c r="R17" s="12">
        <f t="shared" si="5"/>
        <v>0.4733899049732963</v>
      </c>
      <c r="S17" s="12">
        <f t="shared" si="6"/>
        <v>0.57016850533736751</v>
      </c>
      <c r="T17" s="12">
        <f t="shared" si="7"/>
        <v>0.35344500763293318</v>
      </c>
      <c r="U17" s="12">
        <f t="shared" si="8"/>
        <v>0.38711452118933765</v>
      </c>
      <c r="V17" s="12">
        <f t="shared" si="9"/>
        <v>0.26841022328339037</v>
      </c>
      <c r="W17" s="12">
        <f t="shared" si="10"/>
        <v>0.29397924097030359</v>
      </c>
    </row>
    <row r="18" spans="1:23" s="13" customFormat="1" x14ac:dyDescent="0.2">
      <c r="A18" s="17">
        <v>9</v>
      </c>
      <c r="B18" s="19">
        <v>6.2000000000000003E-5</v>
      </c>
      <c r="C18" s="15">
        <v>5.5999999999999999E-5</v>
      </c>
      <c r="D18" s="15">
        <f t="shared" si="0"/>
        <v>0.94464086000000003</v>
      </c>
      <c r="E18" s="15">
        <f t="shared" si="1"/>
        <v>0.91032568000000003</v>
      </c>
      <c r="F18" s="12">
        <v>0.94464086000000003</v>
      </c>
      <c r="G18" s="12">
        <v>0.91032568000000003</v>
      </c>
      <c r="H18" s="14">
        <f t="shared" si="2"/>
        <v>0.91600000000000004</v>
      </c>
      <c r="I18" s="14">
        <f t="shared" si="3"/>
        <v>0.88100000000000001</v>
      </c>
      <c r="J18" s="25" t="s">
        <v>9</v>
      </c>
      <c r="K18" s="12">
        <v>50</v>
      </c>
      <c r="L18" s="14">
        <v>0.83699999999999997</v>
      </c>
      <c r="M18" s="24">
        <v>0.80500000000000005</v>
      </c>
      <c r="N18" s="17">
        <v>9</v>
      </c>
      <c r="O18" s="12">
        <f t="shared" si="4"/>
        <v>89</v>
      </c>
      <c r="P18" s="16">
        <f t="shared" si="11"/>
        <v>0.44000049651842477</v>
      </c>
      <c r="Q18" s="16">
        <f t="shared" si="12"/>
        <v>0.53854620380899343</v>
      </c>
      <c r="R18" s="12">
        <f t="shared" si="5"/>
        <v>0.40740239973311249</v>
      </c>
      <c r="S18" s="12">
        <f t="shared" si="6"/>
        <v>0.50699251245472254</v>
      </c>
      <c r="T18" s="12">
        <f t="shared" si="7"/>
        <v>0.302445910569133</v>
      </c>
      <c r="U18" s="12">
        <f t="shared" si="8"/>
        <v>0.34084693920425857</v>
      </c>
      <c r="V18" s="12">
        <f t="shared" si="9"/>
        <v>0.22191393199666307</v>
      </c>
      <c r="W18" s="12">
        <f t="shared" si="10"/>
        <v>0.25008995607019496</v>
      </c>
    </row>
    <row r="19" spans="1:23" s="13" customFormat="1" x14ac:dyDescent="0.2">
      <c r="A19" s="17">
        <v>10</v>
      </c>
      <c r="B19" s="19">
        <v>7.2000000000000002E-5</v>
      </c>
      <c r="C19" s="15">
        <v>6.3999999999999997E-5</v>
      </c>
      <c r="D19" s="15">
        <f t="shared" si="0"/>
        <v>0.94464086000000003</v>
      </c>
      <c r="E19" s="15">
        <f t="shared" si="1"/>
        <v>0.91032568000000003</v>
      </c>
      <c r="F19" s="12">
        <v>0.94464086000000003</v>
      </c>
      <c r="G19" s="12">
        <v>0.91032568000000003</v>
      </c>
      <c r="H19" s="14">
        <f t="shared" si="2"/>
        <v>0.91600000000000004</v>
      </c>
      <c r="I19" s="14">
        <f t="shared" si="3"/>
        <v>0.88100000000000001</v>
      </c>
      <c r="J19" s="25" t="s">
        <v>10</v>
      </c>
      <c r="K19" s="12">
        <v>55</v>
      </c>
      <c r="L19" s="14">
        <v>0.81699999999999995</v>
      </c>
      <c r="M19" s="24">
        <v>0.80200000000000005</v>
      </c>
      <c r="N19" s="17">
        <v>10</v>
      </c>
      <c r="O19" s="12">
        <f t="shared" si="4"/>
        <v>90</v>
      </c>
      <c r="P19" s="16">
        <f t="shared" si="11"/>
        <v>0.37480430294780021</v>
      </c>
      <c r="Q19" s="16">
        <f t="shared" si="12"/>
        <v>0.47543882110045177</v>
      </c>
      <c r="R19" s="12">
        <f t="shared" si="5"/>
        <v>0.34523449227103642</v>
      </c>
      <c r="S19" s="12">
        <f t="shared" si="6"/>
        <v>0.44414971684500992</v>
      </c>
      <c r="T19" s="12">
        <f t="shared" si="7"/>
        <v>0.25481885266052845</v>
      </c>
      <c r="U19" s="12">
        <f t="shared" si="8"/>
        <v>0.29559819890329525</v>
      </c>
      <c r="V19" s="12">
        <f t="shared" si="9"/>
        <v>0.18064587873898705</v>
      </c>
      <c r="W19" s="12">
        <f t="shared" si="10"/>
        <v>0.20955512450126934</v>
      </c>
    </row>
    <row r="20" spans="1:23" s="13" customFormat="1" x14ac:dyDescent="0.2">
      <c r="A20" s="17">
        <v>11</v>
      </c>
      <c r="B20" s="19">
        <v>8.1000000000000004E-5</v>
      </c>
      <c r="C20" s="15">
        <v>6.2000000000000003E-5</v>
      </c>
      <c r="D20" s="15">
        <f t="shared" si="0"/>
        <v>0.94464086000000003</v>
      </c>
      <c r="E20" s="15">
        <f t="shared" si="1"/>
        <v>0.91032568000000003</v>
      </c>
      <c r="F20" s="12">
        <v>0.94464086000000003</v>
      </c>
      <c r="G20" s="12">
        <v>0.91032568000000003</v>
      </c>
      <c r="H20" s="14">
        <f t="shared" si="2"/>
        <v>0.91600000000000004</v>
      </c>
      <c r="I20" s="14">
        <f t="shared" si="3"/>
        <v>0.88100000000000001</v>
      </c>
      <c r="J20" s="25" t="s">
        <v>11</v>
      </c>
      <c r="K20" s="12">
        <v>60</v>
      </c>
      <c r="L20" s="14">
        <v>0.80900000000000005</v>
      </c>
      <c r="M20" s="24">
        <v>0.78400000000000003</v>
      </c>
      <c r="N20" s="17">
        <v>11</v>
      </c>
      <c r="O20" s="12">
        <f t="shared" si="4"/>
        <v>91</v>
      </c>
      <c r="P20" s="16">
        <f t="shared" si="11"/>
        <v>0.31566468159427269</v>
      </c>
      <c r="Q20" s="16">
        <f t="shared" si="12"/>
        <v>0.41286061258956813</v>
      </c>
      <c r="R20" s="12">
        <f t="shared" si="5"/>
        <v>0.28774524533364487</v>
      </c>
      <c r="S20" s="12">
        <f t="shared" si="6"/>
        <v>0.38232337737938071</v>
      </c>
      <c r="T20" s="12">
        <f t="shared" si="7"/>
        <v>0.21115022625763627</v>
      </c>
      <c r="U20" s="12">
        <f t="shared" si="8"/>
        <v>0.25183122437480082</v>
      </c>
      <c r="V20" s="12">
        <f t="shared" si="9"/>
        <v>0.14462644242812897</v>
      </c>
      <c r="W20" s="12">
        <f t="shared" si="10"/>
        <v>0.17249071771870847</v>
      </c>
    </row>
    <row r="21" spans="1:23" s="13" customFormat="1" x14ac:dyDescent="0.2">
      <c r="A21" s="17">
        <v>12</v>
      </c>
      <c r="B21" s="19">
        <v>1.05E-4</v>
      </c>
      <c r="C21" s="15">
        <v>5.7000000000000003E-5</v>
      </c>
      <c r="D21" s="15">
        <f t="shared" si="0"/>
        <v>0.94464086000000003</v>
      </c>
      <c r="E21" s="15">
        <f t="shared" si="1"/>
        <v>0.91032568000000003</v>
      </c>
      <c r="F21" s="12">
        <v>0.94464086000000003</v>
      </c>
      <c r="G21" s="12">
        <v>0.91032568000000003</v>
      </c>
      <c r="H21" s="14">
        <f t="shared" si="2"/>
        <v>0.91600000000000004</v>
      </c>
      <c r="I21" s="14">
        <f t="shared" si="3"/>
        <v>0.88100000000000001</v>
      </c>
      <c r="J21" s="25" t="s">
        <v>12</v>
      </c>
      <c r="K21" s="12">
        <v>65</v>
      </c>
      <c r="L21" s="14">
        <v>0.79800000000000004</v>
      </c>
      <c r="M21" s="24">
        <v>0.78200000000000003</v>
      </c>
      <c r="N21" s="17">
        <v>12</v>
      </c>
      <c r="O21" s="12">
        <f t="shared" si="4"/>
        <v>92</v>
      </c>
      <c r="P21" s="16">
        <f t="shared" si="11"/>
        <v>0.259825809073017</v>
      </c>
      <c r="Q21" s="16">
        <f t="shared" si="12"/>
        <v>0.35178614216919329</v>
      </c>
      <c r="R21" s="12">
        <f t="shared" si="5"/>
        <v>0.2345837317215734</v>
      </c>
      <c r="S21" s="12">
        <f t="shared" si="6"/>
        <v>0.32273230058051072</v>
      </c>
      <c r="T21" s="12">
        <f t="shared" si="7"/>
        <v>0.17112795494773117</v>
      </c>
      <c r="U21" s="12">
        <f t="shared" si="8"/>
        <v>0.21033832091054044</v>
      </c>
      <c r="V21" s="12">
        <f t="shared" si="9"/>
        <v>0.113249622454783</v>
      </c>
      <c r="W21" s="12">
        <f t="shared" si="10"/>
        <v>0.13919838776877472</v>
      </c>
    </row>
    <row r="22" spans="1:23" s="13" customFormat="1" x14ac:dyDescent="0.2">
      <c r="A22" s="17">
        <v>13</v>
      </c>
      <c r="B22" s="19">
        <v>1.25E-4</v>
      </c>
      <c r="C22" s="15">
        <v>7.8999999999999996E-5</v>
      </c>
      <c r="D22" s="15">
        <f t="shared" si="0"/>
        <v>0.94464086000000003</v>
      </c>
      <c r="E22" s="15">
        <f t="shared" si="1"/>
        <v>0.91032568000000003</v>
      </c>
      <c r="F22" s="12">
        <v>0.94464086000000003</v>
      </c>
      <c r="G22" s="12">
        <v>0.91032568000000003</v>
      </c>
      <c r="H22" s="14">
        <f t="shared" si="2"/>
        <v>0.91600000000000004</v>
      </c>
      <c r="I22" s="14">
        <f t="shared" si="3"/>
        <v>0.88100000000000001</v>
      </c>
      <c r="J22" s="25" t="s">
        <v>13</v>
      </c>
      <c r="K22" s="12">
        <v>70</v>
      </c>
      <c r="L22" s="14">
        <v>0.80200000000000005</v>
      </c>
      <c r="M22" s="24">
        <v>0.78700000000000003</v>
      </c>
      <c r="N22" s="17">
        <v>13</v>
      </c>
      <c r="O22" s="12">
        <f t="shared" si="4"/>
        <v>93</v>
      </c>
      <c r="P22" s="16">
        <f t="shared" si="11"/>
        <v>0.2093416543701298</v>
      </c>
      <c r="Q22" s="16">
        <f t="shared" si="12"/>
        <v>0.2936784589918281</v>
      </c>
      <c r="R22" s="12">
        <f t="shared" si="5"/>
        <v>0.18693864321522879</v>
      </c>
      <c r="S22" s="12">
        <f t="shared" si="6"/>
        <v>0.26685107860215407</v>
      </c>
      <c r="T22" s="12">
        <f t="shared" si="7"/>
        <v>0.13556153506010957</v>
      </c>
      <c r="U22" s="12">
        <f t="shared" si="8"/>
        <v>0.17204126001238673</v>
      </c>
      <c r="V22" s="12">
        <f t="shared" si="9"/>
        <v>8.6678608495861578E-2</v>
      </c>
      <c r="W22" s="12">
        <f t="shared" si="10"/>
        <v>0.11000389612832363</v>
      </c>
    </row>
    <row r="23" spans="1:23" s="13" customFormat="1" x14ac:dyDescent="0.2">
      <c r="A23" s="17">
        <v>14</v>
      </c>
      <c r="B23" s="19">
        <v>1.16E-4</v>
      </c>
      <c r="C23" s="15">
        <v>9.2E-5</v>
      </c>
      <c r="D23" s="15">
        <f t="shared" si="0"/>
        <v>0.94464086000000003</v>
      </c>
      <c r="E23" s="15">
        <f t="shared" si="1"/>
        <v>0.91032568000000003</v>
      </c>
      <c r="F23" s="12">
        <v>0.94464086000000003</v>
      </c>
      <c r="G23" s="12">
        <v>0.91032568000000003</v>
      </c>
      <c r="H23" s="14">
        <f t="shared" si="2"/>
        <v>0.91600000000000004</v>
      </c>
      <c r="I23" s="14">
        <f t="shared" si="3"/>
        <v>0.88100000000000001</v>
      </c>
      <c r="J23" s="25" t="s">
        <v>14</v>
      </c>
      <c r="K23" s="12">
        <v>75</v>
      </c>
      <c r="L23" s="14">
        <v>0.79100000000000004</v>
      </c>
      <c r="M23" s="24">
        <v>0.74099999999999999</v>
      </c>
      <c r="N23" s="17">
        <v>14</v>
      </c>
      <c r="O23" s="12">
        <f t="shared" si="4"/>
        <v>94</v>
      </c>
      <c r="P23" s="16">
        <f t="shared" si="11"/>
        <v>0.16453563206032781</v>
      </c>
      <c r="Q23" s="16">
        <f t="shared" si="12"/>
        <v>0.2400236982124801</v>
      </c>
      <c r="R23" s="12">
        <f t="shared" si="5"/>
        <v>0.14503667884049043</v>
      </c>
      <c r="S23" s="12">
        <f t="shared" si="6"/>
        <v>0.21562852960910736</v>
      </c>
      <c r="T23" s="12">
        <f t="shared" si="7"/>
        <v>0.10454548387848116</v>
      </c>
      <c r="U23" s="12">
        <f t="shared" si="8"/>
        <v>0.13748264810060318</v>
      </c>
      <c r="V23" s="12">
        <f t="shared" si="9"/>
        <v>6.458629619578915E-2</v>
      </c>
      <c r="W23" s="12">
        <f t="shared" si="10"/>
        <v>8.4934276475568476E-2</v>
      </c>
    </row>
    <row r="24" spans="1:23" s="13" customFormat="1" x14ac:dyDescent="0.2">
      <c r="A24" s="17">
        <v>15</v>
      </c>
      <c r="B24" s="19">
        <v>1.6899999999999999E-4</v>
      </c>
      <c r="C24" s="15">
        <v>9.7999999999999997E-5</v>
      </c>
      <c r="D24" s="15">
        <f t="shared" si="0"/>
        <v>0.94464086000000003</v>
      </c>
      <c r="E24" s="15">
        <f t="shared" si="1"/>
        <v>0.91032568000000003</v>
      </c>
      <c r="F24" s="12">
        <v>0.94464086000000003</v>
      </c>
      <c r="G24" s="12">
        <v>0.91032568000000003</v>
      </c>
      <c r="H24" s="14">
        <f t="shared" si="2"/>
        <v>0.91600000000000004</v>
      </c>
      <c r="I24" s="14">
        <f t="shared" si="3"/>
        <v>0.88100000000000001</v>
      </c>
      <c r="J24" s="25" t="s">
        <v>34</v>
      </c>
      <c r="K24" s="12">
        <v>80</v>
      </c>
      <c r="L24" s="14">
        <v>0.77300000000000002</v>
      </c>
      <c r="M24" s="24">
        <v>0.71699999999999997</v>
      </c>
      <c r="N24" s="17">
        <v>15</v>
      </c>
      <c r="O24" s="12">
        <f t="shared" si="4"/>
        <v>95</v>
      </c>
      <c r="P24" s="16">
        <f t="shared" si="11"/>
        <v>0.12553772562065302</v>
      </c>
      <c r="Q24" s="16">
        <f t="shared" si="12"/>
        <v>0.19123336100573463</v>
      </c>
      <c r="R24" s="12">
        <f t="shared" si="5"/>
        <v>0.10910828962436411</v>
      </c>
      <c r="S24" s="12">
        <f t="shared" si="6"/>
        <v>0.16957197573789307</v>
      </c>
      <c r="T24" s="12">
        <f t="shared" si="7"/>
        <v>7.8172160526347526E-2</v>
      </c>
      <c r="U24" s="12">
        <f t="shared" si="8"/>
        <v>0.10689674570913207</v>
      </c>
      <c r="V24" s="12">
        <f t="shared" si="9"/>
        <v>4.6660229255809128E-2</v>
      </c>
      <c r="W24" s="12">
        <f t="shared" si="10"/>
        <v>6.3805664675302298E-2</v>
      </c>
    </row>
    <row r="25" spans="1:23" s="13" customFormat="1" x14ac:dyDescent="0.2">
      <c r="A25" s="17">
        <v>16</v>
      </c>
      <c r="B25" s="19">
        <v>2.2000000000000001E-4</v>
      </c>
      <c r="C25" s="15">
        <v>1.4799999999999999E-4</v>
      </c>
      <c r="D25" s="15">
        <f t="shared" si="0"/>
        <v>0.94464086000000003</v>
      </c>
      <c r="E25" s="15">
        <f t="shared" si="1"/>
        <v>0.91032568000000003</v>
      </c>
      <c r="F25" s="12">
        <v>0.94464086000000003</v>
      </c>
      <c r="G25" s="12">
        <v>0.91032568000000003</v>
      </c>
      <c r="H25" s="14">
        <f t="shared" si="2"/>
        <v>0.91600000000000004</v>
      </c>
      <c r="I25" s="14">
        <f t="shared" si="3"/>
        <v>0.88100000000000001</v>
      </c>
      <c r="J25" s="25" t="s">
        <v>33</v>
      </c>
      <c r="K25" s="12">
        <v>85</v>
      </c>
      <c r="L25" s="14">
        <v>0.71799999999999997</v>
      </c>
      <c r="M25" s="24">
        <v>0.66500000000000004</v>
      </c>
      <c r="N25" s="17">
        <v>16</v>
      </c>
      <c r="O25" s="12">
        <f t="shared" si="4"/>
        <v>96</v>
      </c>
      <c r="P25" s="16">
        <f t="shared" si="11"/>
        <v>9.2678853628075195E-2</v>
      </c>
      <c r="Q25" s="16">
        <f t="shared" si="12"/>
        <v>0.14791059047005148</v>
      </c>
      <c r="R25" s="12">
        <f t="shared" si="5"/>
        <v>7.9219011036816195E-2</v>
      </c>
      <c r="S25" s="12">
        <f t="shared" si="6"/>
        <v>0.12939070543729633</v>
      </c>
      <c r="T25" s="12">
        <f t="shared" si="7"/>
        <v>5.6411660503979333E-2</v>
      </c>
      <c r="U25" s="12">
        <f t="shared" si="8"/>
        <v>8.0625760400728691E-2</v>
      </c>
      <c r="V25" s="12">
        <f t="shared" si="9"/>
        <v>3.253293810229247E-2</v>
      </c>
      <c r="W25" s="12">
        <f t="shared" si="10"/>
        <v>4.6497352659600248E-2</v>
      </c>
    </row>
    <row r="26" spans="1:23" s="13" customFormat="1" x14ac:dyDescent="0.2">
      <c r="A26" s="17">
        <v>17</v>
      </c>
      <c r="B26" s="19">
        <v>3.0299999999999999E-4</v>
      </c>
      <c r="C26" s="15">
        <v>1.5899999999999999E-4</v>
      </c>
      <c r="D26" s="15">
        <f t="shared" si="0"/>
        <v>0.94333138999999999</v>
      </c>
      <c r="E26" s="15">
        <f t="shared" si="1"/>
        <v>0.91087275999999995</v>
      </c>
      <c r="F26" s="12">
        <v>0.94333138999999999</v>
      </c>
      <c r="G26" s="12">
        <v>0.91087275999999995</v>
      </c>
      <c r="H26" s="14">
        <f t="shared" si="2"/>
        <v>0.91600000000000004</v>
      </c>
      <c r="I26" s="14">
        <f t="shared" si="3"/>
        <v>0.88100000000000001</v>
      </c>
      <c r="J26" s="23" t="s">
        <v>32</v>
      </c>
      <c r="K26" s="22">
        <v>90</v>
      </c>
      <c r="L26" s="21">
        <v>0.66300000000000003</v>
      </c>
      <c r="M26" s="20">
        <v>0.66500000000000004</v>
      </c>
      <c r="N26" s="17">
        <v>17</v>
      </c>
      <c r="O26" s="12">
        <f t="shared" si="4"/>
        <v>97</v>
      </c>
      <c r="P26" s="16">
        <f t="shared" si="11"/>
        <v>6.5759168445557209E-2</v>
      </c>
      <c r="Q26" s="16">
        <f t="shared" si="12"/>
        <v>0.11087082040454119</v>
      </c>
      <c r="R26" s="12">
        <f t="shared" si="5"/>
        <v>5.572635787498699E-2</v>
      </c>
      <c r="S26" s="12">
        <f t="shared" si="6"/>
        <v>9.606180492310662E-2</v>
      </c>
      <c r="T26" s="12">
        <f t="shared" si="7"/>
        <v>3.9438899847678968E-2</v>
      </c>
      <c r="U26" s="12">
        <f t="shared" si="8"/>
        <v>5.9152745151322697E-2</v>
      </c>
      <c r="V26" s="12">
        <f t="shared" si="9"/>
        <v>2.1975504051868495E-2</v>
      </c>
      <c r="W26" s="12">
        <f t="shared" si="10"/>
        <v>3.2960133162247371E-2</v>
      </c>
    </row>
    <row r="27" spans="1:23" s="13" customFormat="1" x14ac:dyDescent="0.2">
      <c r="A27" s="17">
        <v>18</v>
      </c>
      <c r="B27" s="19">
        <v>3.8699999999999997E-4</v>
      </c>
      <c r="C27" s="15">
        <v>2.1100000000000001E-4</v>
      </c>
      <c r="D27" s="15">
        <f t="shared" si="0"/>
        <v>0.94198996999999995</v>
      </c>
      <c r="E27" s="15">
        <f t="shared" si="1"/>
        <v>0.91123900000000002</v>
      </c>
      <c r="F27" s="12">
        <v>0.94198996999999995</v>
      </c>
      <c r="G27" s="12">
        <v>0.91123900000000002</v>
      </c>
      <c r="H27" s="14">
        <f t="shared" si="2"/>
        <v>0.93300000000000005</v>
      </c>
      <c r="I27" s="14">
        <f t="shared" si="3"/>
        <v>0.86399999999999999</v>
      </c>
      <c r="J27" s="15"/>
      <c r="K27" s="15"/>
      <c r="L27" s="12"/>
      <c r="M27" s="12"/>
      <c r="N27" s="17">
        <v>18</v>
      </c>
      <c r="O27" s="12">
        <f t="shared" si="4"/>
        <v>98</v>
      </c>
      <c r="P27" s="16">
        <f t="shared" si="11"/>
        <v>4.5693547304416771E-2</v>
      </c>
      <c r="Q27" s="16">
        <f t="shared" si="12"/>
        <v>8.1252789441672052E-2</v>
      </c>
      <c r="R27" s="12">
        <f t="shared" si="5"/>
        <v>3.8236337537562302E-2</v>
      </c>
      <c r="S27" s="12">
        <f t="shared" si="6"/>
        <v>6.9333452120920694E-2</v>
      </c>
      <c r="T27" s="12">
        <f t="shared" si="7"/>
        <v>2.6893427063113345E-2</v>
      </c>
      <c r="U27" s="12">
        <f t="shared" si="8"/>
        <v>4.2180874827631283E-2</v>
      </c>
      <c r="V27" s="12">
        <f t="shared" si="9"/>
        <v>1.4478376040111016E-2</v>
      </c>
      <c r="W27" s="12">
        <f t="shared" si="10"/>
        <v>2.270854383943283E-2</v>
      </c>
    </row>
    <row r="28" spans="1:23" s="13" customFormat="1" x14ac:dyDescent="0.2">
      <c r="A28" s="17">
        <v>19</v>
      </c>
      <c r="B28" s="19">
        <v>4.15E-4</v>
      </c>
      <c r="C28" s="15">
        <v>1.94E-4</v>
      </c>
      <c r="D28" s="15">
        <f t="shared" si="0"/>
        <v>0.94061612000000006</v>
      </c>
      <c r="E28" s="15">
        <f t="shared" si="1"/>
        <v>0.9114333</v>
      </c>
      <c r="F28" s="12">
        <v>0.94061612000000006</v>
      </c>
      <c r="G28" s="12">
        <v>0.9114333</v>
      </c>
      <c r="H28" s="14">
        <f t="shared" si="2"/>
        <v>0.93300000000000005</v>
      </c>
      <c r="I28" s="14">
        <f t="shared" si="3"/>
        <v>0.86399999999999999</v>
      </c>
      <c r="J28" s="15"/>
      <c r="K28" s="15"/>
      <c r="L28" s="12"/>
      <c r="M28" s="12"/>
      <c r="N28" s="17">
        <v>19</v>
      </c>
      <c r="O28" s="12">
        <f t="shared" si="4"/>
        <v>99</v>
      </c>
      <c r="P28" s="16">
        <f t="shared" si="11"/>
        <v>3.0779127770707834E-2</v>
      </c>
      <c r="Q28" s="16">
        <f t="shared" si="12"/>
        <v>5.7414114800169329E-2</v>
      </c>
      <c r="R28" s="12">
        <f t="shared" si="5"/>
        <v>2.5105534200913833E-2</v>
      </c>
      <c r="S28" s="12">
        <f t="shared" si="6"/>
        <v>4.8380635391625487E-2</v>
      </c>
      <c r="T28" s="12">
        <f t="shared" si="7"/>
        <v>1.7548004193977694E-2</v>
      </c>
      <c r="U28" s="12">
        <f t="shared" si="8"/>
        <v>2.9073072846918305E-2</v>
      </c>
      <c r="V28" s="12">
        <f t="shared" si="9"/>
        <v>9.1276942364285629E-3</v>
      </c>
      <c r="W28" s="12">
        <f t="shared" si="10"/>
        <v>1.5122524278353911E-2</v>
      </c>
    </row>
    <row r="29" spans="1:23" s="13" customFormat="1" x14ac:dyDescent="0.2">
      <c r="A29" s="17">
        <v>20</v>
      </c>
      <c r="B29" s="19">
        <v>5.0299999999999997E-4</v>
      </c>
      <c r="C29" s="15">
        <v>1.7899999999999999E-4</v>
      </c>
      <c r="D29" s="15">
        <f t="shared" si="0"/>
        <v>0.93920935000000005</v>
      </c>
      <c r="E29" s="15">
        <f t="shared" si="1"/>
        <v>0.91146389000000005</v>
      </c>
      <c r="F29" s="12">
        <v>0.93920935000000005</v>
      </c>
      <c r="G29" s="12">
        <v>0.91146389000000005</v>
      </c>
      <c r="H29" s="14">
        <f t="shared" si="2"/>
        <v>0.89500000000000002</v>
      </c>
      <c r="I29" s="14">
        <f t="shared" si="3"/>
        <v>0.86599999999999999</v>
      </c>
      <c r="J29" s="15"/>
      <c r="K29" s="15"/>
      <c r="L29" s="12"/>
      <c r="M29" s="12"/>
      <c r="N29" s="17">
        <v>20</v>
      </c>
      <c r="O29" s="12">
        <f t="shared" si="4"/>
        <v>100</v>
      </c>
      <c r="P29" s="16">
        <f t="shared" si="11"/>
        <v>1.9431940631119832E-2</v>
      </c>
      <c r="Q29" s="16">
        <f t="shared" si="12"/>
        <v>3.9347155983081646E-2</v>
      </c>
      <c r="R29" s="12">
        <f t="shared" si="5"/>
        <v>1.5661464030760495E-2</v>
      </c>
      <c r="S29" s="12">
        <f t="shared" si="6"/>
        <v>3.2455383571176943E-2</v>
      </c>
      <c r="T29" s="12">
        <f t="shared" si="7"/>
        <v>1.0878360513128458E-2</v>
      </c>
      <c r="U29" s="12">
        <f t="shared" si="8"/>
        <v>1.9259912590430903E-2</v>
      </c>
      <c r="V29" s="12">
        <f t="shared" si="9"/>
        <v>5.467092872446966E-3</v>
      </c>
      <c r="W29" s="12">
        <f t="shared" si="10"/>
        <v>9.6793750050865757E-3</v>
      </c>
    </row>
    <row r="30" spans="1:23" s="13" customFormat="1" x14ac:dyDescent="0.2">
      <c r="A30" s="17">
        <v>21</v>
      </c>
      <c r="B30" s="19">
        <v>4.9799999999999996E-4</v>
      </c>
      <c r="C30" s="15">
        <v>2.0100000000000001E-4</v>
      </c>
      <c r="D30" s="15">
        <f t="shared" si="0"/>
        <v>0.93776915999999999</v>
      </c>
      <c r="E30" s="15">
        <f t="shared" si="1"/>
        <v>0.91133843000000003</v>
      </c>
      <c r="F30" s="12">
        <v>0.93776915999999999</v>
      </c>
      <c r="G30" s="12">
        <v>0.91133843000000003</v>
      </c>
      <c r="H30" s="14">
        <f t="shared" si="2"/>
        <v>0.89500000000000002</v>
      </c>
      <c r="I30" s="14">
        <f t="shared" si="3"/>
        <v>0.86599999999999999</v>
      </c>
      <c r="J30" s="15"/>
      <c r="K30" s="15"/>
      <c r="L30" s="12"/>
      <c r="M30" s="12"/>
      <c r="N30" s="17">
        <v>21</v>
      </c>
      <c r="O30" s="12">
        <f t="shared" si="4"/>
        <v>101</v>
      </c>
      <c r="P30" s="16">
        <f t="shared" si="11"/>
        <v>1.1890987430401158E-2</v>
      </c>
      <c r="Q30" s="16">
        <f t="shared" si="12"/>
        <v>2.5563611159272248E-2</v>
      </c>
      <c r="R30" s="12" t="e">
        <f t="shared" si="5"/>
        <v>#N/A</v>
      </c>
      <c r="S30" s="12" t="e">
        <f t="shared" si="6"/>
        <v>#N/A</v>
      </c>
      <c r="T30" s="12" t="e">
        <f t="shared" si="7"/>
        <v>#N/A</v>
      </c>
      <c r="U30" s="12" t="e">
        <f t="shared" si="8"/>
        <v>#N/A</v>
      </c>
      <c r="V30" s="12" t="e">
        <f t="shared" si="9"/>
        <v>#N/A</v>
      </c>
      <c r="W30" s="12" t="e">
        <f t="shared" si="10"/>
        <v>#N/A</v>
      </c>
    </row>
    <row r="31" spans="1:23" s="13" customFormat="1" x14ac:dyDescent="0.2">
      <c r="A31" s="17">
        <v>22</v>
      </c>
      <c r="B31" s="19">
        <v>4.7800000000000002E-4</v>
      </c>
      <c r="C31" s="15">
        <v>2.1499999999999999E-4</v>
      </c>
      <c r="D31" s="15">
        <f t="shared" si="0"/>
        <v>0.93629505000000002</v>
      </c>
      <c r="E31" s="15">
        <f t="shared" si="1"/>
        <v>0.91106401000000004</v>
      </c>
      <c r="F31" s="12">
        <v>0.93629505000000002</v>
      </c>
      <c r="G31" s="12">
        <v>0.91106401000000004</v>
      </c>
      <c r="H31" s="14">
        <f t="shared" si="2"/>
        <v>0.89500000000000002</v>
      </c>
      <c r="I31" s="14">
        <f t="shared" si="3"/>
        <v>0.86599999999999999</v>
      </c>
      <c r="J31" s="15"/>
      <c r="K31" s="15"/>
      <c r="L31" s="12"/>
      <c r="M31" s="12"/>
      <c r="N31" s="17">
        <v>22</v>
      </c>
      <c r="O31" s="12">
        <f t="shared" si="4"/>
        <v>102</v>
      </c>
      <c r="P31" s="16" t="e">
        <f t="shared" si="11"/>
        <v>#N/A</v>
      </c>
      <c r="Q31" s="16" t="e">
        <f t="shared" si="12"/>
        <v>#N/A</v>
      </c>
      <c r="R31" s="12" t="e">
        <f t="shared" si="5"/>
        <v>#N/A</v>
      </c>
      <c r="S31" s="12" t="e">
        <f t="shared" si="6"/>
        <v>#N/A</v>
      </c>
      <c r="T31" s="12" t="e">
        <f t="shared" si="7"/>
        <v>#N/A</v>
      </c>
      <c r="U31" s="12" t="e">
        <f t="shared" si="8"/>
        <v>#N/A</v>
      </c>
      <c r="V31" s="12" t="e">
        <f t="shared" si="9"/>
        <v>#N/A</v>
      </c>
      <c r="W31" s="12" t="e">
        <f t="shared" si="10"/>
        <v>#N/A</v>
      </c>
    </row>
    <row r="32" spans="1:23" s="13" customFormat="1" x14ac:dyDescent="0.2">
      <c r="A32" s="17">
        <v>23</v>
      </c>
      <c r="B32" s="19">
        <v>4.6999999999999999E-4</v>
      </c>
      <c r="C32" s="15">
        <v>2.0000000000000001E-4</v>
      </c>
      <c r="D32" s="15">
        <f t="shared" si="0"/>
        <v>0.93478653</v>
      </c>
      <c r="E32" s="15">
        <f t="shared" si="1"/>
        <v>0.91064718</v>
      </c>
      <c r="F32" s="12">
        <v>0.93478653</v>
      </c>
      <c r="G32" s="12">
        <v>0.91064718</v>
      </c>
      <c r="H32" s="14">
        <f t="shared" si="2"/>
        <v>0.89500000000000002</v>
      </c>
      <c r="I32" s="14">
        <f t="shared" si="3"/>
        <v>0.86599999999999999</v>
      </c>
      <c r="J32" s="15"/>
      <c r="K32" s="15"/>
      <c r="L32" s="12"/>
      <c r="M32" s="12"/>
      <c r="N32" s="17">
        <v>23</v>
      </c>
      <c r="O32" s="12">
        <f t="shared" si="4"/>
        <v>103</v>
      </c>
      <c r="P32" s="16" t="e">
        <f t="shared" si="11"/>
        <v>#N/A</v>
      </c>
      <c r="Q32" s="16" t="e">
        <f t="shared" si="12"/>
        <v>#N/A</v>
      </c>
      <c r="R32" s="12" t="e">
        <f t="shared" si="5"/>
        <v>#N/A</v>
      </c>
      <c r="S32" s="12" t="e">
        <f t="shared" si="6"/>
        <v>#N/A</v>
      </c>
      <c r="T32" s="12" t="e">
        <f t="shared" si="7"/>
        <v>#N/A</v>
      </c>
      <c r="U32" s="12" t="e">
        <f t="shared" si="8"/>
        <v>#N/A</v>
      </c>
      <c r="V32" s="12" t="e">
        <f t="shared" si="9"/>
        <v>#N/A</v>
      </c>
      <c r="W32" s="12" t="e">
        <f t="shared" si="10"/>
        <v>#N/A</v>
      </c>
    </row>
    <row r="33" spans="1:23" s="13" customFormat="1" x14ac:dyDescent="0.2">
      <c r="A33" s="17">
        <v>24</v>
      </c>
      <c r="B33" s="19">
        <v>5.13E-4</v>
      </c>
      <c r="C33" s="15">
        <v>2.1800000000000001E-4</v>
      </c>
      <c r="D33" s="15">
        <f t="shared" si="0"/>
        <v>0.93324311999999998</v>
      </c>
      <c r="E33" s="15">
        <f t="shared" si="1"/>
        <v>0.91009399999999996</v>
      </c>
      <c r="F33" s="12">
        <v>0.93324311999999998</v>
      </c>
      <c r="G33" s="12">
        <v>0.91009399999999996</v>
      </c>
      <c r="H33" s="14">
        <f t="shared" si="2"/>
        <v>0.89500000000000002</v>
      </c>
      <c r="I33" s="14">
        <f t="shared" si="3"/>
        <v>0.86599999999999999</v>
      </c>
      <c r="J33" s="15"/>
      <c r="K33" s="15"/>
      <c r="L33" s="12"/>
      <c r="M33" s="12"/>
      <c r="N33" s="17">
        <v>24</v>
      </c>
      <c r="O33" s="12">
        <f t="shared" si="4"/>
        <v>104</v>
      </c>
      <c r="P33" s="16" t="e">
        <f t="shared" si="11"/>
        <v>#N/A</v>
      </c>
      <c r="Q33" s="16" t="e">
        <f t="shared" si="12"/>
        <v>#N/A</v>
      </c>
      <c r="R33" s="12" t="e">
        <f t="shared" si="5"/>
        <v>#N/A</v>
      </c>
      <c r="S33" s="12" t="e">
        <f t="shared" si="6"/>
        <v>#N/A</v>
      </c>
      <c r="T33" s="12" t="e">
        <f t="shared" si="7"/>
        <v>#N/A</v>
      </c>
      <c r="U33" s="12" t="e">
        <f t="shared" si="8"/>
        <v>#N/A</v>
      </c>
      <c r="V33" s="12" t="e">
        <f t="shared" si="9"/>
        <v>#N/A</v>
      </c>
      <c r="W33" s="12" t="e">
        <f t="shared" si="10"/>
        <v>#N/A</v>
      </c>
    </row>
    <row r="34" spans="1:23" s="13" customFormat="1" x14ac:dyDescent="0.2">
      <c r="A34" s="17">
        <v>25</v>
      </c>
      <c r="B34" s="19">
        <v>5.3799999999999996E-4</v>
      </c>
      <c r="C34" s="15">
        <v>2.4399999999999999E-4</v>
      </c>
      <c r="D34" s="15">
        <f t="shared" si="0"/>
        <v>0.93166431000000005</v>
      </c>
      <c r="E34" s="15">
        <f t="shared" si="1"/>
        <v>0.90941002999999998</v>
      </c>
      <c r="F34" s="12">
        <v>0.93166431000000005</v>
      </c>
      <c r="G34" s="12">
        <v>0.90941002999999998</v>
      </c>
      <c r="H34" s="14">
        <f t="shared" si="2"/>
        <v>0.89500000000000002</v>
      </c>
      <c r="I34" s="14">
        <f t="shared" si="3"/>
        <v>0.873</v>
      </c>
      <c r="J34" s="15"/>
      <c r="K34" s="15"/>
      <c r="L34" s="12"/>
      <c r="M34" s="12"/>
      <c r="N34" s="17">
        <v>25</v>
      </c>
      <c r="O34" s="12">
        <f t="shared" si="4"/>
        <v>105</v>
      </c>
      <c r="P34" s="16" t="e">
        <f t="shared" si="11"/>
        <v>#N/A</v>
      </c>
      <c r="Q34" s="16" t="e">
        <f t="shared" si="12"/>
        <v>#N/A</v>
      </c>
      <c r="R34" s="12" t="e">
        <f t="shared" si="5"/>
        <v>#N/A</v>
      </c>
      <c r="S34" s="12" t="e">
        <f t="shared" si="6"/>
        <v>#N/A</v>
      </c>
      <c r="T34" s="12" t="e">
        <f t="shared" si="7"/>
        <v>#N/A</v>
      </c>
      <c r="U34" s="12" t="e">
        <f t="shared" si="8"/>
        <v>#N/A</v>
      </c>
      <c r="V34" s="12" t="e">
        <f t="shared" si="9"/>
        <v>#N/A</v>
      </c>
      <c r="W34" s="12" t="e">
        <f t="shared" si="10"/>
        <v>#N/A</v>
      </c>
    </row>
    <row r="35" spans="1:23" s="13" customFormat="1" x14ac:dyDescent="0.2">
      <c r="A35" s="17">
        <v>26</v>
      </c>
      <c r="B35" s="19">
        <v>5.4299999999999997E-4</v>
      </c>
      <c r="C35" s="15">
        <v>2.5900000000000001E-4</v>
      </c>
      <c r="D35" s="15">
        <f t="shared" si="0"/>
        <v>0.93004962000000002</v>
      </c>
      <c r="E35" s="15">
        <f t="shared" si="1"/>
        <v>0.90860043999999995</v>
      </c>
      <c r="F35" s="12">
        <v>0.93004962000000002</v>
      </c>
      <c r="G35" s="12">
        <v>0.90860043999999995</v>
      </c>
      <c r="H35" s="14">
        <f t="shared" si="2"/>
        <v>0.89500000000000002</v>
      </c>
      <c r="I35" s="14">
        <f t="shared" si="3"/>
        <v>0.873</v>
      </c>
      <c r="J35" s="15"/>
      <c r="K35" s="15"/>
      <c r="L35" s="12"/>
      <c r="M35" s="12"/>
      <c r="N35" s="17">
        <v>26</v>
      </c>
      <c r="O35" s="12">
        <f t="shared" si="4"/>
        <v>106</v>
      </c>
      <c r="P35" s="16" t="e">
        <f t="shared" si="11"/>
        <v>#N/A</v>
      </c>
      <c r="Q35" s="16" t="e">
        <f t="shared" si="12"/>
        <v>#N/A</v>
      </c>
      <c r="R35" s="12" t="e">
        <f t="shared" si="5"/>
        <v>#N/A</v>
      </c>
      <c r="S35" s="12" t="e">
        <f t="shared" si="6"/>
        <v>#N/A</v>
      </c>
      <c r="T35" s="12" t="e">
        <f t="shared" si="7"/>
        <v>#N/A</v>
      </c>
      <c r="U35" s="12" t="e">
        <f t="shared" si="8"/>
        <v>#N/A</v>
      </c>
      <c r="V35" s="12" t="e">
        <f t="shared" si="9"/>
        <v>#N/A</v>
      </c>
      <c r="W35" s="12" t="e">
        <f t="shared" si="10"/>
        <v>#N/A</v>
      </c>
    </row>
    <row r="36" spans="1:23" s="13" customFormat="1" x14ac:dyDescent="0.2">
      <c r="A36" s="17">
        <v>27</v>
      </c>
      <c r="B36" s="19">
        <v>5.7399999999999997E-4</v>
      </c>
      <c r="C36" s="15">
        <v>2.7E-4</v>
      </c>
      <c r="D36" s="15">
        <f t="shared" si="0"/>
        <v>0.92839855999999998</v>
      </c>
      <c r="E36" s="15">
        <f t="shared" si="1"/>
        <v>0.90766992999999996</v>
      </c>
      <c r="F36" s="12">
        <v>0.92839855999999998</v>
      </c>
      <c r="G36" s="12">
        <v>0.90766992999999996</v>
      </c>
      <c r="H36" s="14">
        <f t="shared" si="2"/>
        <v>0.89500000000000002</v>
      </c>
      <c r="I36" s="14">
        <f t="shared" si="3"/>
        <v>0.873</v>
      </c>
      <c r="J36" s="15"/>
      <c r="K36" s="15"/>
      <c r="L36" s="12"/>
      <c r="M36" s="12"/>
      <c r="N36" s="17">
        <v>27</v>
      </c>
      <c r="O36" s="12">
        <f t="shared" si="4"/>
        <v>107</v>
      </c>
      <c r="P36" s="16" t="e">
        <f t="shared" si="11"/>
        <v>#N/A</v>
      </c>
      <c r="Q36" s="16" t="e">
        <f t="shared" si="12"/>
        <v>#N/A</v>
      </c>
      <c r="R36" s="12" t="e">
        <f t="shared" si="5"/>
        <v>#N/A</v>
      </c>
      <c r="S36" s="12" t="e">
        <f t="shared" si="6"/>
        <v>#N/A</v>
      </c>
      <c r="T36" s="12" t="e">
        <f t="shared" si="7"/>
        <v>#N/A</v>
      </c>
      <c r="U36" s="12" t="e">
        <f t="shared" si="8"/>
        <v>#N/A</v>
      </c>
      <c r="V36" s="12" t="e">
        <f t="shared" si="9"/>
        <v>#N/A</v>
      </c>
      <c r="W36" s="12" t="e">
        <f t="shared" si="10"/>
        <v>#N/A</v>
      </c>
    </row>
    <row r="37" spans="1:23" s="13" customFormat="1" x14ac:dyDescent="0.2">
      <c r="A37" s="17">
        <v>28</v>
      </c>
      <c r="B37" s="19">
        <v>6.29E-4</v>
      </c>
      <c r="C37" s="15">
        <v>3.0400000000000002E-4</v>
      </c>
      <c r="D37" s="15">
        <f t="shared" si="0"/>
        <v>0.92671064999999997</v>
      </c>
      <c r="E37" s="15">
        <f t="shared" si="1"/>
        <v>0.90662284999999998</v>
      </c>
      <c r="F37" s="12">
        <v>0.92671064999999997</v>
      </c>
      <c r="G37" s="12">
        <v>0.90662284999999998</v>
      </c>
      <c r="H37" s="14">
        <f t="shared" si="2"/>
        <v>0.89500000000000002</v>
      </c>
      <c r="I37" s="14">
        <f t="shared" si="3"/>
        <v>0.873</v>
      </c>
      <c r="J37" s="15"/>
      <c r="K37" s="15"/>
      <c r="L37" s="12"/>
      <c r="M37" s="12"/>
      <c r="N37" s="17">
        <v>28</v>
      </c>
      <c r="O37" s="12">
        <f t="shared" si="4"/>
        <v>108</v>
      </c>
      <c r="P37" s="16" t="e">
        <f t="shared" si="11"/>
        <v>#N/A</v>
      </c>
      <c r="Q37" s="16" t="e">
        <f t="shared" si="12"/>
        <v>#N/A</v>
      </c>
      <c r="R37" s="12" t="e">
        <f t="shared" si="5"/>
        <v>#N/A</v>
      </c>
      <c r="S37" s="12" t="e">
        <f t="shared" si="6"/>
        <v>#N/A</v>
      </c>
      <c r="T37" s="12" t="e">
        <f t="shared" si="7"/>
        <v>#N/A</v>
      </c>
      <c r="U37" s="12" t="e">
        <f t="shared" si="8"/>
        <v>#N/A</v>
      </c>
      <c r="V37" s="12" t="e">
        <f t="shared" si="9"/>
        <v>#N/A</v>
      </c>
      <c r="W37" s="12" t="e">
        <f t="shared" si="10"/>
        <v>#N/A</v>
      </c>
    </row>
    <row r="38" spans="1:23" s="13" customFormat="1" x14ac:dyDescent="0.2">
      <c r="A38" s="17">
        <v>29</v>
      </c>
      <c r="B38" s="19">
        <v>6.6399999999999999E-4</v>
      </c>
      <c r="C38" s="15">
        <v>3.0200000000000002E-4</v>
      </c>
      <c r="D38" s="15">
        <f t="shared" si="0"/>
        <v>0.92498541000000001</v>
      </c>
      <c r="E38" s="15">
        <f t="shared" si="1"/>
        <v>0.90546318999999997</v>
      </c>
      <c r="F38" s="12">
        <v>0.92498541000000001</v>
      </c>
      <c r="G38" s="12">
        <v>0.90546318999999997</v>
      </c>
      <c r="H38" s="14">
        <f t="shared" si="2"/>
        <v>0.89500000000000002</v>
      </c>
      <c r="I38" s="14">
        <f t="shared" si="3"/>
        <v>0.873</v>
      </c>
      <c r="J38" s="15"/>
      <c r="K38" s="15"/>
      <c r="L38" s="12"/>
      <c r="M38" s="12"/>
      <c r="N38" s="17">
        <v>29</v>
      </c>
      <c r="O38" s="12">
        <f t="shared" si="4"/>
        <v>109</v>
      </c>
      <c r="P38" s="16" t="e">
        <f t="shared" si="11"/>
        <v>#N/A</v>
      </c>
      <c r="Q38" s="16" t="e">
        <f t="shared" si="12"/>
        <v>#N/A</v>
      </c>
      <c r="R38" s="12" t="e">
        <f t="shared" si="5"/>
        <v>#N/A</v>
      </c>
      <c r="S38" s="12" t="e">
        <f t="shared" si="6"/>
        <v>#N/A</v>
      </c>
      <c r="T38" s="12" t="e">
        <f t="shared" si="7"/>
        <v>#N/A</v>
      </c>
      <c r="U38" s="12" t="e">
        <f t="shared" si="8"/>
        <v>#N/A</v>
      </c>
      <c r="V38" s="12" t="e">
        <f t="shared" si="9"/>
        <v>#N/A</v>
      </c>
      <c r="W38" s="12" t="e">
        <f t="shared" si="10"/>
        <v>#N/A</v>
      </c>
    </row>
    <row r="39" spans="1:23" s="13" customFormat="1" x14ac:dyDescent="0.2">
      <c r="A39" s="17">
        <v>30</v>
      </c>
      <c r="B39" s="19">
        <v>7.1100000000000004E-4</v>
      </c>
      <c r="C39" s="15">
        <v>3.5799999999999997E-4</v>
      </c>
      <c r="D39" s="15">
        <f t="shared" si="0"/>
        <v>0.92322236000000002</v>
      </c>
      <c r="E39" s="15">
        <f t="shared" si="1"/>
        <v>0.90419457000000003</v>
      </c>
      <c r="F39" s="12">
        <v>0.92322236000000002</v>
      </c>
      <c r="G39" s="12">
        <v>0.90419457000000003</v>
      </c>
      <c r="H39" s="14">
        <f t="shared" si="2"/>
        <v>0.91600000000000004</v>
      </c>
      <c r="I39" s="14">
        <f t="shared" si="3"/>
        <v>0.87</v>
      </c>
      <c r="J39" s="15"/>
      <c r="K39" s="15"/>
      <c r="L39" s="12"/>
      <c r="M39" s="12"/>
      <c r="N39" s="17">
        <v>30</v>
      </c>
      <c r="O39" s="12">
        <f t="shared" si="4"/>
        <v>110</v>
      </c>
      <c r="P39" s="16" t="e">
        <f t="shared" si="11"/>
        <v>#N/A</v>
      </c>
      <c r="Q39" s="16" t="e">
        <f t="shared" si="12"/>
        <v>#N/A</v>
      </c>
      <c r="R39" s="12" t="e">
        <f t="shared" si="5"/>
        <v>#N/A</v>
      </c>
      <c r="S39" s="12" t="e">
        <f t="shared" si="6"/>
        <v>#N/A</v>
      </c>
      <c r="T39" s="12" t="e">
        <f t="shared" si="7"/>
        <v>#N/A</v>
      </c>
      <c r="U39" s="12" t="e">
        <f t="shared" si="8"/>
        <v>#N/A</v>
      </c>
      <c r="V39" s="12" t="e">
        <f t="shared" si="9"/>
        <v>#N/A</v>
      </c>
      <c r="W39" s="12" t="e">
        <f t="shared" si="10"/>
        <v>#N/A</v>
      </c>
    </row>
    <row r="40" spans="1:23" s="13" customFormat="1" x14ac:dyDescent="0.2">
      <c r="A40" s="17">
        <v>31</v>
      </c>
      <c r="B40" s="19">
        <v>7.7200000000000001E-4</v>
      </c>
      <c r="C40" s="15">
        <v>3.6900000000000002E-4</v>
      </c>
      <c r="D40" s="15">
        <f t="shared" si="0"/>
        <v>0.92142102000000004</v>
      </c>
      <c r="E40" s="15">
        <f t="shared" si="1"/>
        <v>0.90282032999999995</v>
      </c>
      <c r="F40" s="12">
        <v>0.92142102000000004</v>
      </c>
      <c r="G40" s="12">
        <v>0.90282032999999995</v>
      </c>
      <c r="H40" s="14">
        <f t="shared" si="2"/>
        <v>0.91600000000000004</v>
      </c>
      <c r="I40" s="14">
        <f t="shared" si="3"/>
        <v>0.87</v>
      </c>
      <c r="J40" s="15"/>
      <c r="K40" s="15"/>
      <c r="L40" s="12"/>
      <c r="M40" s="12"/>
      <c r="N40" s="17">
        <v>31</v>
      </c>
      <c r="O40" s="12">
        <f t="shared" si="4"/>
        <v>111</v>
      </c>
      <c r="P40" s="16" t="e">
        <f t="shared" si="11"/>
        <v>#N/A</v>
      </c>
      <c r="Q40" s="16" t="e">
        <f t="shared" ref="Q40:Q71" si="13">Q39-Q39*VLOOKUP(O39,lifetable,3,FALSE)</f>
        <v>#N/A</v>
      </c>
      <c r="R40" s="12" t="e">
        <f t="shared" si="5"/>
        <v>#N/A</v>
      </c>
      <c r="S40" s="12" t="e">
        <f t="shared" si="6"/>
        <v>#N/A</v>
      </c>
      <c r="T40" s="12" t="e">
        <f t="shared" si="7"/>
        <v>#N/A</v>
      </c>
      <c r="U40" s="12" t="e">
        <f t="shared" si="8"/>
        <v>#N/A</v>
      </c>
      <c r="V40" s="12" t="e">
        <f t="shared" si="9"/>
        <v>#N/A</v>
      </c>
      <c r="W40" s="12" t="e">
        <f t="shared" si="10"/>
        <v>#N/A</v>
      </c>
    </row>
    <row r="41" spans="1:23" s="13" customFormat="1" x14ac:dyDescent="0.2">
      <c r="A41" s="17">
        <v>32</v>
      </c>
      <c r="B41" s="19">
        <v>7.5500000000000003E-4</v>
      </c>
      <c r="C41" s="15">
        <v>4.3600000000000003E-4</v>
      </c>
      <c r="D41" s="15">
        <f t="shared" ref="D41:D72" si="14">IF(util=1,F41,IF(util=2,H41,"err"))</f>
        <v>0.91958092999999996</v>
      </c>
      <c r="E41" s="15">
        <f t="shared" ref="E41:E72" si="15">IF(util=1,G41,IF(util=2,I41,"err"))</f>
        <v>0.90134349999999996</v>
      </c>
      <c r="F41" s="12">
        <v>0.91958092999999996</v>
      </c>
      <c r="G41" s="12">
        <v>0.90134349999999996</v>
      </c>
      <c r="H41" s="14">
        <f t="shared" ref="H41:H72" si="16">VLOOKUP($A41,$K$9:$M$26,2)</f>
        <v>0.91600000000000004</v>
      </c>
      <c r="I41" s="14">
        <f t="shared" ref="I41:I72" si="17">VLOOKUP($A41,$K$9:$M$26,3)</f>
        <v>0.87</v>
      </c>
      <c r="J41" s="15"/>
      <c r="K41" s="15"/>
      <c r="L41" s="12"/>
      <c r="M41" s="12"/>
      <c r="N41" s="17">
        <v>32</v>
      </c>
      <c r="O41" s="12">
        <f t="shared" ref="O41:O72" si="18">Age+N41</f>
        <v>112</v>
      </c>
      <c r="P41" s="16" t="e">
        <f t="shared" si="11"/>
        <v>#N/A</v>
      </c>
      <c r="Q41" s="16" t="e">
        <f>Q40-Q40*VLOOKUP(O40,lifetable,3,FALSE)</f>
        <v>#N/A</v>
      </c>
      <c r="R41" s="12" t="e">
        <f t="shared" ref="R41:R72" si="19">(P41+P42)/2</f>
        <v>#N/A</v>
      </c>
      <c r="S41" s="12" t="e">
        <f t="shared" ref="S41:S72" si="20">(Q41+Q42)/2</f>
        <v>#N/A</v>
      </c>
      <c r="T41" s="12" t="e">
        <f t="shared" ref="T41:T72" si="21">R41*VLOOKUP(O41,lifetable,4,FALSE)</f>
        <v>#N/A</v>
      </c>
      <c r="U41" s="12" t="e">
        <f t="shared" ref="U41:U72" si="22">S41*VLOOKUP(O41,lifetable,5,FALSE)</f>
        <v>#N/A</v>
      </c>
      <c r="V41" s="12" t="e">
        <f t="shared" ref="V41:V72" si="23">T41/(1+Disc)^N41</f>
        <v>#N/A</v>
      </c>
      <c r="W41" s="12" t="e">
        <f t="shared" ref="W41:W72" si="24">U41/(1+Disc)^N41</f>
        <v>#N/A</v>
      </c>
    </row>
    <row r="42" spans="1:23" s="13" customFormat="1" x14ac:dyDescent="0.2">
      <c r="A42" s="17">
        <v>33</v>
      </c>
      <c r="B42" s="19">
        <v>8.61E-4</v>
      </c>
      <c r="C42" s="15">
        <v>4.5100000000000001E-4</v>
      </c>
      <c r="D42" s="15">
        <f t="shared" si="14"/>
        <v>0.91770163000000005</v>
      </c>
      <c r="E42" s="15">
        <f t="shared" si="15"/>
        <v>0.89976685000000001</v>
      </c>
      <c r="F42" s="12">
        <v>0.91770163000000005</v>
      </c>
      <c r="G42" s="12">
        <v>0.89976685000000001</v>
      </c>
      <c r="H42" s="14">
        <f t="shared" si="16"/>
        <v>0.91600000000000004</v>
      </c>
      <c r="I42" s="14">
        <f t="shared" si="17"/>
        <v>0.87</v>
      </c>
      <c r="J42" s="15"/>
      <c r="K42" s="15"/>
      <c r="L42" s="12"/>
      <c r="M42" s="12"/>
      <c r="N42" s="17">
        <v>33</v>
      </c>
      <c r="O42" s="12">
        <f t="shared" si="18"/>
        <v>113</v>
      </c>
      <c r="P42" s="16" t="e">
        <f t="shared" si="11"/>
        <v>#N/A</v>
      </c>
      <c r="Q42" s="16" t="e">
        <f t="shared" si="13"/>
        <v>#N/A</v>
      </c>
      <c r="R42" s="12" t="e">
        <f t="shared" si="19"/>
        <v>#N/A</v>
      </c>
      <c r="S42" s="12" t="e">
        <f t="shared" si="20"/>
        <v>#N/A</v>
      </c>
      <c r="T42" s="12" t="e">
        <f t="shared" si="21"/>
        <v>#N/A</v>
      </c>
      <c r="U42" s="12" t="e">
        <f t="shared" si="22"/>
        <v>#N/A</v>
      </c>
      <c r="V42" s="12" t="e">
        <f t="shared" si="23"/>
        <v>#N/A</v>
      </c>
      <c r="W42" s="12" t="e">
        <f t="shared" si="24"/>
        <v>#N/A</v>
      </c>
    </row>
    <row r="43" spans="1:23" s="13" customFormat="1" x14ac:dyDescent="0.2">
      <c r="A43" s="17">
        <v>34</v>
      </c>
      <c r="B43" s="19">
        <v>8.92E-4</v>
      </c>
      <c r="C43" s="15">
        <v>5.2499999999999997E-4</v>
      </c>
      <c r="D43" s="15">
        <f t="shared" si="14"/>
        <v>0.91578265000000003</v>
      </c>
      <c r="E43" s="15">
        <f t="shared" si="15"/>
        <v>0.89809285999999999</v>
      </c>
      <c r="F43" s="12">
        <v>0.91578265000000003</v>
      </c>
      <c r="G43" s="12">
        <v>0.89809285999999999</v>
      </c>
      <c r="H43" s="14">
        <f t="shared" si="16"/>
        <v>0.91600000000000004</v>
      </c>
      <c r="I43" s="14">
        <f t="shared" si="17"/>
        <v>0.87</v>
      </c>
      <c r="J43" s="15"/>
      <c r="K43" s="15"/>
      <c r="L43" s="12"/>
      <c r="M43" s="12"/>
      <c r="N43" s="17">
        <v>34</v>
      </c>
      <c r="O43" s="12">
        <f t="shared" si="18"/>
        <v>114</v>
      </c>
      <c r="P43" s="16" t="e">
        <f t="shared" ref="P43:P71" si="25">P42-P42*VLOOKUP(O42,lifetable,2,FALSE)</f>
        <v>#N/A</v>
      </c>
      <c r="Q43" s="16" t="e">
        <f t="shared" si="13"/>
        <v>#N/A</v>
      </c>
      <c r="R43" s="12" t="e">
        <f t="shared" si="19"/>
        <v>#N/A</v>
      </c>
      <c r="S43" s="12" t="e">
        <f t="shared" si="20"/>
        <v>#N/A</v>
      </c>
      <c r="T43" s="12" t="e">
        <f t="shared" si="21"/>
        <v>#N/A</v>
      </c>
      <c r="U43" s="12" t="e">
        <f t="shared" si="22"/>
        <v>#N/A</v>
      </c>
      <c r="V43" s="12" t="e">
        <f t="shared" si="23"/>
        <v>#N/A</v>
      </c>
      <c r="W43" s="12" t="e">
        <f t="shared" si="24"/>
        <v>#N/A</v>
      </c>
    </row>
    <row r="44" spans="1:23" s="13" customFormat="1" x14ac:dyDescent="0.2">
      <c r="A44" s="17">
        <v>35</v>
      </c>
      <c r="B44" s="19">
        <v>9.6699999999999998E-4</v>
      </c>
      <c r="C44" s="15">
        <v>5.5400000000000002E-4</v>
      </c>
      <c r="D44" s="15">
        <f t="shared" si="14"/>
        <v>0.91382355000000004</v>
      </c>
      <c r="E44" s="15">
        <f t="shared" si="15"/>
        <v>0.89632383000000004</v>
      </c>
      <c r="F44" s="12">
        <v>0.91382355000000004</v>
      </c>
      <c r="G44" s="12">
        <v>0.89632383000000004</v>
      </c>
      <c r="H44" s="14">
        <f t="shared" si="16"/>
        <v>0.86199999999999999</v>
      </c>
      <c r="I44" s="14">
        <f t="shared" si="17"/>
        <v>0.85699999999999998</v>
      </c>
      <c r="J44" s="15"/>
      <c r="K44" s="15"/>
      <c r="L44" s="12"/>
      <c r="M44" s="12"/>
      <c r="N44" s="17">
        <v>35</v>
      </c>
      <c r="O44" s="12">
        <f t="shared" si="18"/>
        <v>115</v>
      </c>
      <c r="P44" s="16" t="e">
        <f t="shared" si="25"/>
        <v>#N/A</v>
      </c>
      <c r="Q44" s="16" t="e">
        <f t="shared" si="13"/>
        <v>#N/A</v>
      </c>
      <c r="R44" s="12" t="e">
        <f t="shared" si="19"/>
        <v>#N/A</v>
      </c>
      <c r="S44" s="12" t="e">
        <f t="shared" si="20"/>
        <v>#N/A</v>
      </c>
      <c r="T44" s="12" t="e">
        <f t="shared" si="21"/>
        <v>#N/A</v>
      </c>
      <c r="U44" s="12" t="e">
        <f t="shared" si="22"/>
        <v>#N/A</v>
      </c>
      <c r="V44" s="12" t="e">
        <f t="shared" si="23"/>
        <v>#N/A</v>
      </c>
      <c r="W44" s="12" t="e">
        <f t="shared" si="24"/>
        <v>#N/A</v>
      </c>
    </row>
    <row r="45" spans="1:23" s="13" customFormat="1" x14ac:dyDescent="0.2">
      <c r="A45" s="17">
        <v>36</v>
      </c>
      <c r="B45" s="19">
        <v>1.0499999999999999E-3</v>
      </c>
      <c r="C45" s="15">
        <v>5.8299999999999997E-4</v>
      </c>
      <c r="D45" s="15">
        <f t="shared" si="14"/>
        <v>0.91182388000000003</v>
      </c>
      <c r="E45" s="15">
        <f t="shared" si="15"/>
        <v>0.89446179999999997</v>
      </c>
      <c r="F45" s="12">
        <v>0.91182388000000003</v>
      </c>
      <c r="G45" s="12">
        <v>0.89446179999999997</v>
      </c>
      <c r="H45" s="14">
        <f t="shared" si="16"/>
        <v>0.86199999999999999</v>
      </c>
      <c r="I45" s="14">
        <f t="shared" si="17"/>
        <v>0.85699999999999998</v>
      </c>
      <c r="J45" s="15"/>
      <c r="K45" s="15"/>
      <c r="L45" s="12"/>
      <c r="M45" s="12"/>
      <c r="N45" s="17">
        <v>36</v>
      </c>
      <c r="O45" s="12">
        <f t="shared" si="18"/>
        <v>116</v>
      </c>
      <c r="P45" s="16" t="e">
        <f t="shared" si="25"/>
        <v>#N/A</v>
      </c>
      <c r="Q45" s="16" t="e">
        <f t="shared" si="13"/>
        <v>#N/A</v>
      </c>
      <c r="R45" s="12" t="e">
        <f t="shared" si="19"/>
        <v>#N/A</v>
      </c>
      <c r="S45" s="12" t="e">
        <f t="shared" si="20"/>
        <v>#N/A</v>
      </c>
      <c r="T45" s="12" t="e">
        <f t="shared" si="21"/>
        <v>#N/A</v>
      </c>
      <c r="U45" s="12" t="e">
        <f t="shared" si="22"/>
        <v>#N/A</v>
      </c>
      <c r="V45" s="12" t="e">
        <f t="shared" si="23"/>
        <v>#N/A</v>
      </c>
      <c r="W45" s="12" t="e">
        <f t="shared" si="24"/>
        <v>#N/A</v>
      </c>
    </row>
    <row r="46" spans="1:23" s="13" customFormat="1" x14ac:dyDescent="0.2">
      <c r="A46" s="17">
        <v>37</v>
      </c>
      <c r="B46" s="19">
        <v>1.2110000000000001E-3</v>
      </c>
      <c r="C46" s="15">
        <v>7.4600000000000003E-4</v>
      </c>
      <c r="D46" s="15">
        <f t="shared" si="14"/>
        <v>0.90978320999999995</v>
      </c>
      <c r="E46" s="15">
        <f t="shared" si="15"/>
        <v>0.89250861000000004</v>
      </c>
      <c r="F46" s="12">
        <v>0.90978320999999995</v>
      </c>
      <c r="G46" s="12">
        <v>0.89250861000000004</v>
      </c>
      <c r="H46" s="14">
        <f t="shared" si="16"/>
        <v>0.86199999999999999</v>
      </c>
      <c r="I46" s="14">
        <f t="shared" si="17"/>
        <v>0.85699999999999998</v>
      </c>
      <c r="J46" s="15"/>
      <c r="K46" s="15"/>
      <c r="L46" s="12"/>
      <c r="M46" s="12"/>
      <c r="N46" s="17">
        <v>37</v>
      </c>
      <c r="O46" s="12">
        <f t="shared" si="18"/>
        <v>117</v>
      </c>
      <c r="P46" s="16" t="e">
        <f t="shared" si="25"/>
        <v>#N/A</v>
      </c>
      <c r="Q46" s="16" t="e">
        <f t="shared" si="13"/>
        <v>#N/A</v>
      </c>
      <c r="R46" s="12" t="e">
        <f t="shared" si="19"/>
        <v>#N/A</v>
      </c>
      <c r="S46" s="12" t="e">
        <f t="shared" si="20"/>
        <v>#N/A</v>
      </c>
      <c r="T46" s="12" t="e">
        <f t="shared" si="21"/>
        <v>#N/A</v>
      </c>
      <c r="U46" s="12" t="e">
        <f t="shared" si="22"/>
        <v>#N/A</v>
      </c>
      <c r="V46" s="12" t="e">
        <f t="shared" si="23"/>
        <v>#N/A</v>
      </c>
      <c r="W46" s="12" t="e">
        <f t="shared" si="24"/>
        <v>#N/A</v>
      </c>
    </row>
    <row r="47" spans="1:23" s="13" customFormat="1" x14ac:dyDescent="0.2">
      <c r="A47" s="17">
        <v>38</v>
      </c>
      <c r="B47" s="19">
        <v>1.178E-3</v>
      </c>
      <c r="C47" s="15">
        <v>7.0299999999999996E-4</v>
      </c>
      <c r="D47" s="15">
        <f t="shared" si="14"/>
        <v>0.90770110000000004</v>
      </c>
      <c r="E47" s="15">
        <f t="shared" si="15"/>
        <v>0.89046592000000002</v>
      </c>
      <c r="F47" s="12">
        <v>0.90770110000000004</v>
      </c>
      <c r="G47" s="12">
        <v>0.89046592000000002</v>
      </c>
      <c r="H47" s="14">
        <f t="shared" si="16"/>
        <v>0.86199999999999999</v>
      </c>
      <c r="I47" s="14">
        <f t="shared" si="17"/>
        <v>0.85699999999999998</v>
      </c>
      <c r="J47" s="15"/>
      <c r="K47" s="15"/>
      <c r="L47" s="12"/>
      <c r="M47" s="12"/>
      <c r="N47" s="17">
        <v>38</v>
      </c>
      <c r="O47" s="12">
        <f t="shared" si="18"/>
        <v>118</v>
      </c>
      <c r="P47" s="16" t="e">
        <f t="shared" si="25"/>
        <v>#N/A</v>
      </c>
      <c r="Q47" s="16" t="e">
        <f t="shared" si="13"/>
        <v>#N/A</v>
      </c>
      <c r="R47" s="12" t="e">
        <f t="shared" si="19"/>
        <v>#N/A</v>
      </c>
      <c r="S47" s="12" t="e">
        <f t="shared" si="20"/>
        <v>#N/A</v>
      </c>
      <c r="T47" s="12" t="e">
        <f t="shared" si="21"/>
        <v>#N/A</v>
      </c>
      <c r="U47" s="12" t="e">
        <f t="shared" si="22"/>
        <v>#N/A</v>
      </c>
      <c r="V47" s="12" t="e">
        <f t="shared" si="23"/>
        <v>#N/A</v>
      </c>
      <c r="W47" s="12" t="e">
        <f t="shared" si="24"/>
        <v>#N/A</v>
      </c>
    </row>
    <row r="48" spans="1:23" s="13" customFormat="1" x14ac:dyDescent="0.2">
      <c r="A48" s="17">
        <v>39</v>
      </c>
      <c r="B48" s="19">
        <v>1.2899999999999999E-3</v>
      </c>
      <c r="C48" s="15">
        <v>7.6999999999999996E-4</v>
      </c>
      <c r="D48" s="15">
        <f t="shared" si="14"/>
        <v>0.90557714</v>
      </c>
      <c r="E48" s="15">
        <f t="shared" si="15"/>
        <v>0.88833521000000004</v>
      </c>
      <c r="F48" s="12">
        <v>0.90557714</v>
      </c>
      <c r="G48" s="12">
        <v>0.88833521000000004</v>
      </c>
      <c r="H48" s="14">
        <f t="shared" si="16"/>
        <v>0.86199999999999999</v>
      </c>
      <c r="I48" s="14">
        <f t="shared" si="17"/>
        <v>0.85699999999999998</v>
      </c>
      <c r="J48" s="15"/>
      <c r="K48" s="15"/>
      <c r="L48" s="12"/>
      <c r="M48" s="12"/>
      <c r="N48" s="17">
        <v>39</v>
      </c>
      <c r="O48" s="12">
        <f t="shared" si="18"/>
        <v>119</v>
      </c>
      <c r="P48" s="16" t="e">
        <f t="shared" si="25"/>
        <v>#N/A</v>
      </c>
      <c r="Q48" s="16" t="e">
        <f t="shared" si="13"/>
        <v>#N/A</v>
      </c>
      <c r="R48" s="12" t="e">
        <f t="shared" si="19"/>
        <v>#N/A</v>
      </c>
      <c r="S48" s="12" t="e">
        <f t="shared" si="20"/>
        <v>#N/A</v>
      </c>
      <c r="T48" s="12" t="e">
        <f t="shared" si="21"/>
        <v>#N/A</v>
      </c>
      <c r="U48" s="12" t="e">
        <f t="shared" si="22"/>
        <v>#N/A</v>
      </c>
      <c r="V48" s="12" t="e">
        <f t="shared" si="23"/>
        <v>#N/A</v>
      </c>
      <c r="W48" s="12" t="e">
        <f t="shared" si="24"/>
        <v>#N/A</v>
      </c>
    </row>
    <row r="49" spans="1:23" s="13" customFormat="1" x14ac:dyDescent="0.2">
      <c r="A49" s="17">
        <v>40</v>
      </c>
      <c r="B49" s="19">
        <v>1.4300000000000001E-3</v>
      </c>
      <c r="C49" s="15">
        <v>8.2799999999999996E-4</v>
      </c>
      <c r="D49" s="15">
        <f t="shared" si="14"/>
        <v>0.90341092000000001</v>
      </c>
      <c r="E49" s="15">
        <f t="shared" si="15"/>
        <v>0.88611779000000002</v>
      </c>
      <c r="F49" s="12">
        <v>0.90341092000000001</v>
      </c>
      <c r="G49" s="12">
        <v>0.88611779000000002</v>
      </c>
      <c r="H49" s="14">
        <f t="shared" si="16"/>
        <v>0.87</v>
      </c>
      <c r="I49" s="14">
        <f t="shared" si="17"/>
        <v>0.85</v>
      </c>
      <c r="J49" s="15"/>
      <c r="K49" s="15"/>
      <c r="L49" s="12"/>
      <c r="M49" s="12"/>
      <c r="N49" s="17">
        <v>40</v>
      </c>
      <c r="O49" s="12">
        <f t="shared" si="18"/>
        <v>120</v>
      </c>
      <c r="P49" s="16" t="e">
        <f t="shared" si="25"/>
        <v>#N/A</v>
      </c>
      <c r="Q49" s="16" t="e">
        <f t="shared" si="13"/>
        <v>#N/A</v>
      </c>
      <c r="R49" s="12" t="e">
        <f t="shared" si="19"/>
        <v>#N/A</v>
      </c>
      <c r="S49" s="12" t="e">
        <f t="shared" si="20"/>
        <v>#N/A</v>
      </c>
      <c r="T49" s="12" t="e">
        <f t="shared" si="21"/>
        <v>#N/A</v>
      </c>
      <c r="U49" s="12" t="e">
        <f t="shared" si="22"/>
        <v>#N/A</v>
      </c>
      <c r="V49" s="12" t="e">
        <f t="shared" si="23"/>
        <v>#N/A</v>
      </c>
      <c r="W49" s="12" t="e">
        <f t="shared" si="24"/>
        <v>#N/A</v>
      </c>
    </row>
    <row r="50" spans="1:23" s="13" customFormat="1" x14ac:dyDescent="0.2">
      <c r="A50" s="17">
        <v>41</v>
      </c>
      <c r="B50" s="19">
        <v>1.534E-3</v>
      </c>
      <c r="C50" s="15">
        <v>9.1600000000000004E-4</v>
      </c>
      <c r="D50" s="15">
        <f t="shared" si="14"/>
        <v>0.90120202999999999</v>
      </c>
      <c r="E50" s="15">
        <f t="shared" si="15"/>
        <v>0.88381483000000005</v>
      </c>
      <c r="F50" s="12">
        <v>0.90120202999999999</v>
      </c>
      <c r="G50" s="12">
        <v>0.88381483000000005</v>
      </c>
      <c r="H50" s="14">
        <f t="shared" si="16"/>
        <v>0.87</v>
      </c>
      <c r="I50" s="14">
        <f t="shared" si="17"/>
        <v>0.85</v>
      </c>
      <c r="J50" s="15"/>
      <c r="K50" s="15"/>
      <c r="L50" s="12"/>
      <c r="M50" s="12"/>
      <c r="N50" s="17">
        <v>41</v>
      </c>
      <c r="O50" s="12">
        <f t="shared" si="18"/>
        <v>121</v>
      </c>
      <c r="P50" s="16" t="e">
        <f t="shared" si="25"/>
        <v>#N/A</v>
      </c>
      <c r="Q50" s="16" t="e">
        <f t="shared" si="13"/>
        <v>#N/A</v>
      </c>
      <c r="R50" s="12" t="e">
        <f t="shared" si="19"/>
        <v>#N/A</v>
      </c>
      <c r="S50" s="12" t="e">
        <f t="shared" si="20"/>
        <v>#N/A</v>
      </c>
      <c r="T50" s="12" t="e">
        <f t="shared" si="21"/>
        <v>#N/A</v>
      </c>
      <c r="U50" s="12" t="e">
        <f t="shared" si="22"/>
        <v>#N/A</v>
      </c>
      <c r="V50" s="12" t="e">
        <f t="shared" si="23"/>
        <v>#N/A</v>
      </c>
      <c r="W50" s="12" t="e">
        <f t="shared" si="24"/>
        <v>#N/A</v>
      </c>
    </row>
    <row r="51" spans="1:23" s="13" customFormat="1" x14ac:dyDescent="0.2">
      <c r="A51" s="17">
        <v>42</v>
      </c>
      <c r="B51" s="19">
        <v>1.676E-3</v>
      </c>
      <c r="C51" s="15">
        <v>1.0269999999999999E-3</v>
      </c>
      <c r="D51" s="15">
        <f t="shared" si="14"/>
        <v>0.89895009000000003</v>
      </c>
      <c r="E51" s="15">
        <f t="shared" si="15"/>
        <v>0.88142734</v>
      </c>
      <c r="F51" s="12">
        <v>0.89895009000000003</v>
      </c>
      <c r="G51" s="12">
        <v>0.88142734</v>
      </c>
      <c r="H51" s="14">
        <f t="shared" si="16"/>
        <v>0.87</v>
      </c>
      <c r="I51" s="14">
        <f t="shared" si="17"/>
        <v>0.85</v>
      </c>
      <c r="J51" s="15"/>
      <c r="K51" s="15"/>
      <c r="L51" s="12"/>
      <c r="M51" s="12"/>
      <c r="N51" s="17">
        <v>42</v>
      </c>
      <c r="O51" s="12">
        <f t="shared" si="18"/>
        <v>122</v>
      </c>
      <c r="P51" s="16" t="e">
        <f t="shared" si="25"/>
        <v>#N/A</v>
      </c>
      <c r="Q51" s="16" t="e">
        <f t="shared" si="13"/>
        <v>#N/A</v>
      </c>
      <c r="R51" s="12" t="e">
        <f t="shared" si="19"/>
        <v>#N/A</v>
      </c>
      <c r="S51" s="12" t="e">
        <f t="shared" si="20"/>
        <v>#N/A</v>
      </c>
      <c r="T51" s="12" t="e">
        <f t="shared" si="21"/>
        <v>#N/A</v>
      </c>
      <c r="U51" s="12" t="e">
        <f t="shared" si="22"/>
        <v>#N/A</v>
      </c>
      <c r="V51" s="12" t="e">
        <f t="shared" si="23"/>
        <v>#N/A</v>
      </c>
      <c r="W51" s="12" t="e">
        <f t="shared" si="24"/>
        <v>#N/A</v>
      </c>
    </row>
    <row r="52" spans="1:23" s="13" customFormat="1" x14ac:dyDescent="0.2">
      <c r="A52" s="17">
        <v>43</v>
      </c>
      <c r="B52" s="19">
        <v>1.851E-3</v>
      </c>
      <c r="C52" s="15">
        <v>1.098E-3</v>
      </c>
      <c r="D52" s="15">
        <f t="shared" si="14"/>
        <v>0.89665470999999997</v>
      </c>
      <c r="E52" s="15">
        <f t="shared" si="15"/>
        <v>0.87895621000000002</v>
      </c>
      <c r="F52" s="12">
        <v>0.89665470999999997</v>
      </c>
      <c r="G52" s="12">
        <v>0.87895621000000002</v>
      </c>
      <c r="H52" s="14">
        <f t="shared" si="16"/>
        <v>0.87</v>
      </c>
      <c r="I52" s="14">
        <f t="shared" si="17"/>
        <v>0.85</v>
      </c>
      <c r="J52" s="15"/>
      <c r="K52" s="15"/>
      <c r="L52" s="12"/>
      <c r="M52" s="12"/>
      <c r="N52" s="17">
        <v>43</v>
      </c>
      <c r="O52" s="12">
        <f t="shared" si="18"/>
        <v>123</v>
      </c>
      <c r="P52" s="16" t="e">
        <f t="shared" si="25"/>
        <v>#N/A</v>
      </c>
      <c r="Q52" s="16" t="e">
        <f t="shared" si="13"/>
        <v>#N/A</v>
      </c>
      <c r="R52" s="12" t="e">
        <f t="shared" si="19"/>
        <v>#N/A</v>
      </c>
      <c r="S52" s="12" t="e">
        <f t="shared" si="20"/>
        <v>#N/A</v>
      </c>
      <c r="T52" s="12" t="e">
        <f t="shared" si="21"/>
        <v>#N/A</v>
      </c>
      <c r="U52" s="12" t="e">
        <f t="shared" si="22"/>
        <v>#N/A</v>
      </c>
      <c r="V52" s="12" t="e">
        <f t="shared" si="23"/>
        <v>#N/A</v>
      </c>
      <c r="W52" s="12" t="e">
        <f t="shared" si="24"/>
        <v>#N/A</v>
      </c>
    </row>
    <row r="53" spans="1:23" s="13" customFormat="1" x14ac:dyDescent="0.2">
      <c r="A53" s="17">
        <v>44</v>
      </c>
      <c r="B53" s="19">
        <v>1.9599999999999999E-3</v>
      </c>
      <c r="C53" s="15">
        <v>1.2600000000000001E-3</v>
      </c>
      <c r="D53" s="15">
        <f t="shared" si="14"/>
        <v>0.89431554000000002</v>
      </c>
      <c r="E53" s="15">
        <f t="shared" si="15"/>
        <v>0.87640218000000003</v>
      </c>
      <c r="F53" s="12">
        <v>0.89431554000000002</v>
      </c>
      <c r="G53" s="12">
        <v>0.87640218000000003</v>
      </c>
      <c r="H53" s="14">
        <f t="shared" si="16"/>
        <v>0.87</v>
      </c>
      <c r="I53" s="14">
        <f t="shared" si="17"/>
        <v>0.85</v>
      </c>
      <c r="J53" s="15"/>
      <c r="K53" s="15"/>
      <c r="L53" s="12"/>
      <c r="M53" s="12"/>
      <c r="N53" s="17">
        <v>44</v>
      </c>
      <c r="O53" s="12">
        <f t="shared" si="18"/>
        <v>124</v>
      </c>
      <c r="P53" s="16" t="e">
        <f t="shared" si="25"/>
        <v>#N/A</v>
      </c>
      <c r="Q53" s="16" t="e">
        <f t="shared" si="13"/>
        <v>#N/A</v>
      </c>
      <c r="R53" s="12" t="e">
        <f t="shared" si="19"/>
        <v>#N/A</v>
      </c>
      <c r="S53" s="12" t="e">
        <f t="shared" si="20"/>
        <v>#N/A</v>
      </c>
      <c r="T53" s="12" t="e">
        <f t="shared" si="21"/>
        <v>#N/A</v>
      </c>
      <c r="U53" s="12" t="e">
        <f t="shared" si="22"/>
        <v>#N/A</v>
      </c>
      <c r="V53" s="12" t="e">
        <f t="shared" si="23"/>
        <v>#N/A</v>
      </c>
      <c r="W53" s="12" t="e">
        <f t="shared" si="24"/>
        <v>#N/A</v>
      </c>
    </row>
    <row r="54" spans="1:23" s="13" customFormat="1" x14ac:dyDescent="0.2">
      <c r="A54" s="17">
        <v>45</v>
      </c>
      <c r="B54" s="19">
        <v>2.2230000000000001E-3</v>
      </c>
      <c r="C54" s="15">
        <v>1.3600000000000001E-3</v>
      </c>
      <c r="D54" s="15">
        <f t="shared" si="14"/>
        <v>0.89193222000000005</v>
      </c>
      <c r="E54" s="15">
        <f t="shared" si="15"/>
        <v>0.87376591000000003</v>
      </c>
      <c r="F54" s="12">
        <v>0.89193222000000005</v>
      </c>
      <c r="G54" s="12">
        <v>0.87376591000000003</v>
      </c>
      <c r="H54" s="14">
        <f t="shared" si="16"/>
        <v>0.82399999999999995</v>
      </c>
      <c r="I54" s="14">
        <f t="shared" si="17"/>
        <v>0.81499999999999995</v>
      </c>
      <c r="J54" s="15"/>
      <c r="K54" s="15"/>
      <c r="L54" s="12"/>
      <c r="M54" s="12"/>
      <c r="N54" s="17">
        <v>45</v>
      </c>
      <c r="O54" s="12">
        <f t="shared" si="18"/>
        <v>125</v>
      </c>
      <c r="P54" s="16" t="e">
        <f t="shared" si="25"/>
        <v>#N/A</v>
      </c>
      <c r="Q54" s="16" t="e">
        <f t="shared" si="13"/>
        <v>#N/A</v>
      </c>
      <c r="R54" s="12" t="e">
        <f t="shared" si="19"/>
        <v>#N/A</v>
      </c>
      <c r="S54" s="12" t="e">
        <f t="shared" si="20"/>
        <v>#N/A</v>
      </c>
      <c r="T54" s="12" t="e">
        <f t="shared" si="21"/>
        <v>#N/A</v>
      </c>
      <c r="U54" s="12" t="e">
        <f t="shared" si="22"/>
        <v>#N/A</v>
      </c>
      <c r="V54" s="12" t="e">
        <f t="shared" si="23"/>
        <v>#N/A</v>
      </c>
      <c r="W54" s="12" t="e">
        <f t="shared" si="24"/>
        <v>#N/A</v>
      </c>
    </row>
    <row r="55" spans="1:23" s="13" customFormat="1" x14ac:dyDescent="0.2">
      <c r="A55" s="17">
        <v>46</v>
      </c>
      <c r="B55" s="19">
        <v>2.3040000000000001E-3</v>
      </c>
      <c r="C55" s="15">
        <v>1.4940000000000001E-3</v>
      </c>
      <c r="D55" s="15">
        <f t="shared" si="14"/>
        <v>0.88950441000000002</v>
      </c>
      <c r="E55" s="15">
        <f t="shared" si="15"/>
        <v>0.87104791999999998</v>
      </c>
      <c r="F55" s="12">
        <v>0.88950441000000002</v>
      </c>
      <c r="G55" s="12">
        <v>0.87104791999999998</v>
      </c>
      <c r="H55" s="14">
        <f t="shared" si="16"/>
        <v>0.82399999999999995</v>
      </c>
      <c r="I55" s="14">
        <f t="shared" si="17"/>
        <v>0.81499999999999995</v>
      </c>
      <c r="J55" s="15"/>
      <c r="K55" s="15"/>
      <c r="L55" s="12"/>
      <c r="M55" s="12"/>
      <c r="N55" s="17">
        <v>46</v>
      </c>
      <c r="O55" s="12">
        <f t="shared" si="18"/>
        <v>126</v>
      </c>
      <c r="P55" s="16" t="e">
        <f t="shared" si="25"/>
        <v>#N/A</v>
      </c>
      <c r="Q55" s="16" t="e">
        <f t="shared" si="13"/>
        <v>#N/A</v>
      </c>
      <c r="R55" s="12" t="e">
        <f t="shared" si="19"/>
        <v>#N/A</v>
      </c>
      <c r="S55" s="12" t="e">
        <f t="shared" si="20"/>
        <v>#N/A</v>
      </c>
      <c r="T55" s="12" t="e">
        <f t="shared" si="21"/>
        <v>#N/A</v>
      </c>
      <c r="U55" s="12" t="e">
        <f t="shared" si="22"/>
        <v>#N/A</v>
      </c>
      <c r="V55" s="12" t="e">
        <f t="shared" si="23"/>
        <v>#N/A</v>
      </c>
      <c r="W55" s="12" t="e">
        <f t="shared" si="24"/>
        <v>#N/A</v>
      </c>
    </row>
    <row r="56" spans="1:23" s="13" customFormat="1" x14ac:dyDescent="0.2">
      <c r="A56" s="17">
        <v>47</v>
      </c>
      <c r="B56" s="19">
        <v>2.5699999999999998E-3</v>
      </c>
      <c r="C56" s="15">
        <v>1.6180000000000001E-3</v>
      </c>
      <c r="D56" s="15">
        <f t="shared" si="14"/>
        <v>0.88703178999999999</v>
      </c>
      <c r="E56" s="15">
        <f t="shared" si="15"/>
        <v>0.86824862999999997</v>
      </c>
      <c r="F56" s="12">
        <v>0.88703178999999999</v>
      </c>
      <c r="G56" s="12">
        <v>0.86824862999999997</v>
      </c>
      <c r="H56" s="14">
        <f t="shared" si="16"/>
        <v>0.82399999999999995</v>
      </c>
      <c r="I56" s="14">
        <f t="shared" si="17"/>
        <v>0.81499999999999995</v>
      </c>
      <c r="J56" s="15"/>
      <c r="K56" s="15"/>
      <c r="L56" s="12"/>
      <c r="M56" s="12"/>
      <c r="N56" s="17">
        <v>47</v>
      </c>
      <c r="O56" s="12">
        <f t="shared" si="18"/>
        <v>127</v>
      </c>
      <c r="P56" s="16" t="e">
        <f t="shared" si="25"/>
        <v>#N/A</v>
      </c>
      <c r="Q56" s="16" t="e">
        <f t="shared" si="13"/>
        <v>#N/A</v>
      </c>
      <c r="R56" s="12" t="e">
        <f t="shared" si="19"/>
        <v>#N/A</v>
      </c>
      <c r="S56" s="12" t="e">
        <f t="shared" si="20"/>
        <v>#N/A</v>
      </c>
      <c r="T56" s="12" t="e">
        <f t="shared" si="21"/>
        <v>#N/A</v>
      </c>
      <c r="U56" s="12" t="e">
        <f t="shared" si="22"/>
        <v>#N/A</v>
      </c>
      <c r="V56" s="12" t="e">
        <f t="shared" si="23"/>
        <v>#N/A</v>
      </c>
      <c r="W56" s="12" t="e">
        <f t="shared" si="24"/>
        <v>#N/A</v>
      </c>
    </row>
    <row r="57" spans="1:23" s="13" customFormat="1" x14ac:dyDescent="0.2">
      <c r="A57" s="17">
        <v>48</v>
      </c>
      <c r="B57" s="19">
        <v>2.715E-3</v>
      </c>
      <c r="C57" s="15">
        <v>1.7700000000000001E-3</v>
      </c>
      <c r="D57" s="15">
        <f t="shared" si="14"/>
        <v>0.88451404</v>
      </c>
      <c r="E57" s="15">
        <f t="shared" si="15"/>
        <v>0.86536838000000005</v>
      </c>
      <c r="F57" s="12">
        <v>0.88451404</v>
      </c>
      <c r="G57" s="12">
        <v>0.86536838000000005</v>
      </c>
      <c r="H57" s="14">
        <f t="shared" si="16"/>
        <v>0.82399999999999995</v>
      </c>
      <c r="I57" s="14">
        <f t="shared" si="17"/>
        <v>0.81499999999999995</v>
      </c>
      <c r="J57" s="15"/>
      <c r="K57" s="15"/>
      <c r="L57" s="12"/>
      <c r="M57" s="12"/>
      <c r="N57" s="17">
        <v>48</v>
      </c>
      <c r="O57" s="12">
        <f t="shared" si="18"/>
        <v>128</v>
      </c>
      <c r="P57" s="16" t="e">
        <f t="shared" si="25"/>
        <v>#N/A</v>
      </c>
      <c r="Q57" s="16" t="e">
        <f t="shared" si="13"/>
        <v>#N/A</v>
      </c>
      <c r="R57" s="12" t="e">
        <f t="shared" si="19"/>
        <v>#N/A</v>
      </c>
      <c r="S57" s="12" t="e">
        <f t="shared" si="20"/>
        <v>#N/A</v>
      </c>
      <c r="T57" s="12" t="e">
        <f t="shared" si="21"/>
        <v>#N/A</v>
      </c>
      <c r="U57" s="12" t="e">
        <f t="shared" si="22"/>
        <v>#N/A</v>
      </c>
      <c r="V57" s="12" t="e">
        <f t="shared" si="23"/>
        <v>#N/A</v>
      </c>
      <c r="W57" s="12" t="e">
        <f t="shared" si="24"/>
        <v>#N/A</v>
      </c>
    </row>
    <row r="58" spans="1:23" s="13" customFormat="1" x14ac:dyDescent="0.2">
      <c r="A58" s="17">
        <v>49</v>
      </c>
      <c r="B58" s="19">
        <v>3.042E-3</v>
      </c>
      <c r="C58" s="15">
        <v>1.897E-3</v>
      </c>
      <c r="D58" s="15">
        <f t="shared" si="14"/>
        <v>0.88195089000000004</v>
      </c>
      <c r="E58" s="15">
        <f t="shared" si="15"/>
        <v>0.86240737999999995</v>
      </c>
      <c r="F58" s="12">
        <v>0.88195089000000004</v>
      </c>
      <c r="G58" s="12">
        <v>0.86240737999999995</v>
      </c>
      <c r="H58" s="14">
        <f t="shared" si="16"/>
        <v>0.82399999999999995</v>
      </c>
      <c r="I58" s="14">
        <f t="shared" si="17"/>
        <v>0.81499999999999995</v>
      </c>
      <c r="J58" s="15"/>
      <c r="K58" s="15"/>
      <c r="L58" s="12"/>
      <c r="M58" s="12"/>
      <c r="N58" s="17">
        <v>49</v>
      </c>
      <c r="O58" s="12">
        <f t="shared" si="18"/>
        <v>129</v>
      </c>
      <c r="P58" s="16" t="e">
        <f t="shared" si="25"/>
        <v>#N/A</v>
      </c>
      <c r="Q58" s="16" t="e">
        <f t="shared" si="13"/>
        <v>#N/A</v>
      </c>
      <c r="R58" s="12" t="e">
        <f t="shared" si="19"/>
        <v>#N/A</v>
      </c>
      <c r="S58" s="12" t="e">
        <f t="shared" si="20"/>
        <v>#N/A</v>
      </c>
      <c r="T58" s="12" t="e">
        <f t="shared" si="21"/>
        <v>#N/A</v>
      </c>
      <c r="U58" s="12" t="e">
        <f t="shared" si="22"/>
        <v>#N/A</v>
      </c>
      <c r="V58" s="12" t="e">
        <f t="shared" si="23"/>
        <v>#N/A</v>
      </c>
      <c r="W58" s="12" t="e">
        <f t="shared" si="24"/>
        <v>#N/A</v>
      </c>
    </row>
    <row r="59" spans="1:23" s="13" customFormat="1" x14ac:dyDescent="0.2">
      <c r="A59" s="17">
        <v>50</v>
      </c>
      <c r="B59" s="19">
        <v>3.2330000000000002E-3</v>
      </c>
      <c r="C59" s="15">
        <v>2.0890000000000001E-3</v>
      </c>
      <c r="D59" s="15">
        <f t="shared" si="14"/>
        <v>0.87934204999999999</v>
      </c>
      <c r="E59" s="15">
        <f t="shared" si="15"/>
        <v>0.85936579999999996</v>
      </c>
      <c r="F59" s="12">
        <v>0.87934204999999999</v>
      </c>
      <c r="G59" s="12">
        <v>0.85936579999999996</v>
      </c>
      <c r="H59" s="14">
        <f t="shared" si="16"/>
        <v>0.83699999999999997</v>
      </c>
      <c r="I59" s="14">
        <f t="shared" si="17"/>
        <v>0.80500000000000005</v>
      </c>
      <c r="J59" s="15"/>
      <c r="K59" s="15"/>
      <c r="L59" s="12"/>
      <c r="M59" s="12"/>
      <c r="N59" s="17">
        <v>50</v>
      </c>
      <c r="O59" s="12">
        <f t="shared" si="18"/>
        <v>130</v>
      </c>
      <c r="P59" s="16" t="e">
        <f t="shared" si="25"/>
        <v>#N/A</v>
      </c>
      <c r="Q59" s="16" t="e">
        <f t="shared" si="13"/>
        <v>#N/A</v>
      </c>
      <c r="R59" s="12" t="e">
        <f t="shared" si="19"/>
        <v>#N/A</v>
      </c>
      <c r="S59" s="12" t="e">
        <f t="shared" si="20"/>
        <v>#N/A</v>
      </c>
      <c r="T59" s="12" t="e">
        <f t="shared" si="21"/>
        <v>#N/A</v>
      </c>
      <c r="U59" s="12" t="e">
        <f t="shared" si="22"/>
        <v>#N/A</v>
      </c>
      <c r="V59" s="12" t="e">
        <f t="shared" si="23"/>
        <v>#N/A</v>
      </c>
      <c r="W59" s="12" t="e">
        <f t="shared" si="24"/>
        <v>#N/A</v>
      </c>
    </row>
    <row r="60" spans="1:23" s="13" customFormat="1" x14ac:dyDescent="0.2">
      <c r="A60" s="17">
        <v>51</v>
      </c>
      <c r="B60" s="19">
        <v>3.49E-3</v>
      </c>
      <c r="C60" s="15">
        <v>2.274E-3</v>
      </c>
      <c r="D60" s="15">
        <f t="shared" si="14"/>
        <v>0.87668727000000002</v>
      </c>
      <c r="E60" s="15">
        <f t="shared" si="15"/>
        <v>0.85624367999999995</v>
      </c>
      <c r="F60" s="12">
        <v>0.87668727000000002</v>
      </c>
      <c r="G60" s="12">
        <v>0.85624367999999995</v>
      </c>
      <c r="H60" s="14">
        <f t="shared" si="16"/>
        <v>0.83699999999999997</v>
      </c>
      <c r="I60" s="14">
        <f t="shared" si="17"/>
        <v>0.80500000000000005</v>
      </c>
      <c r="J60" s="15"/>
      <c r="K60" s="15"/>
      <c r="L60" s="12"/>
      <c r="M60" s="12"/>
      <c r="N60" s="17">
        <v>51</v>
      </c>
      <c r="O60" s="12">
        <f t="shared" si="18"/>
        <v>131</v>
      </c>
      <c r="P60" s="16" t="e">
        <f t="shared" si="25"/>
        <v>#N/A</v>
      </c>
      <c r="Q60" s="16" t="e">
        <f t="shared" si="13"/>
        <v>#N/A</v>
      </c>
      <c r="R60" s="12" t="e">
        <f t="shared" si="19"/>
        <v>#N/A</v>
      </c>
      <c r="S60" s="12" t="e">
        <f t="shared" si="20"/>
        <v>#N/A</v>
      </c>
      <c r="T60" s="12" t="e">
        <f t="shared" si="21"/>
        <v>#N/A</v>
      </c>
      <c r="U60" s="12" t="e">
        <f t="shared" si="22"/>
        <v>#N/A</v>
      </c>
      <c r="V60" s="12" t="e">
        <f t="shared" si="23"/>
        <v>#N/A</v>
      </c>
      <c r="W60" s="12" t="e">
        <f t="shared" si="24"/>
        <v>#N/A</v>
      </c>
    </row>
    <row r="61" spans="1:23" s="13" customFormat="1" x14ac:dyDescent="0.2">
      <c r="A61" s="17">
        <v>52</v>
      </c>
      <c r="B61" s="19">
        <v>3.748E-3</v>
      </c>
      <c r="C61" s="15">
        <v>2.4740000000000001E-3</v>
      </c>
      <c r="D61" s="15">
        <f t="shared" si="14"/>
        <v>0.87398631000000004</v>
      </c>
      <c r="E61" s="15">
        <f t="shared" si="15"/>
        <v>0.85304100999999999</v>
      </c>
      <c r="F61" s="12">
        <v>0.87398631000000004</v>
      </c>
      <c r="G61" s="12">
        <v>0.85304100999999999</v>
      </c>
      <c r="H61" s="14">
        <f t="shared" si="16"/>
        <v>0.83699999999999997</v>
      </c>
      <c r="I61" s="14">
        <f t="shared" si="17"/>
        <v>0.80500000000000005</v>
      </c>
      <c r="J61" s="15"/>
      <c r="K61" s="15"/>
      <c r="L61" s="12"/>
      <c r="M61" s="12"/>
      <c r="N61" s="17">
        <v>52</v>
      </c>
      <c r="O61" s="12">
        <f t="shared" si="18"/>
        <v>132</v>
      </c>
      <c r="P61" s="16" t="e">
        <f t="shared" si="25"/>
        <v>#N/A</v>
      </c>
      <c r="Q61" s="16" t="e">
        <f t="shared" si="13"/>
        <v>#N/A</v>
      </c>
      <c r="R61" s="12" t="e">
        <f t="shared" si="19"/>
        <v>#N/A</v>
      </c>
      <c r="S61" s="12" t="e">
        <f t="shared" si="20"/>
        <v>#N/A</v>
      </c>
      <c r="T61" s="12" t="e">
        <f t="shared" si="21"/>
        <v>#N/A</v>
      </c>
      <c r="U61" s="12" t="e">
        <f t="shared" si="22"/>
        <v>#N/A</v>
      </c>
      <c r="V61" s="12" t="e">
        <f t="shared" si="23"/>
        <v>#N/A</v>
      </c>
      <c r="W61" s="12" t="e">
        <f t="shared" si="24"/>
        <v>#N/A</v>
      </c>
    </row>
    <row r="62" spans="1:23" s="13" customFormat="1" x14ac:dyDescent="0.2">
      <c r="A62" s="17">
        <v>53</v>
      </c>
      <c r="B62" s="19">
        <v>4.0130000000000001E-3</v>
      </c>
      <c r="C62" s="15">
        <v>2.5869999999999999E-3</v>
      </c>
      <c r="D62" s="15">
        <f t="shared" si="14"/>
        <v>0.87123896999999995</v>
      </c>
      <c r="E62" s="15">
        <f t="shared" si="15"/>
        <v>0.84975767999999996</v>
      </c>
      <c r="F62" s="12">
        <v>0.87123896999999995</v>
      </c>
      <c r="G62" s="12">
        <v>0.84975767999999996</v>
      </c>
      <c r="H62" s="14">
        <f t="shared" si="16"/>
        <v>0.83699999999999997</v>
      </c>
      <c r="I62" s="14">
        <f t="shared" si="17"/>
        <v>0.80500000000000005</v>
      </c>
      <c r="J62" s="15"/>
      <c r="K62" s="15"/>
      <c r="L62" s="12"/>
      <c r="M62" s="12"/>
      <c r="N62" s="17">
        <v>53</v>
      </c>
      <c r="O62" s="12">
        <f t="shared" si="18"/>
        <v>133</v>
      </c>
      <c r="P62" s="16" t="e">
        <f t="shared" si="25"/>
        <v>#N/A</v>
      </c>
      <c r="Q62" s="16" t="e">
        <f t="shared" si="13"/>
        <v>#N/A</v>
      </c>
      <c r="R62" s="12" t="e">
        <f t="shared" si="19"/>
        <v>#N/A</v>
      </c>
      <c r="S62" s="12" t="e">
        <f t="shared" si="20"/>
        <v>#N/A</v>
      </c>
      <c r="T62" s="12" t="e">
        <f t="shared" si="21"/>
        <v>#N/A</v>
      </c>
      <c r="U62" s="12" t="e">
        <f t="shared" si="22"/>
        <v>#N/A</v>
      </c>
      <c r="V62" s="12" t="e">
        <f t="shared" si="23"/>
        <v>#N/A</v>
      </c>
      <c r="W62" s="12" t="e">
        <f t="shared" si="24"/>
        <v>#N/A</v>
      </c>
    </row>
    <row r="63" spans="1:23" s="13" customFormat="1" x14ac:dyDescent="0.2">
      <c r="A63" s="17">
        <v>54</v>
      </c>
      <c r="B63" s="19">
        <v>4.3090000000000003E-3</v>
      </c>
      <c r="C63" s="15">
        <v>2.7699999999999999E-3</v>
      </c>
      <c r="D63" s="15">
        <f t="shared" si="14"/>
        <v>0.86844504</v>
      </c>
      <c r="E63" s="15">
        <f t="shared" si="15"/>
        <v>0.84639352000000001</v>
      </c>
      <c r="F63" s="12">
        <v>0.86844504</v>
      </c>
      <c r="G63" s="12">
        <v>0.84639352000000001</v>
      </c>
      <c r="H63" s="14">
        <f t="shared" si="16"/>
        <v>0.83699999999999997</v>
      </c>
      <c r="I63" s="14">
        <f t="shared" si="17"/>
        <v>0.80500000000000005</v>
      </c>
      <c r="J63" s="15"/>
      <c r="K63" s="15"/>
      <c r="L63" s="12"/>
      <c r="M63" s="12"/>
      <c r="N63" s="17">
        <v>54</v>
      </c>
      <c r="O63" s="12">
        <f t="shared" si="18"/>
        <v>134</v>
      </c>
      <c r="P63" s="16" t="e">
        <f t="shared" si="25"/>
        <v>#N/A</v>
      </c>
      <c r="Q63" s="16" t="e">
        <f t="shared" si="13"/>
        <v>#N/A</v>
      </c>
      <c r="R63" s="12" t="e">
        <f t="shared" si="19"/>
        <v>#N/A</v>
      </c>
      <c r="S63" s="12" t="e">
        <f t="shared" si="20"/>
        <v>#N/A</v>
      </c>
      <c r="T63" s="12" t="e">
        <f t="shared" si="21"/>
        <v>#N/A</v>
      </c>
      <c r="U63" s="12" t="e">
        <f t="shared" si="22"/>
        <v>#N/A</v>
      </c>
      <c r="V63" s="12" t="e">
        <f t="shared" si="23"/>
        <v>#N/A</v>
      </c>
      <c r="W63" s="12" t="e">
        <f t="shared" si="24"/>
        <v>#N/A</v>
      </c>
    </row>
    <row r="64" spans="1:23" s="13" customFormat="1" x14ac:dyDescent="0.2">
      <c r="A64" s="17">
        <v>55</v>
      </c>
      <c r="B64" s="19">
        <v>4.6420000000000003E-3</v>
      </c>
      <c r="C64" s="15">
        <v>3.0839999999999999E-3</v>
      </c>
      <c r="D64" s="15">
        <f t="shared" si="14"/>
        <v>0.86560437000000001</v>
      </c>
      <c r="E64" s="15">
        <f t="shared" si="15"/>
        <v>0.84294827000000006</v>
      </c>
      <c r="F64" s="12">
        <v>0.86560437000000001</v>
      </c>
      <c r="G64" s="12">
        <v>0.84294827000000006</v>
      </c>
      <c r="H64" s="14">
        <f t="shared" si="16"/>
        <v>0.81699999999999995</v>
      </c>
      <c r="I64" s="14">
        <f t="shared" si="17"/>
        <v>0.80200000000000005</v>
      </c>
      <c r="J64" s="15"/>
      <c r="K64" s="15"/>
      <c r="L64" s="12"/>
      <c r="M64" s="12"/>
      <c r="N64" s="17">
        <v>55</v>
      </c>
      <c r="O64" s="12">
        <f t="shared" si="18"/>
        <v>135</v>
      </c>
      <c r="P64" s="16" t="e">
        <f t="shared" si="25"/>
        <v>#N/A</v>
      </c>
      <c r="Q64" s="16" t="e">
        <f t="shared" si="13"/>
        <v>#N/A</v>
      </c>
      <c r="R64" s="12" t="e">
        <f t="shared" si="19"/>
        <v>#N/A</v>
      </c>
      <c r="S64" s="12" t="e">
        <f t="shared" si="20"/>
        <v>#N/A</v>
      </c>
      <c r="T64" s="12" t="e">
        <f t="shared" si="21"/>
        <v>#N/A</v>
      </c>
      <c r="U64" s="12" t="e">
        <f t="shared" si="22"/>
        <v>#N/A</v>
      </c>
      <c r="V64" s="12" t="e">
        <f t="shared" si="23"/>
        <v>#N/A</v>
      </c>
      <c r="W64" s="12" t="e">
        <f t="shared" si="24"/>
        <v>#N/A</v>
      </c>
    </row>
    <row r="65" spans="1:23" s="13" customFormat="1" x14ac:dyDescent="0.2">
      <c r="A65" s="17">
        <v>56</v>
      </c>
      <c r="B65" s="19">
        <v>5.1780000000000003E-3</v>
      </c>
      <c r="C65" s="15">
        <v>3.395E-3</v>
      </c>
      <c r="D65" s="15">
        <f t="shared" si="14"/>
        <v>0.86271679999999995</v>
      </c>
      <c r="E65" s="15">
        <f t="shared" si="15"/>
        <v>0.83942161999999998</v>
      </c>
      <c r="F65" s="12">
        <v>0.86271679999999995</v>
      </c>
      <c r="G65" s="12">
        <v>0.83942161999999998</v>
      </c>
      <c r="H65" s="14">
        <f t="shared" si="16"/>
        <v>0.81699999999999995</v>
      </c>
      <c r="I65" s="14">
        <f t="shared" si="17"/>
        <v>0.80200000000000005</v>
      </c>
      <c r="J65" s="15"/>
      <c r="K65" s="15"/>
      <c r="L65" s="12"/>
      <c r="M65" s="12"/>
      <c r="N65" s="17">
        <v>56</v>
      </c>
      <c r="O65" s="12">
        <f t="shared" si="18"/>
        <v>136</v>
      </c>
      <c r="P65" s="16" t="e">
        <f t="shared" si="25"/>
        <v>#N/A</v>
      </c>
      <c r="Q65" s="16" t="e">
        <f t="shared" si="13"/>
        <v>#N/A</v>
      </c>
      <c r="R65" s="12" t="e">
        <f t="shared" si="19"/>
        <v>#N/A</v>
      </c>
      <c r="S65" s="12" t="e">
        <f t="shared" si="20"/>
        <v>#N/A</v>
      </c>
      <c r="T65" s="12" t="e">
        <f t="shared" si="21"/>
        <v>#N/A</v>
      </c>
      <c r="U65" s="12" t="e">
        <f t="shared" si="22"/>
        <v>#N/A</v>
      </c>
      <c r="V65" s="12" t="e">
        <f t="shared" si="23"/>
        <v>#N/A</v>
      </c>
      <c r="W65" s="12" t="e">
        <f t="shared" si="24"/>
        <v>#N/A</v>
      </c>
    </row>
    <row r="66" spans="1:23" s="13" customFormat="1" x14ac:dyDescent="0.2">
      <c r="A66" s="17">
        <v>57</v>
      </c>
      <c r="B66" s="19">
        <v>5.6779999999999999E-3</v>
      </c>
      <c r="C66" s="15">
        <v>3.6819999999999999E-3</v>
      </c>
      <c r="D66" s="15">
        <f t="shared" si="14"/>
        <v>0.85978222000000004</v>
      </c>
      <c r="E66" s="15">
        <f t="shared" si="15"/>
        <v>0.83581316999999999</v>
      </c>
      <c r="F66" s="12">
        <v>0.85978222000000004</v>
      </c>
      <c r="G66" s="12">
        <v>0.83581316999999999</v>
      </c>
      <c r="H66" s="14">
        <f t="shared" si="16"/>
        <v>0.81699999999999995</v>
      </c>
      <c r="I66" s="14">
        <f t="shared" si="17"/>
        <v>0.80200000000000005</v>
      </c>
      <c r="J66" s="15"/>
      <c r="K66" s="15"/>
      <c r="L66" s="12"/>
      <c r="M66" s="12"/>
      <c r="N66" s="17">
        <v>57</v>
      </c>
      <c r="O66" s="12">
        <f t="shared" si="18"/>
        <v>137</v>
      </c>
      <c r="P66" s="16" t="e">
        <f t="shared" si="25"/>
        <v>#N/A</v>
      </c>
      <c r="Q66" s="16" t="e">
        <f t="shared" si="13"/>
        <v>#N/A</v>
      </c>
      <c r="R66" s="12" t="e">
        <f t="shared" si="19"/>
        <v>#N/A</v>
      </c>
      <c r="S66" s="12" t="e">
        <f t="shared" si="20"/>
        <v>#N/A</v>
      </c>
      <c r="T66" s="12" t="e">
        <f t="shared" si="21"/>
        <v>#N/A</v>
      </c>
      <c r="U66" s="12" t="e">
        <f t="shared" si="22"/>
        <v>#N/A</v>
      </c>
      <c r="V66" s="12" t="e">
        <f t="shared" si="23"/>
        <v>#N/A</v>
      </c>
      <c r="W66" s="12" t="e">
        <f t="shared" si="24"/>
        <v>#N/A</v>
      </c>
    </row>
    <row r="67" spans="1:23" s="13" customFormat="1" x14ac:dyDescent="0.2">
      <c r="A67" s="17">
        <v>58</v>
      </c>
      <c r="B67" s="19">
        <v>6.1890000000000001E-3</v>
      </c>
      <c r="C67" s="15">
        <v>4.0730000000000002E-3</v>
      </c>
      <c r="D67" s="15">
        <f t="shared" si="14"/>
        <v>0.85680053</v>
      </c>
      <c r="E67" s="15">
        <f t="shared" si="15"/>
        <v>0.83212248</v>
      </c>
      <c r="F67" s="12">
        <v>0.85680053</v>
      </c>
      <c r="G67" s="12">
        <v>0.83212248</v>
      </c>
      <c r="H67" s="14">
        <f t="shared" si="16"/>
        <v>0.81699999999999995</v>
      </c>
      <c r="I67" s="14">
        <f t="shared" si="17"/>
        <v>0.80200000000000005</v>
      </c>
      <c r="J67" s="15"/>
      <c r="K67" s="15"/>
      <c r="L67" s="12"/>
      <c r="M67" s="12"/>
      <c r="N67" s="17">
        <v>58</v>
      </c>
      <c r="O67" s="12">
        <f t="shared" si="18"/>
        <v>138</v>
      </c>
      <c r="P67" s="16" t="e">
        <f t="shared" si="25"/>
        <v>#N/A</v>
      </c>
      <c r="Q67" s="16" t="e">
        <f t="shared" si="13"/>
        <v>#N/A</v>
      </c>
      <c r="R67" s="12" t="e">
        <f t="shared" si="19"/>
        <v>#N/A</v>
      </c>
      <c r="S67" s="12" t="e">
        <f t="shared" si="20"/>
        <v>#N/A</v>
      </c>
      <c r="T67" s="12" t="e">
        <f t="shared" si="21"/>
        <v>#N/A</v>
      </c>
      <c r="U67" s="12" t="e">
        <f t="shared" si="22"/>
        <v>#N/A</v>
      </c>
      <c r="V67" s="12" t="e">
        <f t="shared" si="23"/>
        <v>#N/A</v>
      </c>
      <c r="W67" s="12" t="e">
        <f t="shared" si="24"/>
        <v>#N/A</v>
      </c>
    </row>
    <row r="68" spans="1:23" s="13" customFormat="1" x14ac:dyDescent="0.2">
      <c r="A68" s="17">
        <v>59</v>
      </c>
      <c r="B68" s="19">
        <v>6.705E-3</v>
      </c>
      <c r="C68" s="15">
        <v>4.3930000000000002E-3</v>
      </c>
      <c r="D68" s="15">
        <f t="shared" si="14"/>
        <v>0.85377168999999997</v>
      </c>
      <c r="E68" s="15">
        <f t="shared" si="15"/>
        <v>0.82834901000000005</v>
      </c>
      <c r="F68" s="12">
        <v>0.85377168999999997</v>
      </c>
      <c r="G68" s="12">
        <v>0.82834901000000005</v>
      </c>
      <c r="H68" s="14">
        <f t="shared" si="16"/>
        <v>0.81699999999999995</v>
      </c>
      <c r="I68" s="14">
        <f t="shared" si="17"/>
        <v>0.80200000000000005</v>
      </c>
      <c r="J68" s="15"/>
      <c r="K68" s="15"/>
      <c r="L68" s="12"/>
      <c r="M68" s="12"/>
      <c r="N68" s="17">
        <v>59</v>
      </c>
      <c r="O68" s="12">
        <f t="shared" si="18"/>
        <v>139</v>
      </c>
      <c r="P68" s="16" t="e">
        <f t="shared" si="25"/>
        <v>#N/A</v>
      </c>
      <c r="Q68" s="16" t="e">
        <f t="shared" si="13"/>
        <v>#N/A</v>
      </c>
      <c r="R68" s="12" t="e">
        <f t="shared" si="19"/>
        <v>#N/A</v>
      </c>
      <c r="S68" s="12" t="e">
        <f t="shared" si="20"/>
        <v>#N/A</v>
      </c>
      <c r="T68" s="12" t="e">
        <f t="shared" si="21"/>
        <v>#N/A</v>
      </c>
      <c r="U68" s="12" t="e">
        <f t="shared" si="22"/>
        <v>#N/A</v>
      </c>
      <c r="V68" s="12" t="e">
        <f t="shared" si="23"/>
        <v>#N/A</v>
      </c>
      <c r="W68" s="12" t="e">
        <f t="shared" si="24"/>
        <v>#N/A</v>
      </c>
    </row>
    <row r="69" spans="1:23" s="13" customFormat="1" x14ac:dyDescent="0.2">
      <c r="A69" s="17">
        <v>60</v>
      </c>
      <c r="B69" s="19">
        <v>7.3860000000000002E-3</v>
      </c>
      <c r="C69" s="15">
        <v>4.8409999999999998E-3</v>
      </c>
      <c r="D69" s="15">
        <f t="shared" si="14"/>
        <v>0.85069565000000003</v>
      </c>
      <c r="E69" s="15">
        <f t="shared" si="15"/>
        <v>0.82449218000000002</v>
      </c>
      <c r="F69" s="12">
        <v>0.85069565000000003</v>
      </c>
      <c r="G69" s="12">
        <v>0.82449218000000002</v>
      </c>
      <c r="H69" s="14">
        <f t="shared" si="16"/>
        <v>0.80900000000000005</v>
      </c>
      <c r="I69" s="14">
        <f t="shared" si="17"/>
        <v>0.78400000000000003</v>
      </c>
      <c r="J69" s="15"/>
      <c r="K69" s="15"/>
      <c r="L69" s="12"/>
      <c r="M69" s="12"/>
      <c r="N69" s="17">
        <v>60</v>
      </c>
      <c r="O69" s="12">
        <f t="shared" si="18"/>
        <v>140</v>
      </c>
      <c r="P69" s="16" t="e">
        <f t="shared" si="25"/>
        <v>#N/A</v>
      </c>
      <c r="Q69" s="16" t="e">
        <f t="shared" si="13"/>
        <v>#N/A</v>
      </c>
      <c r="R69" s="12" t="e">
        <f t="shared" si="19"/>
        <v>#N/A</v>
      </c>
      <c r="S69" s="12" t="e">
        <f t="shared" si="20"/>
        <v>#N/A</v>
      </c>
      <c r="T69" s="12" t="e">
        <f t="shared" si="21"/>
        <v>#N/A</v>
      </c>
      <c r="U69" s="12" t="e">
        <f t="shared" si="22"/>
        <v>#N/A</v>
      </c>
      <c r="V69" s="12" t="e">
        <f t="shared" si="23"/>
        <v>#N/A</v>
      </c>
      <c r="W69" s="12" t="e">
        <f t="shared" si="24"/>
        <v>#N/A</v>
      </c>
    </row>
    <row r="70" spans="1:23" s="13" customFormat="1" x14ac:dyDescent="0.2">
      <c r="A70" s="17">
        <v>61</v>
      </c>
      <c r="B70" s="19">
        <v>8.0169999999999998E-3</v>
      </c>
      <c r="C70" s="15">
        <v>5.2849999999999998E-3</v>
      </c>
      <c r="D70" s="15">
        <f t="shared" si="14"/>
        <v>0.84757241000000005</v>
      </c>
      <c r="E70" s="15">
        <f t="shared" si="15"/>
        <v>0.82055133000000002</v>
      </c>
      <c r="F70" s="12">
        <v>0.84757241000000005</v>
      </c>
      <c r="G70" s="12">
        <v>0.82055133000000002</v>
      </c>
      <c r="H70" s="14">
        <f t="shared" si="16"/>
        <v>0.80900000000000005</v>
      </c>
      <c r="I70" s="14">
        <f t="shared" si="17"/>
        <v>0.78400000000000003</v>
      </c>
      <c r="J70" s="15"/>
      <c r="K70" s="15"/>
      <c r="L70" s="12"/>
      <c r="M70" s="12"/>
      <c r="N70" s="17">
        <v>61</v>
      </c>
      <c r="O70" s="12">
        <f t="shared" si="18"/>
        <v>141</v>
      </c>
      <c r="P70" s="16" t="e">
        <f t="shared" si="25"/>
        <v>#N/A</v>
      </c>
      <c r="Q70" s="16" t="e">
        <f t="shared" si="13"/>
        <v>#N/A</v>
      </c>
      <c r="R70" s="12" t="e">
        <f t="shared" si="19"/>
        <v>#N/A</v>
      </c>
      <c r="S70" s="12" t="e">
        <f t="shared" si="20"/>
        <v>#N/A</v>
      </c>
      <c r="T70" s="12" t="e">
        <f t="shared" si="21"/>
        <v>#N/A</v>
      </c>
      <c r="U70" s="12" t="e">
        <f t="shared" si="22"/>
        <v>#N/A</v>
      </c>
      <c r="V70" s="12" t="e">
        <f t="shared" si="23"/>
        <v>#N/A</v>
      </c>
      <c r="W70" s="12" t="e">
        <f t="shared" si="24"/>
        <v>#N/A</v>
      </c>
    </row>
    <row r="71" spans="1:23" s="13" customFormat="1" x14ac:dyDescent="0.2">
      <c r="A71" s="17">
        <v>62</v>
      </c>
      <c r="B71" s="19">
        <v>8.9580000000000007E-3</v>
      </c>
      <c r="C71" s="15">
        <v>6.0790000000000002E-3</v>
      </c>
      <c r="D71" s="15">
        <f t="shared" si="14"/>
        <v>0.84440201999999998</v>
      </c>
      <c r="E71" s="15">
        <f t="shared" si="15"/>
        <v>0.81652575999999999</v>
      </c>
      <c r="F71" s="12">
        <v>0.84440201999999998</v>
      </c>
      <c r="G71" s="12">
        <v>0.81652575999999999</v>
      </c>
      <c r="H71" s="14">
        <f t="shared" si="16"/>
        <v>0.80900000000000005</v>
      </c>
      <c r="I71" s="14">
        <f t="shared" si="17"/>
        <v>0.78400000000000003</v>
      </c>
      <c r="J71" s="15"/>
      <c r="K71" s="15"/>
      <c r="L71" s="12"/>
      <c r="M71" s="12"/>
      <c r="N71" s="17">
        <v>62</v>
      </c>
      <c r="O71" s="12">
        <f t="shared" si="18"/>
        <v>142</v>
      </c>
      <c r="P71" s="16" t="e">
        <f t="shared" si="25"/>
        <v>#N/A</v>
      </c>
      <c r="Q71" s="16" t="e">
        <f t="shared" si="13"/>
        <v>#N/A</v>
      </c>
      <c r="R71" s="12" t="e">
        <f t="shared" si="19"/>
        <v>#N/A</v>
      </c>
      <c r="S71" s="12" t="e">
        <f t="shared" si="20"/>
        <v>#N/A</v>
      </c>
      <c r="T71" s="12" t="e">
        <f t="shared" si="21"/>
        <v>#N/A</v>
      </c>
      <c r="U71" s="12" t="e">
        <f t="shared" si="22"/>
        <v>#N/A</v>
      </c>
      <c r="V71" s="12" t="e">
        <f t="shared" si="23"/>
        <v>#N/A</v>
      </c>
      <c r="W71" s="12" t="e">
        <f t="shared" si="24"/>
        <v>#N/A</v>
      </c>
    </row>
    <row r="72" spans="1:23" s="13" customFormat="1" x14ac:dyDescent="0.2">
      <c r="A72" s="17">
        <v>63</v>
      </c>
      <c r="B72" s="19">
        <v>9.8799999999999999E-3</v>
      </c>
      <c r="C72" s="15">
        <v>6.4570000000000001E-3</v>
      </c>
      <c r="D72" s="15">
        <f t="shared" si="14"/>
        <v>0.84118453999999998</v>
      </c>
      <c r="E72" s="15">
        <f t="shared" si="15"/>
        <v>0.81241467999999994</v>
      </c>
      <c r="F72" s="12">
        <v>0.84118453999999998</v>
      </c>
      <c r="G72" s="12">
        <v>0.81241467999999994</v>
      </c>
      <c r="H72" s="14">
        <f t="shared" si="16"/>
        <v>0.80900000000000005</v>
      </c>
      <c r="I72" s="14">
        <f t="shared" si="17"/>
        <v>0.78400000000000003</v>
      </c>
      <c r="J72" s="15"/>
      <c r="K72" s="15"/>
      <c r="L72" s="12"/>
      <c r="M72" s="12"/>
      <c r="N72" s="17">
        <v>63</v>
      </c>
      <c r="O72" s="12">
        <f t="shared" si="18"/>
        <v>143</v>
      </c>
      <c r="P72" s="16" t="e">
        <f t="shared" ref="P72:P103" si="26">P71-P71*VLOOKUP(O71,lifetable,2,FALSE)</f>
        <v>#N/A</v>
      </c>
      <c r="Q72" s="16" t="e">
        <f t="shared" ref="Q72:Q103" si="27">Q71-Q71*VLOOKUP(O71,lifetable,3,FALSE)</f>
        <v>#N/A</v>
      </c>
      <c r="R72" s="12" t="e">
        <f t="shared" si="19"/>
        <v>#N/A</v>
      </c>
      <c r="S72" s="12" t="e">
        <f t="shared" si="20"/>
        <v>#N/A</v>
      </c>
      <c r="T72" s="12" t="e">
        <f t="shared" si="21"/>
        <v>#N/A</v>
      </c>
      <c r="U72" s="12" t="e">
        <f t="shared" si="22"/>
        <v>#N/A</v>
      </c>
      <c r="V72" s="12" t="e">
        <f t="shared" si="23"/>
        <v>#N/A</v>
      </c>
      <c r="W72" s="12" t="e">
        <f t="shared" si="24"/>
        <v>#N/A</v>
      </c>
    </row>
    <row r="73" spans="1:23" s="13" customFormat="1" x14ac:dyDescent="0.2">
      <c r="A73" s="17">
        <v>64</v>
      </c>
      <c r="B73" s="19">
        <v>1.0678E-2</v>
      </c>
      <c r="C73" s="15">
        <v>6.9820000000000004E-3</v>
      </c>
      <c r="D73" s="15">
        <f t="shared" ref="D73:D104" si="28">IF(util=1,F73,IF(util=2,H73,"err"))</f>
        <v>0.83792007000000002</v>
      </c>
      <c r="E73" s="15">
        <f t="shared" ref="E73:E104" si="29">IF(util=1,G73,IF(util=2,I73,"err"))</f>
        <v>0.80821728000000004</v>
      </c>
      <c r="F73" s="12">
        <v>0.83792007000000002</v>
      </c>
      <c r="G73" s="12">
        <v>0.80821728000000004</v>
      </c>
      <c r="H73" s="14">
        <f t="shared" ref="H73:H109" si="30">VLOOKUP($A73,$K$9:$M$26,2)</f>
        <v>0.80900000000000005</v>
      </c>
      <c r="I73" s="14">
        <f t="shared" ref="I73:I104" si="31">VLOOKUP($A73,$K$9:$M$26,3)</f>
        <v>0.78400000000000003</v>
      </c>
      <c r="J73" s="15"/>
      <c r="K73" s="15"/>
      <c r="L73" s="12"/>
      <c r="M73" s="12"/>
      <c r="N73" s="17">
        <v>64</v>
      </c>
      <c r="O73" s="12">
        <f t="shared" ref="O73:O104" si="32">Age+N73</f>
        <v>144</v>
      </c>
      <c r="P73" s="16" t="e">
        <f t="shared" si="26"/>
        <v>#N/A</v>
      </c>
      <c r="Q73" s="16" t="e">
        <f t="shared" si="27"/>
        <v>#N/A</v>
      </c>
      <c r="R73" s="12" t="e">
        <f t="shared" ref="R73:R109" si="33">(P73+P74)/2</f>
        <v>#N/A</v>
      </c>
      <c r="S73" s="12" t="e">
        <f t="shared" ref="S73:S109" si="34">(Q73+Q74)/2</f>
        <v>#N/A</v>
      </c>
      <c r="T73" s="12" t="e">
        <f t="shared" ref="T73:T109" si="35">R73*VLOOKUP(O73,lifetable,4,FALSE)</f>
        <v>#N/A</v>
      </c>
      <c r="U73" s="12" t="e">
        <f t="shared" ref="U73:U109" si="36">S73*VLOOKUP(O73,lifetable,5,FALSE)</f>
        <v>#N/A</v>
      </c>
      <c r="V73" s="12" t="e">
        <f t="shared" ref="V73:V109" si="37">T73/(1+Disc)^N73</f>
        <v>#N/A</v>
      </c>
      <c r="W73" s="12" t="e">
        <f t="shared" ref="W73:W109" si="38">U73/(1+Disc)^N73</f>
        <v>#N/A</v>
      </c>
    </row>
    <row r="74" spans="1:23" s="13" customFormat="1" x14ac:dyDescent="0.2">
      <c r="A74" s="17">
        <v>65</v>
      </c>
      <c r="B74" s="19">
        <v>1.1802E-2</v>
      </c>
      <c r="C74" s="15">
        <v>7.6680000000000003E-3</v>
      </c>
      <c r="D74" s="15">
        <f t="shared" si="28"/>
        <v>0.83460878000000005</v>
      </c>
      <c r="E74" s="15">
        <f t="shared" si="29"/>
        <v>0.80393265999999997</v>
      </c>
      <c r="F74" s="12">
        <v>0.83460878000000005</v>
      </c>
      <c r="G74" s="12">
        <v>0.80393265999999997</v>
      </c>
      <c r="H74" s="14">
        <f t="shared" si="30"/>
        <v>0.79800000000000004</v>
      </c>
      <c r="I74" s="14">
        <f t="shared" si="31"/>
        <v>0.78200000000000003</v>
      </c>
      <c r="J74" s="15"/>
      <c r="K74" s="15"/>
      <c r="L74" s="12"/>
      <c r="M74" s="12"/>
      <c r="N74" s="17">
        <v>65</v>
      </c>
      <c r="O74" s="12">
        <f t="shared" si="32"/>
        <v>145</v>
      </c>
      <c r="P74" s="16" t="e">
        <f t="shared" si="26"/>
        <v>#N/A</v>
      </c>
      <c r="Q74" s="16" t="e">
        <f t="shared" si="27"/>
        <v>#N/A</v>
      </c>
      <c r="R74" s="12" t="e">
        <f t="shared" si="33"/>
        <v>#N/A</v>
      </c>
      <c r="S74" s="12" t="e">
        <f t="shared" si="34"/>
        <v>#N/A</v>
      </c>
      <c r="T74" s="12" t="e">
        <f t="shared" si="35"/>
        <v>#N/A</v>
      </c>
      <c r="U74" s="12" t="e">
        <f t="shared" si="36"/>
        <v>#N/A</v>
      </c>
      <c r="V74" s="12" t="e">
        <f t="shared" si="37"/>
        <v>#N/A</v>
      </c>
      <c r="W74" s="12" t="e">
        <f t="shared" si="38"/>
        <v>#N/A</v>
      </c>
    </row>
    <row r="75" spans="1:23" s="13" customFormat="1" x14ac:dyDescent="0.2">
      <c r="A75" s="17">
        <v>66</v>
      </c>
      <c r="B75" s="19">
        <v>1.2900999999999999E-2</v>
      </c>
      <c r="C75" s="15">
        <v>8.2439999999999996E-3</v>
      </c>
      <c r="D75" s="15">
        <f t="shared" si="28"/>
        <v>0.83125083</v>
      </c>
      <c r="E75" s="15">
        <f t="shared" si="29"/>
        <v>0.79955988</v>
      </c>
      <c r="F75" s="12">
        <v>0.83125083</v>
      </c>
      <c r="G75" s="12">
        <v>0.79955988</v>
      </c>
      <c r="H75" s="14">
        <f t="shared" si="30"/>
        <v>0.79800000000000004</v>
      </c>
      <c r="I75" s="14">
        <f t="shared" si="31"/>
        <v>0.78200000000000003</v>
      </c>
      <c r="J75" s="15"/>
      <c r="K75" s="15"/>
      <c r="L75" s="12"/>
      <c r="M75" s="12"/>
      <c r="N75" s="17">
        <v>66</v>
      </c>
      <c r="O75" s="12">
        <f t="shared" si="32"/>
        <v>146</v>
      </c>
      <c r="P75" s="16" t="e">
        <f t="shared" si="26"/>
        <v>#N/A</v>
      </c>
      <c r="Q75" s="16" t="e">
        <f t="shared" si="27"/>
        <v>#N/A</v>
      </c>
      <c r="R75" s="12" t="e">
        <f t="shared" si="33"/>
        <v>#N/A</v>
      </c>
      <c r="S75" s="12" t="e">
        <f t="shared" si="34"/>
        <v>#N/A</v>
      </c>
      <c r="T75" s="12" t="e">
        <f t="shared" si="35"/>
        <v>#N/A</v>
      </c>
      <c r="U75" s="12" t="e">
        <f t="shared" si="36"/>
        <v>#N/A</v>
      </c>
      <c r="V75" s="12" t="e">
        <f t="shared" si="37"/>
        <v>#N/A</v>
      </c>
      <c r="W75" s="12" t="e">
        <f t="shared" si="38"/>
        <v>#N/A</v>
      </c>
    </row>
    <row r="76" spans="1:23" s="13" customFormat="1" x14ac:dyDescent="0.2">
      <c r="A76" s="17">
        <v>67</v>
      </c>
      <c r="B76" s="19">
        <v>1.406E-2</v>
      </c>
      <c r="C76" s="15">
        <v>9.0119999999999992E-3</v>
      </c>
      <c r="D76" s="15">
        <f t="shared" si="28"/>
        <v>0.82784647</v>
      </c>
      <c r="E76" s="15">
        <f t="shared" si="29"/>
        <v>0.79509795999999999</v>
      </c>
      <c r="F76" s="12">
        <v>0.82784647</v>
      </c>
      <c r="G76" s="12">
        <v>0.79509795999999999</v>
      </c>
      <c r="H76" s="14">
        <f t="shared" si="30"/>
        <v>0.79800000000000004</v>
      </c>
      <c r="I76" s="14">
        <f t="shared" si="31"/>
        <v>0.78200000000000003</v>
      </c>
      <c r="J76" s="15"/>
      <c r="K76" s="15"/>
      <c r="L76" s="12"/>
      <c r="M76" s="12"/>
      <c r="N76" s="17">
        <v>67</v>
      </c>
      <c r="O76" s="12">
        <f t="shared" si="32"/>
        <v>147</v>
      </c>
      <c r="P76" s="16" t="e">
        <f t="shared" si="26"/>
        <v>#N/A</v>
      </c>
      <c r="Q76" s="16" t="e">
        <f t="shared" si="27"/>
        <v>#N/A</v>
      </c>
      <c r="R76" s="12" t="e">
        <f t="shared" si="33"/>
        <v>#N/A</v>
      </c>
      <c r="S76" s="12" t="e">
        <f t="shared" si="34"/>
        <v>#N/A</v>
      </c>
      <c r="T76" s="12" t="e">
        <f t="shared" si="35"/>
        <v>#N/A</v>
      </c>
      <c r="U76" s="12" t="e">
        <f t="shared" si="36"/>
        <v>#N/A</v>
      </c>
      <c r="V76" s="12" t="e">
        <f t="shared" si="37"/>
        <v>#N/A</v>
      </c>
      <c r="W76" s="12" t="e">
        <f t="shared" si="38"/>
        <v>#N/A</v>
      </c>
    </row>
    <row r="77" spans="1:23" s="13" customFormat="1" x14ac:dyDescent="0.2">
      <c r="A77" s="17">
        <v>68</v>
      </c>
      <c r="B77" s="19">
        <v>1.5370999999999999E-2</v>
      </c>
      <c r="C77" s="15">
        <v>1.0031999999999999E-2</v>
      </c>
      <c r="D77" s="15">
        <f t="shared" si="28"/>
        <v>0.82439596999999998</v>
      </c>
      <c r="E77" s="15">
        <f t="shared" si="29"/>
        <v>0.79054586000000004</v>
      </c>
      <c r="F77" s="12">
        <v>0.82439596999999998</v>
      </c>
      <c r="G77" s="12">
        <v>0.79054586000000004</v>
      </c>
      <c r="H77" s="14">
        <f t="shared" si="30"/>
        <v>0.79800000000000004</v>
      </c>
      <c r="I77" s="14">
        <f t="shared" si="31"/>
        <v>0.78200000000000003</v>
      </c>
      <c r="J77" s="15"/>
      <c r="K77" s="15"/>
      <c r="L77" s="12"/>
      <c r="M77" s="12"/>
      <c r="N77" s="17">
        <v>68</v>
      </c>
      <c r="O77" s="12">
        <f t="shared" si="32"/>
        <v>148</v>
      </c>
      <c r="P77" s="16" t="e">
        <f t="shared" si="26"/>
        <v>#N/A</v>
      </c>
      <c r="Q77" s="16" t="e">
        <f t="shared" si="27"/>
        <v>#N/A</v>
      </c>
      <c r="R77" s="12" t="e">
        <f t="shared" si="33"/>
        <v>#N/A</v>
      </c>
      <c r="S77" s="12" t="e">
        <f t="shared" si="34"/>
        <v>#N/A</v>
      </c>
      <c r="T77" s="12" t="e">
        <f t="shared" si="35"/>
        <v>#N/A</v>
      </c>
      <c r="U77" s="12" t="e">
        <f t="shared" si="36"/>
        <v>#N/A</v>
      </c>
      <c r="V77" s="12" t="e">
        <f t="shared" si="37"/>
        <v>#N/A</v>
      </c>
      <c r="W77" s="12" t="e">
        <f t="shared" si="38"/>
        <v>#N/A</v>
      </c>
    </row>
    <row r="78" spans="1:23" s="13" customFormat="1" x14ac:dyDescent="0.2">
      <c r="A78" s="17">
        <v>69</v>
      </c>
      <c r="B78" s="19">
        <v>1.6844000000000001E-2</v>
      </c>
      <c r="C78" s="15">
        <v>1.0821000000000001E-2</v>
      </c>
      <c r="D78" s="15">
        <f t="shared" si="28"/>
        <v>0.82089964999999998</v>
      </c>
      <c r="E78" s="15">
        <f t="shared" si="29"/>
        <v>0.78590249999999995</v>
      </c>
      <c r="F78" s="12">
        <v>0.82089964999999998</v>
      </c>
      <c r="G78" s="12">
        <v>0.78590249999999995</v>
      </c>
      <c r="H78" s="14">
        <f t="shared" si="30"/>
        <v>0.79800000000000004</v>
      </c>
      <c r="I78" s="14">
        <f t="shared" si="31"/>
        <v>0.78200000000000003</v>
      </c>
      <c r="J78" s="15"/>
      <c r="K78" s="15"/>
      <c r="L78" s="12"/>
      <c r="M78" s="12"/>
      <c r="N78" s="17">
        <v>69</v>
      </c>
      <c r="O78" s="12">
        <f t="shared" si="32"/>
        <v>149</v>
      </c>
      <c r="P78" s="16" t="e">
        <f t="shared" si="26"/>
        <v>#N/A</v>
      </c>
      <c r="Q78" s="16" t="e">
        <f t="shared" si="27"/>
        <v>#N/A</v>
      </c>
      <c r="R78" s="12" t="e">
        <f t="shared" si="33"/>
        <v>#N/A</v>
      </c>
      <c r="S78" s="12" t="e">
        <f t="shared" si="34"/>
        <v>#N/A</v>
      </c>
      <c r="T78" s="12" t="e">
        <f t="shared" si="35"/>
        <v>#N/A</v>
      </c>
      <c r="U78" s="12" t="e">
        <f t="shared" si="36"/>
        <v>#N/A</v>
      </c>
      <c r="V78" s="12" t="e">
        <f t="shared" si="37"/>
        <v>#N/A</v>
      </c>
      <c r="W78" s="12" t="e">
        <f t="shared" si="38"/>
        <v>#N/A</v>
      </c>
    </row>
    <row r="79" spans="1:23" s="13" customFormat="1" x14ac:dyDescent="0.2">
      <c r="A79" s="17">
        <v>70</v>
      </c>
      <c r="B79" s="19">
        <v>1.7795999999999999E-2</v>
      </c>
      <c r="C79" s="15">
        <v>1.1958E-2</v>
      </c>
      <c r="D79" s="15">
        <f t="shared" si="28"/>
        <v>0.81735787999999998</v>
      </c>
      <c r="E79" s="15">
        <f t="shared" si="29"/>
        <v>0.78116677000000001</v>
      </c>
      <c r="F79" s="12">
        <v>0.81735787999999998</v>
      </c>
      <c r="G79" s="12">
        <v>0.78116677000000001</v>
      </c>
      <c r="H79" s="14">
        <f t="shared" si="30"/>
        <v>0.80200000000000005</v>
      </c>
      <c r="I79" s="14">
        <f t="shared" si="31"/>
        <v>0.78700000000000003</v>
      </c>
      <c r="J79" s="15"/>
      <c r="K79" s="15"/>
      <c r="L79" s="12"/>
      <c r="M79" s="12"/>
      <c r="N79" s="17">
        <v>70</v>
      </c>
      <c r="O79" s="12">
        <f t="shared" si="32"/>
        <v>150</v>
      </c>
      <c r="P79" s="16" t="e">
        <f t="shared" si="26"/>
        <v>#N/A</v>
      </c>
      <c r="Q79" s="16" t="e">
        <f t="shared" si="27"/>
        <v>#N/A</v>
      </c>
      <c r="R79" s="12" t="e">
        <f t="shared" si="33"/>
        <v>#N/A</v>
      </c>
      <c r="S79" s="12" t="e">
        <f t="shared" si="34"/>
        <v>#N/A</v>
      </c>
      <c r="T79" s="12" t="e">
        <f t="shared" si="35"/>
        <v>#N/A</v>
      </c>
      <c r="U79" s="12" t="e">
        <f t="shared" si="36"/>
        <v>#N/A</v>
      </c>
      <c r="V79" s="12" t="e">
        <f t="shared" si="37"/>
        <v>#N/A</v>
      </c>
      <c r="W79" s="12" t="e">
        <f t="shared" si="38"/>
        <v>#N/A</v>
      </c>
    </row>
    <row r="80" spans="1:23" s="13" customFormat="1" x14ac:dyDescent="0.2">
      <c r="A80" s="17">
        <v>71</v>
      </c>
      <c r="B80" s="19">
        <v>1.9812E-2</v>
      </c>
      <c r="C80" s="15">
        <v>1.2886999999999999E-2</v>
      </c>
      <c r="D80" s="15">
        <f t="shared" si="28"/>
        <v>0.81377109999999997</v>
      </c>
      <c r="E80" s="15">
        <f t="shared" si="29"/>
        <v>0.77633753999999999</v>
      </c>
      <c r="F80" s="12">
        <v>0.81377109999999997</v>
      </c>
      <c r="G80" s="12">
        <v>0.77633753999999999</v>
      </c>
      <c r="H80" s="14">
        <f t="shared" si="30"/>
        <v>0.80200000000000005</v>
      </c>
      <c r="I80" s="14">
        <f t="shared" si="31"/>
        <v>0.78700000000000003</v>
      </c>
      <c r="J80" s="15"/>
      <c r="K80" s="15"/>
      <c r="L80" s="12"/>
      <c r="M80" s="12"/>
      <c r="N80" s="17">
        <v>71</v>
      </c>
      <c r="O80" s="12">
        <f t="shared" si="32"/>
        <v>151</v>
      </c>
      <c r="P80" s="16" t="e">
        <f t="shared" si="26"/>
        <v>#N/A</v>
      </c>
      <c r="Q80" s="16" t="e">
        <f t="shared" si="27"/>
        <v>#N/A</v>
      </c>
      <c r="R80" s="12" t="e">
        <f t="shared" si="33"/>
        <v>#N/A</v>
      </c>
      <c r="S80" s="12" t="e">
        <f t="shared" si="34"/>
        <v>#N/A</v>
      </c>
      <c r="T80" s="12" t="e">
        <f t="shared" si="35"/>
        <v>#N/A</v>
      </c>
      <c r="U80" s="12" t="e">
        <f t="shared" si="36"/>
        <v>#N/A</v>
      </c>
      <c r="V80" s="12" t="e">
        <f t="shared" si="37"/>
        <v>#N/A</v>
      </c>
      <c r="W80" s="12" t="e">
        <f t="shared" si="38"/>
        <v>#N/A</v>
      </c>
    </row>
    <row r="81" spans="1:23" s="13" customFormat="1" x14ac:dyDescent="0.2">
      <c r="A81" s="17">
        <v>72</v>
      </c>
      <c r="B81" s="19">
        <v>2.1631999999999998E-2</v>
      </c>
      <c r="C81" s="15">
        <v>1.4774000000000001E-2</v>
      </c>
      <c r="D81" s="15">
        <f t="shared" si="28"/>
        <v>0.81013979000000003</v>
      </c>
      <c r="E81" s="15">
        <f t="shared" si="29"/>
        <v>0.77141364000000001</v>
      </c>
      <c r="F81" s="12">
        <v>0.81013979000000003</v>
      </c>
      <c r="G81" s="12">
        <v>0.77141364000000001</v>
      </c>
      <c r="H81" s="14">
        <f t="shared" si="30"/>
        <v>0.80200000000000005</v>
      </c>
      <c r="I81" s="14">
        <f t="shared" si="31"/>
        <v>0.78700000000000003</v>
      </c>
      <c r="J81" s="15"/>
      <c r="K81" s="15"/>
      <c r="L81" s="12"/>
      <c r="M81" s="12"/>
      <c r="N81" s="17">
        <v>72</v>
      </c>
      <c r="O81" s="12">
        <f t="shared" si="32"/>
        <v>152</v>
      </c>
      <c r="P81" s="16" t="e">
        <f t="shared" si="26"/>
        <v>#N/A</v>
      </c>
      <c r="Q81" s="16" t="e">
        <f t="shared" si="27"/>
        <v>#N/A</v>
      </c>
      <c r="R81" s="12" t="e">
        <f t="shared" si="33"/>
        <v>#N/A</v>
      </c>
      <c r="S81" s="12" t="e">
        <f t="shared" si="34"/>
        <v>#N/A</v>
      </c>
      <c r="T81" s="12" t="e">
        <f t="shared" si="35"/>
        <v>#N/A</v>
      </c>
      <c r="U81" s="12" t="e">
        <f t="shared" si="36"/>
        <v>#N/A</v>
      </c>
      <c r="V81" s="12" t="e">
        <f t="shared" si="37"/>
        <v>#N/A</v>
      </c>
      <c r="W81" s="12" t="e">
        <f t="shared" si="38"/>
        <v>#N/A</v>
      </c>
    </row>
    <row r="82" spans="1:23" s="13" customFormat="1" x14ac:dyDescent="0.2">
      <c r="A82" s="17">
        <v>73</v>
      </c>
      <c r="B82" s="19">
        <v>2.4995E-2</v>
      </c>
      <c r="C82" s="15">
        <v>1.6891E-2</v>
      </c>
      <c r="D82" s="15">
        <f t="shared" si="28"/>
        <v>0.80646446999999999</v>
      </c>
      <c r="E82" s="15">
        <f t="shared" si="29"/>
        <v>0.76639389999999996</v>
      </c>
      <c r="F82" s="12">
        <v>0.80646446999999999</v>
      </c>
      <c r="G82" s="12">
        <v>0.76639389999999996</v>
      </c>
      <c r="H82" s="14">
        <f t="shared" si="30"/>
        <v>0.80200000000000005</v>
      </c>
      <c r="I82" s="14">
        <f t="shared" si="31"/>
        <v>0.78700000000000003</v>
      </c>
      <c r="J82" s="15"/>
      <c r="K82" s="15"/>
      <c r="L82" s="12"/>
      <c r="M82" s="12"/>
      <c r="N82" s="17">
        <v>73</v>
      </c>
      <c r="O82" s="12">
        <f t="shared" si="32"/>
        <v>153</v>
      </c>
      <c r="P82" s="16" t="e">
        <f t="shared" si="26"/>
        <v>#N/A</v>
      </c>
      <c r="Q82" s="16" t="e">
        <f t="shared" si="27"/>
        <v>#N/A</v>
      </c>
      <c r="R82" s="12" t="e">
        <f t="shared" si="33"/>
        <v>#N/A</v>
      </c>
      <c r="S82" s="12" t="e">
        <f t="shared" si="34"/>
        <v>#N/A</v>
      </c>
      <c r="T82" s="12" t="e">
        <f t="shared" si="35"/>
        <v>#N/A</v>
      </c>
      <c r="U82" s="12" t="e">
        <f t="shared" si="36"/>
        <v>#N/A</v>
      </c>
      <c r="V82" s="12" t="e">
        <f t="shared" si="37"/>
        <v>#N/A</v>
      </c>
      <c r="W82" s="12" t="e">
        <f t="shared" si="38"/>
        <v>#N/A</v>
      </c>
    </row>
    <row r="83" spans="1:23" s="13" customFormat="1" x14ac:dyDescent="0.2">
      <c r="A83" s="17">
        <v>74</v>
      </c>
      <c r="B83" s="19">
        <v>2.7226E-2</v>
      </c>
      <c r="C83" s="15">
        <v>1.8495000000000001E-2</v>
      </c>
      <c r="D83" s="15">
        <f t="shared" si="28"/>
        <v>0.80274575000000004</v>
      </c>
      <c r="E83" s="15">
        <f t="shared" si="29"/>
        <v>0.76127716000000001</v>
      </c>
      <c r="F83" s="12">
        <v>0.80274575000000004</v>
      </c>
      <c r="G83" s="12">
        <v>0.76127716000000001</v>
      </c>
      <c r="H83" s="14">
        <f t="shared" si="30"/>
        <v>0.80200000000000005</v>
      </c>
      <c r="I83" s="14">
        <f t="shared" si="31"/>
        <v>0.78700000000000003</v>
      </c>
      <c r="J83" s="15"/>
      <c r="K83" s="15"/>
      <c r="L83" s="12"/>
      <c r="M83" s="12"/>
      <c r="N83" s="17">
        <v>74</v>
      </c>
      <c r="O83" s="12">
        <f t="shared" si="32"/>
        <v>154</v>
      </c>
      <c r="P83" s="16" t="e">
        <f t="shared" si="26"/>
        <v>#N/A</v>
      </c>
      <c r="Q83" s="16" t="e">
        <f t="shared" si="27"/>
        <v>#N/A</v>
      </c>
      <c r="R83" s="12" t="e">
        <f t="shared" si="33"/>
        <v>#N/A</v>
      </c>
      <c r="S83" s="12" t="e">
        <f t="shared" si="34"/>
        <v>#N/A</v>
      </c>
      <c r="T83" s="12" t="e">
        <f t="shared" si="35"/>
        <v>#N/A</v>
      </c>
      <c r="U83" s="12" t="e">
        <f t="shared" si="36"/>
        <v>#N/A</v>
      </c>
      <c r="V83" s="12" t="e">
        <f t="shared" si="37"/>
        <v>#N/A</v>
      </c>
      <c r="W83" s="12" t="e">
        <f t="shared" si="38"/>
        <v>#N/A</v>
      </c>
    </row>
    <row r="84" spans="1:23" s="13" customFormat="1" x14ac:dyDescent="0.2">
      <c r="A84" s="17">
        <v>75</v>
      </c>
      <c r="B84" s="19">
        <v>3.0421E-2</v>
      </c>
      <c r="C84" s="15">
        <v>2.0695999999999999E-2</v>
      </c>
      <c r="D84" s="15">
        <f t="shared" si="28"/>
        <v>0.79898427999999999</v>
      </c>
      <c r="E84" s="15">
        <f t="shared" si="29"/>
        <v>0.75606225000000005</v>
      </c>
      <c r="F84" s="12">
        <v>0.79898427999999999</v>
      </c>
      <c r="G84" s="12">
        <v>0.75606225000000005</v>
      </c>
      <c r="H84" s="14">
        <f t="shared" si="30"/>
        <v>0.79100000000000004</v>
      </c>
      <c r="I84" s="14">
        <f t="shared" si="31"/>
        <v>0.74099999999999999</v>
      </c>
      <c r="J84" s="15"/>
      <c r="K84" s="15"/>
      <c r="L84" s="12"/>
      <c r="M84" s="12"/>
      <c r="N84" s="17">
        <v>75</v>
      </c>
      <c r="O84" s="12">
        <f t="shared" si="32"/>
        <v>155</v>
      </c>
      <c r="P84" s="16" t="e">
        <f t="shared" si="26"/>
        <v>#N/A</v>
      </c>
      <c r="Q84" s="16" t="e">
        <f t="shared" si="27"/>
        <v>#N/A</v>
      </c>
      <c r="R84" s="12" t="e">
        <f t="shared" si="33"/>
        <v>#N/A</v>
      </c>
      <c r="S84" s="12" t="e">
        <f t="shared" si="34"/>
        <v>#N/A</v>
      </c>
      <c r="T84" s="12" t="e">
        <f t="shared" si="35"/>
        <v>#N/A</v>
      </c>
      <c r="U84" s="12" t="e">
        <f t="shared" si="36"/>
        <v>#N/A</v>
      </c>
      <c r="V84" s="12" t="e">
        <f t="shared" si="37"/>
        <v>#N/A</v>
      </c>
      <c r="W84" s="12" t="e">
        <f t="shared" si="38"/>
        <v>#N/A</v>
      </c>
    </row>
    <row r="85" spans="1:23" s="13" customFormat="1" x14ac:dyDescent="0.2">
      <c r="A85" s="17">
        <v>76</v>
      </c>
      <c r="B85" s="19">
        <v>3.4347999999999997E-2</v>
      </c>
      <c r="C85" s="15">
        <v>2.3335999999999999E-2</v>
      </c>
      <c r="D85" s="15">
        <f t="shared" si="28"/>
        <v>0.79518078999999997</v>
      </c>
      <c r="E85" s="15">
        <f t="shared" si="29"/>
        <v>0.75074803999999995</v>
      </c>
      <c r="F85" s="12">
        <v>0.79518078999999997</v>
      </c>
      <c r="G85" s="12">
        <v>0.75074803999999995</v>
      </c>
      <c r="H85" s="14">
        <f t="shared" si="30"/>
        <v>0.79100000000000004</v>
      </c>
      <c r="I85" s="14">
        <f t="shared" si="31"/>
        <v>0.74099999999999999</v>
      </c>
      <c r="J85" s="15"/>
      <c r="K85" s="15"/>
      <c r="L85" s="12"/>
      <c r="M85" s="12"/>
      <c r="N85" s="17">
        <v>76</v>
      </c>
      <c r="O85" s="12">
        <f t="shared" si="32"/>
        <v>156</v>
      </c>
      <c r="P85" s="16" t="e">
        <f t="shared" si="26"/>
        <v>#N/A</v>
      </c>
      <c r="Q85" s="16" t="e">
        <f t="shared" si="27"/>
        <v>#N/A</v>
      </c>
      <c r="R85" s="12" t="e">
        <f t="shared" si="33"/>
        <v>#N/A</v>
      </c>
      <c r="S85" s="12" t="e">
        <f t="shared" si="34"/>
        <v>#N/A</v>
      </c>
      <c r="T85" s="12" t="e">
        <f t="shared" si="35"/>
        <v>#N/A</v>
      </c>
      <c r="U85" s="12" t="e">
        <f t="shared" si="36"/>
        <v>#N/A</v>
      </c>
      <c r="V85" s="12" t="e">
        <f t="shared" si="37"/>
        <v>#N/A</v>
      </c>
      <c r="W85" s="12" t="e">
        <f t="shared" si="38"/>
        <v>#N/A</v>
      </c>
    </row>
    <row r="86" spans="1:23" s="13" customFormat="1" x14ac:dyDescent="0.2">
      <c r="A86" s="17">
        <v>77</v>
      </c>
      <c r="B86" s="19">
        <v>3.7936999999999999E-2</v>
      </c>
      <c r="C86" s="15">
        <v>2.6453000000000001E-2</v>
      </c>
      <c r="D86" s="15">
        <f t="shared" si="28"/>
        <v>0.79133606999999995</v>
      </c>
      <c r="E86" s="15">
        <f t="shared" si="29"/>
        <v>0.74533344999999995</v>
      </c>
      <c r="F86" s="12">
        <v>0.79133606999999995</v>
      </c>
      <c r="G86" s="12">
        <v>0.74533344999999995</v>
      </c>
      <c r="H86" s="14">
        <f t="shared" si="30"/>
        <v>0.79100000000000004</v>
      </c>
      <c r="I86" s="14">
        <f t="shared" si="31"/>
        <v>0.74099999999999999</v>
      </c>
      <c r="J86" s="15"/>
      <c r="K86" s="15"/>
      <c r="L86" s="12"/>
      <c r="M86" s="12"/>
      <c r="N86" s="17">
        <v>77</v>
      </c>
      <c r="O86" s="12">
        <f t="shared" si="32"/>
        <v>157</v>
      </c>
      <c r="P86" s="16" t="e">
        <f t="shared" si="26"/>
        <v>#N/A</v>
      </c>
      <c r="Q86" s="16" t="e">
        <f t="shared" si="27"/>
        <v>#N/A</v>
      </c>
      <c r="R86" s="12" t="e">
        <f t="shared" si="33"/>
        <v>#N/A</v>
      </c>
      <c r="S86" s="12" t="e">
        <f t="shared" si="34"/>
        <v>#N/A</v>
      </c>
      <c r="T86" s="12" t="e">
        <f t="shared" si="35"/>
        <v>#N/A</v>
      </c>
      <c r="U86" s="12" t="e">
        <f t="shared" si="36"/>
        <v>#N/A</v>
      </c>
      <c r="V86" s="12" t="e">
        <f t="shared" si="37"/>
        <v>#N/A</v>
      </c>
      <c r="W86" s="12" t="e">
        <f t="shared" si="38"/>
        <v>#N/A</v>
      </c>
    </row>
    <row r="87" spans="1:23" s="13" customFormat="1" x14ac:dyDescent="0.2">
      <c r="A87" s="17">
        <v>78</v>
      </c>
      <c r="B87" s="19">
        <v>4.2587E-2</v>
      </c>
      <c r="C87" s="15">
        <v>2.9933999999999999E-2</v>
      </c>
      <c r="D87" s="15">
        <f t="shared" si="28"/>
        <v>0.78745098000000002</v>
      </c>
      <c r="E87" s="15">
        <f t="shared" si="29"/>
        <v>0.73981744000000005</v>
      </c>
      <c r="F87" s="12">
        <v>0.78745098000000002</v>
      </c>
      <c r="G87" s="12">
        <v>0.73981744000000005</v>
      </c>
      <c r="H87" s="14">
        <f t="shared" si="30"/>
        <v>0.79100000000000004</v>
      </c>
      <c r="I87" s="14">
        <f t="shared" si="31"/>
        <v>0.74099999999999999</v>
      </c>
      <c r="J87" s="15"/>
      <c r="K87" s="15"/>
      <c r="L87" s="12"/>
      <c r="M87" s="12"/>
      <c r="N87" s="17">
        <v>78</v>
      </c>
      <c r="O87" s="12">
        <f t="shared" si="32"/>
        <v>158</v>
      </c>
      <c r="P87" s="16" t="e">
        <f t="shared" si="26"/>
        <v>#N/A</v>
      </c>
      <c r="Q87" s="16" t="e">
        <f t="shared" si="27"/>
        <v>#N/A</v>
      </c>
      <c r="R87" s="12" t="e">
        <f t="shared" si="33"/>
        <v>#N/A</v>
      </c>
      <c r="S87" s="12" t="e">
        <f t="shared" si="34"/>
        <v>#N/A</v>
      </c>
      <c r="T87" s="12" t="e">
        <f t="shared" si="35"/>
        <v>#N/A</v>
      </c>
      <c r="U87" s="12" t="e">
        <f t="shared" si="36"/>
        <v>#N/A</v>
      </c>
      <c r="V87" s="12" t="e">
        <f t="shared" si="37"/>
        <v>#N/A</v>
      </c>
      <c r="W87" s="12" t="e">
        <f t="shared" si="38"/>
        <v>#N/A</v>
      </c>
    </row>
    <row r="88" spans="1:23" s="13" customFormat="1" x14ac:dyDescent="0.2">
      <c r="A88" s="17">
        <v>79</v>
      </c>
      <c r="B88" s="19">
        <v>4.6927999999999997E-2</v>
      </c>
      <c r="C88" s="15">
        <v>3.3614999999999999E-2</v>
      </c>
      <c r="D88" s="15">
        <f t="shared" si="28"/>
        <v>0.78352646000000004</v>
      </c>
      <c r="E88" s="15">
        <f t="shared" si="29"/>
        <v>0.73419909000000005</v>
      </c>
      <c r="F88" s="12">
        <v>0.78352646000000004</v>
      </c>
      <c r="G88" s="12">
        <v>0.73419909000000005</v>
      </c>
      <c r="H88" s="14">
        <f t="shared" si="30"/>
        <v>0.79100000000000004</v>
      </c>
      <c r="I88" s="14">
        <f t="shared" si="31"/>
        <v>0.74099999999999999</v>
      </c>
      <c r="J88" s="15"/>
      <c r="K88" s="15"/>
      <c r="L88" s="12"/>
      <c r="M88" s="12"/>
      <c r="N88" s="17">
        <v>79</v>
      </c>
      <c r="O88" s="12">
        <f t="shared" si="32"/>
        <v>159</v>
      </c>
      <c r="P88" s="16" t="e">
        <f t="shared" si="26"/>
        <v>#N/A</v>
      </c>
      <c r="Q88" s="16" t="e">
        <f t="shared" si="27"/>
        <v>#N/A</v>
      </c>
      <c r="R88" s="12" t="e">
        <f t="shared" si="33"/>
        <v>#N/A</v>
      </c>
      <c r="S88" s="12" t="e">
        <f t="shared" si="34"/>
        <v>#N/A</v>
      </c>
      <c r="T88" s="12" t="e">
        <f t="shared" si="35"/>
        <v>#N/A</v>
      </c>
      <c r="U88" s="12" t="e">
        <f t="shared" si="36"/>
        <v>#N/A</v>
      </c>
      <c r="V88" s="12" t="e">
        <f t="shared" si="37"/>
        <v>#N/A</v>
      </c>
      <c r="W88" s="12" t="e">
        <f t="shared" si="38"/>
        <v>#N/A</v>
      </c>
    </row>
    <row r="89" spans="1:23" s="13" customFormat="1" x14ac:dyDescent="0.2">
      <c r="A89" s="17">
        <v>80</v>
      </c>
      <c r="B89" s="19">
        <v>5.2892000000000002E-2</v>
      </c>
      <c r="C89" s="15">
        <v>3.7650000000000003E-2</v>
      </c>
      <c r="D89" s="15">
        <f t="shared" si="28"/>
        <v>0.77956351000000002</v>
      </c>
      <c r="E89" s="15">
        <f t="shared" si="29"/>
        <v>0.72847753999999998</v>
      </c>
      <c r="F89" s="12">
        <v>0.77956351000000002</v>
      </c>
      <c r="G89" s="12">
        <v>0.72847753999999998</v>
      </c>
      <c r="H89" s="14">
        <f t="shared" si="30"/>
        <v>0.77300000000000002</v>
      </c>
      <c r="I89" s="14">
        <f t="shared" si="31"/>
        <v>0.71699999999999997</v>
      </c>
      <c r="J89" s="15"/>
      <c r="K89" s="15"/>
      <c r="L89" s="12"/>
      <c r="M89" s="12"/>
      <c r="N89" s="17">
        <v>80</v>
      </c>
      <c r="O89" s="12">
        <f t="shared" si="32"/>
        <v>160</v>
      </c>
      <c r="P89" s="16" t="e">
        <f t="shared" si="26"/>
        <v>#N/A</v>
      </c>
      <c r="Q89" s="16" t="e">
        <f t="shared" si="27"/>
        <v>#N/A</v>
      </c>
      <c r="R89" s="12" t="e">
        <f t="shared" si="33"/>
        <v>#N/A</v>
      </c>
      <c r="S89" s="12" t="e">
        <f t="shared" si="34"/>
        <v>#N/A</v>
      </c>
      <c r="T89" s="12" t="e">
        <f t="shared" si="35"/>
        <v>#N/A</v>
      </c>
      <c r="U89" s="12" t="e">
        <f t="shared" si="36"/>
        <v>#N/A</v>
      </c>
      <c r="V89" s="12" t="e">
        <f t="shared" si="37"/>
        <v>#N/A</v>
      </c>
      <c r="W89" s="12" t="e">
        <f t="shared" si="38"/>
        <v>#N/A</v>
      </c>
    </row>
    <row r="90" spans="1:23" s="13" customFormat="1" x14ac:dyDescent="0.2">
      <c r="A90" s="17">
        <v>81</v>
      </c>
      <c r="B90" s="19">
        <v>5.8881000000000003E-2</v>
      </c>
      <c r="C90" s="15">
        <v>4.2359000000000001E-2</v>
      </c>
      <c r="D90" s="15">
        <f t="shared" si="28"/>
        <v>0.77556323999999999</v>
      </c>
      <c r="E90" s="15">
        <f t="shared" si="29"/>
        <v>0.72265208999999997</v>
      </c>
      <c r="F90" s="12">
        <v>0.77556323999999999</v>
      </c>
      <c r="G90" s="12">
        <v>0.72265208999999997</v>
      </c>
      <c r="H90" s="14">
        <f t="shared" si="30"/>
        <v>0.77300000000000002</v>
      </c>
      <c r="I90" s="14">
        <f t="shared" si="31"/>
        <v>0.71699999999999997</v>
      </c>
      <c r="J90" s="15"/>
      <c r="K90" s="15"/>
      <c r="L90" s="12"/>
      <c r="M90" s="12"/>
      <c r="N90" s="17">
        <v>81</v>
      </c>
      <c r="O90" s="12">
        <f t="shared" si="32"/>
        <v>161</v>
      </c>
      <c r="P90" s="16" t="e">
        <f t="shared" si="26"/>
        <v>#N/A</v>
      </c>
      <c r="Q90" s="16" t="e">
        <f t="shared" si="27"/>
        <v>#N/A</v>
      </c>
      <c r="R90" s="12" t="e">
        <f t="shared" si="33"/>
        <v>#N/A</v>
      </c>
      <c r="S90" s="12" t="e">
        <f t="shared" si="34"/>
        <v>#N/A</v>
      </c>
      <c r="T90" s="12" t="e">
        <f t="shared" si="35"/>
        <v>#N/A</v>
      </c>
      <c r="U90" s="12" t="e">
        <f t="shared" si="36"/>
        <v>#N/A</v>
      </c>
      <c r="V90" s="12" t="e">
        <f t="shared" si="37"/>
        <v>#N/A</v>
      </c>
      <c r="W90" s="12" t="e">
        <f t="shared" si="38"/>
        <v>#N/A</v>
      </c>
    </row>
    <row r="91" spans="1:23" s="13" customFormat="1" x14ac:dyDescent="0.2">
      <c r="A91" s="17">
        <v>82</v>
      </c>
      <c r="B91" s="19">
        <v>6.5105999999999997E-2</v>
      </c>
      <c r="C91" s="15">
        <v>4.7884000000000003E-2</v>
      </c>
      <c r="D91" s="15">
        <f t="shared" si="28"/>
        <v>0.77152679999999996</v>
      </c>
      <c r="E91" s="15">
        <f t="shared" si="29"/>
        <v>0.71672221000000003</v>
      </c>
      <c r="F91" s="12">
        <v>0.77152679999999996</v>
      </c>
      <c r="G91" s="12">
        <v>0.71672221000000003</v>
      </c>
      <c r="H91" s="14">
        <f t="shared" si="30"/>
        <v>0.77300000000000002</v>
      </c>
      <c r="I91" s="14">
        <f t="shared" si="31"/>
        <v>0.71699999999999997</v>
      </c>
      <c r="J91" s="15"/>
      <c r="K91" s="15"/>
      <c r="L91" s="12"/>
      <c r="M91" s="12"/>
      <c r="N91" s="17">
        <v>82</v>
      </c>
      <c r="O91" s="12">
        <f t="shared" si="32"/>
        <v>162</v>
      </c>
      <c r="P91" s="16" t="e">
        <f t="shared" si="26"/>
        <v>#N/A</v>
      </c>
      <c r="Q91" s="16" t="e">
        <f t="shared" si="27"/>
        <v>#N/A</v>
      </c>
      <c r="R91" s="12" t="e">
        <f t="shared" si="33"/>
        <v>#N/A</v>
      </c>
      <c r="S91" s="12" t="e">
        <f t="shared" si="34"/>
        <v>#N/A</v>
      </c>
      <c r="T91" s="12" t="e">
        <f t="shared" si="35"/>
        <v>#N/A</v>
      </c>
      <c r="U91" s="12" t="e">
        <f t="shared" si="36"/>
        <v>#N/A</v>
      </c>
      <c r="V91" s="12" t="e">
        <f t="shared" si="37"/>
        <v>#N/A</v>
      </c>
      <c r="W91" s="12" t="e">
        <f t="shared" si="38"/>
        <v>#N/A</v>
      </c>
    </row>
    <row r="92" spans="1:23" s="13" customFormat="1" x14ac:dyDescent="0.2">
      <c r="A92" s="17">
        <v>83</v>
      </c>
      <c r="B92" s="19">
        <v>7.3435E-2</v>
      </c>
      <c r="C92" s="15">
        <v>5.525E-2</v>
      </c>
      <c r="D92" s="15">
        <f t="shared" si="28"/>
        <v>0.76745545999999998</v>
      </c>
      <c r="E92" s="15">
        <f t="shared" si="29"/>
        <v>0.71068752999999996</v>
      </c>
      <c r="F92" s="12">
        <v>0.76745545999999998</v>
      </c>
      <c r="G92" s="12">
        <v>0.71068752999999996</v>
      </c>
      <c r="H92" s="14">
        <f t="shared" si="30"/>
        <v>0.77300000000000002</v>
      </c>
      <c r="I92" s="14">
        <f t="shared" si="31"/>
        <v>0.71699999999999997</v>
      </c>
      <c r="J92" s="15"/>
      <c r="K92" s="15"/>
      <c r="L92" s="12"/>
      <c r="M92" s="12"/>
      <c r="N92" s="17">
        <v>83</v>
      </c>
      <c r="O92" s="12">
        <f t="shared" si="32"/>
        <v>163</v>
      </c>
      <c r="P92" s="16" t="e">
        <f t="shared" si="26"/>
        <v>#N/A</v>
      </c>
      <c r="Q92" s="16" t="e">
        <f t="shared" si="27"/>
        <v>#N/A</v>
      </c>
      <c r="R92" s="12" t="e">
        <f t="shared" si="33"/>
        <v>#N/A</v>
      </c>
      <c r="S92" s="12" t="e">
        <f t="shared" si="34"/>
        <v>#N/A</v>
      </c>
      <c r="T92" s="12" t="e">
        <f t="shared" si="35"/>
        <v>#N/A</v>
      </c>
      <c r="U92" s="12" t="e">
        <f t="shared" si="36"/>
        <v>#N/A</v>
      </c>
      <c r="V92" s="12" t="e">
        <f t="shared" si="37"/>
        <v>#N/A</v>
      </c>
      <c r="W92" s="12" t="e">
        <f t="shared" si="38"/>
        <v>#N/A</v>
      </c>
    </row>
    <row r="93" spans="1:23" s="13" customFormat="1" x14ac:dyDescent="0.2">
      <c r="A93" s="17">
        <v>84</v>
      </c>
      <c r="B93" s="19">
        <v>8.3471000000000004E-2</v>
      </c>
      <c r="C93" s="15">
        <v>6.2504000000000004E-2</v>
      </c>
      <c r="D93" s="15">
        <f t="shared" si="28"/>
        <v>0.76335056000000001</v>
      </c>
      <c r="E93" s="15">
        <f t="shared" si="29"/>
        <v>0.70454791999999999</v>
      </c>
      <c r="F93" s="12">
        <v>0.76335056000000001</v>
      </c>
      <c r="G93" s="12">
        <v>0.70454791999999999</v>
      </c>
      <c r="H93" s="14">
        <f t="shared" si="30"/>
        <v>0.77300000000000002</v>
      </c>
      <c r="I93" s="14">
        <f t="shared" si="31"/>
        <v>0.71699999999999997</v>
      </c>
      <c r="J93" s="15"/>
      <c r="K93" s="15"/>
      <c r="L93" s="12"/>
      <c r="M93" s="12"/>
      <c r="N93" s="17">
        <v>84</v>
      </c>
      <c r="O93" s="12">
        <f t="shared" si="32"/>
        <v>164</v>
      </c>
      <c r="P93" s="16" t="e">
        <f t="shared" si="26"/>
        <v>#N/A</v>
      </c>
      <c r="Q93" s="16" t="e">
        <f t="shared" si="27"/>
        <v>#N/A</v>
      </c>
      <c r="R93" s="12" t="e">
        <f t="shared" si="33"/>
        <v>#N/A</v>
      </c>
      <c r="S93" s="12" t="e">
        <f t="shared" si="34"/>
        <v>#N/A</v>
      </c>
      <c r="T93" s="12" t="e">
        <f t="shared" si="35"/>
        <v>#N/A</v>
      </c>
      <c r="U93" s="12" t="e">
        <f t="shared" si="36"/>
        <v>#N/A</v>
      </c>
      <c r="V93" s="12" t="e">
        <f t="shared" si="37"/>
        <v>#N/A</v>
      </c>
      <c r="W93" s="12" t="e">
        <f t="shared" si="38"/>
        <v>#N/A</v>
      </c>
    </row>
    <row r="94" spans="1:23" s="13" customFormat="1" x14ac:dyDescent="0.2">
      <c r="A94" s="17">
        <v>85</v>
      </c>
      <c r="B94" s="19">
        <v>9.3214000000000005E-2</v>
      </c>
      <c r="C94" s="15">
        <v>7.1405999999999997E-2</v>
      </c>
      <c r="D94" s="15">
        <f t="shared" si="28"/>
        <v>0.75921353999999996</v>
      </c>
      <c r="E94" s="15">
        <f t="shared" si="29"/>
        <v>0.69830351999999996</v>
      </c>
      <c r="F94" s="12">
        <v>0.75921353999999996</v>
      </c>
      <c r="G94" s="12">
        <v>0.69830351999999996</v>
      </c>
      <c r="H94" s="14">
        <f t="shared" si="30"/>
        <v>0.71799999999999997</v>
      </c>
      <c r="I94" s="14">
        <f t="shared" si="31"/>
        <v>0.66500000000000004</v>
      </c>
      <c r="J94" s="15"/>
      <c r="K94" s="15"/>
      <c r="L94" s="12"/>
      <c r="M94" s="12"/>
      <c r="N94" s="17">
        <v>85</v>
      </c>
      <c r="O94" s="12">
        <f t="shared" si="32"/>
        <v>165</v>
      </c>
      <c r="P94" s="16" t="e">
        <f t="shared" si="26"/>
        <v>#N/A</v>
      </c>
      <c r="Q94" s="16" t="e">
        <f t="shared" si="27"/>
        <v>#N/A</v>
      </c>
      <c r="R94" s="12" t="e">
        <f t="shared" si="33"/>
        <v>#N/A</v>
      </c>
      <c r="S94" s="12" t="e">
        <f t="shared" si="34"/>
        <v>#N/A</v>
      </c>
      <c r="T94" s="12" t="e">
        <f t="shared" si="35"/>
        <v>#N/A</v>
      </c>
      <c r="U94" s="12" t="e">
        <f t="shared" si="36"/>
        <v>#N/A</v>
      </c>
      <c r="V94" s="12" t="e">
        <f t="shared" si="37"/>
        <v>#N/A</v>
      </c>
      <c r="W94" s="12" t="e">
        <f t="shared" si="38"/>
        <v>#N/A</v>
      </c>
    </row>
    <row r="95" spans="1:23" s="13" customFormat="1" x14ac:dyDescent="0.2">
      <c r="A95" s="17">
        <v>86</v>
      </c>
      <c r="B95" s="19">
        <v>0.105286</v>
      </c>
      <c r="C95" s="15">
        <v>8.1604999999999997E-2</v>
      </c>
      <c r="D95" s="15">
        <f t="shared" si="28"/>
        <v>0.75504594000000003</v>
      </c>
      <c r="E95" s="15">
        <f t="shared" si="29"/>
        <v>0.69195476</v>
      </c>
      <c r="F95" s="12">
        <v>0.75504594000000003</v>
      </c>
      <c r="G95" s="12">
        <v>0.69195476</v>
      </c>
      <c r="H95" s="14">
        <f t="shared" si="30"/>
        <v>0.71799999999999997</v>
      </c>
      <c r="I95" s="14">
        <f t="shared" si="31"/>
        <v>0.66500000000000004</v>
      </c>
      <c r="J95" s="15"/>
      <c r="K95" s="15"/>
      <c r="L95" s="12"/>
      <c r="M95" s="12"/>
      <c r="N95" s="17">
        <v>86</v>
      </c>
      <c r="O95" s="12">
        <f t="shared" si="32"/>
        <v>166</v>
      </c>
      <c r="P95" s="16" t="e">
        <f t="shared" si="26"/>
        <v>#N/A</v>
      </c>
      <c r="Q95" s="16" t="e">
        <f t="shared" si="27"/>
        <v>#N/A</v>
      </c>
      <c r="R95" s="12" t="e">
        <f t="shared" si="33"/>
        <v>#N/A</v>
      </c>
      <c r="S95" s="12" t="e">
        <f t="shared" si="34"/>
        <v>#N/A</v>
      </c>
      <c r="T95" s="12" t="e">
        <f t="shared" si="35"/>
        <v>#N/A</v>
      </c>
      <c r="U95" s="12" t="e">
        <f t="shared" si="36"/>
        <v>#N/A</v>
      </c>
      <c r="V95" s="12" t="e">
        <f t="shared" si="37"/>
        <v>#N/A</v>
      </c>
      <c r="W95" s="12" t="e">
        <f t="shared" si="38"/>
        <v>#N/A</v>
      </c>
    </row>
    <row r="96" spans="1:23" s="13" customFormat="1" x14ac:dyDescent="0.2">
      <c r="A96" s="17">
        <v>87</v>
      </c>
      <c r="B96" s="19">
        <v>0.117324</v>
      </c>
      <c r="C96" s="15">
        <v>9.2016000000000001E-2</v>
      </c>
      <c r="D96" s="15">
        <f t="shared" si="28"/>
        <v>0.75084936999999996</v>
      </c>
      <c r="E96" s="15">
        <f t="shared" si="29"/>
        <v>0.68550239000000002</v>
      </c>
      <c r="F96" s="12">
        <v>0.75084936999999996</v>
      </c>
      <c r="G96" s="12">
        <v>0.68550239000000002</v>
      </c>
      <c r="H96" s="14">
        <f t="shared" si="30"/>
        <v>0.71799999999999997</v>
      </c>
      <c r="I96" s="14">
        <f t="shared" si="31"/>
        <v>0.66500000000000004</v>
      </c>
      <c r="J96" s="15"/>
      <c r="K96" s="15"/>
      <c r="L96" s="12"/>
      <c r="M96" s="12"/>
      <c r="N96" s="17">
        <v>87</v>
      </c>
      <c r="O96" s="12">
        <f t="shared" si="32"/>
        <v>167</v>
      </c>
      <c r="P96" s="16" t="e">
        <f t="shared" si="26"/>
        <v>#N/A</v>
      </c>
      <c r="Q96" s="16" t="e">
        <f t="shared" si="27"/>
        <v>#N/A</v>
      </c>
      <c r="R96" s="12" t="e">
        <f t="shared" si="33"/>
        <v>#N/A</v>
      </c>
      <c r="S96" s="12" t="e">
        <f t="shared" si="34"/>
        <v>#N/A</v>
      </c>
      <c r="T96" s="12" t="e">
        <f t="shared" si="35"/>
        <v>#N/A</v>
      </c>
      <c r="U96" s="12" t="e">
        <f t="shared" si="36"/>
        <v>#N/A</v>
      </c>
      <c r="V96" s="12" t="e">
        <f t="shared" si="37"/>
        <v>#N/A</v>
      </c>
      <c r="W96" s="12" t="e">
        <f t="shared" si="38"/>
        <v>#N/A</v>
      </c>
    </row>
    <row r="97" spans="1:23" s="13" customFormat="1" x14ac:dyDescent="0.2">
      <c r="A97" s="17">
        <v>88</v>
      </c>
      <c r="B97" s="19">
        <v>0.131771</v>
      </c>
      <c r="C97" s="15">
        <v>0.10509400000000001</v>
      </c>
      <c r="D97" s="15">
        <f t="shared" si="28"/>
        <v>0.74662556999999996</v>
      </c>
      <c r="E97" s="15">
        <f t="shared" si="29"/>
        <v>0.67894756999999994</v>
      </c>
      <c r="F97" s="12">
        <v>0.74662556999999996</v>
      </c>
      <c r="G97" s="12">
        <v>0.67894756999999994</v>
      </c>
      <c r="H97" s="14">
        <f t="shared" si="30"/>
        <v>0.71799999999999997</v>
      </c>
      <c r="I97" s="14">
        <f t="shared" si="31"/>
        <v>0.66500000000000004</v>
      </c>
      <c r="J97" s="15"/>
      <c r="K97" s="15"/>
      <c r="L97" s="12"/>
      <c r="M97" s="12"/>
      <c r="N97" s="17">
        <v>88</v>
      </c>
      <c r="O97" s="12">
        <f t="shared" si="32"/>
        <v>168</v>
      </c>
      <c r="P97" s="16" t="e">
        <f t="shared" si="26"/>
        <v>#N/A</v>
      </c>
      <c r="Q97" s="16" t="e">
        <f t="shared" si="27"/>
        <v>#N/A</v>
      </c>
      <c r="R97" s="12" t="e">
        <f t="shared" si="33"/>
        <v>#N/A</v>
      </c>
      <c r="S97" s="12" t="e">
        <f t="shared" si="34"/>
        <v>#N/A</v>
      </c>
      <c r="T97" s="12" t="e">
        <f t="shared" si="35"/>
        <v>#N/A</v>
      </c>
      <c r="U97" s="12" t="e">
        <f t="shared" si="36"/>
        <v>#N/A</v>
      </c>
      <c r="V97" s="12" t="e">
        <f t="shared" si="37"/>
        <v>#N/A</v>
      </c>
      <c r="W97" s="12" t="e">
        <f t="shared" si="38"/>
        <v>#N/A</v>
      </c>
    </row>
    <row r="98" spans="1:23" s="13" customFormat="1" x14ac:dyDescent="0.2">
      <c r="A98" s="17">
        <v>89</v>
      </c>
      <c r="B98" s="19">
        <v>0.148173</v>
      </c>
      <c r="C98" s="15">
        <v>0.11718099999999999</v>
      </c>
      <c r="D98" s="15">
        <f t="shared" si="28"/>
        <v>0.74237635999999996</v>
      </c>
      <c r="E98" s="15">
        <f t="shared" si="29"/>
        <v>0.67229185999999996</v>
      </c>
      <c r="F98" s="12">
        <v>0.74237635999999996</v>
      </c>
      <c r="G98" s="12">
        <v>0.67229185999999996</v>
      </c>
      <c r="H98" s="14">
        <f t="shared" si="30"/>
        <v>0.71799999999999997</v>
      </c>
      <c r="I98" s="14">
        <f t="shared" si="31"/>
        <v>0.66500000000000004</v>
      </c>
      <c r="J98" s="15"/>
      <c r="K98" s="15"/>
      <c r="L98" s="12"/>
      <c r="M98" s="12"/>
      <c r="N98" s="17">
        <v>89</v>
      </c>
      <c r="O98" s="12">
        <f t="shared" si="32"/>
        <v>169</v>
      </c>
      <c r="P98" s="16" t="e">
        <f t="shared" si="26"/>
        <v>#N/A</v>
      </c>
      <c r="Q98" s="16" t="e">
        <f t="shared" si="27"/>
        <v>#N/A</v>
      </c>
      <c r="R98" s="12" t="e">
        <f t="shared" si="33"/>
        <v>#N/A</v>
      </c>
      <c r="S98" s="12" t="e">
        <f t="shared" si="34"/>
        <v>#N/A</v>
      </c>
      <c r="T98" s="12" t="e">
        <f t="shared" si="35"/>
        <v>#N/A</v>
      </c>
      <c r="U98" s="12" t="e">
        <f t="shared" si="36"/>
        <v>#N/A</v>
      </c>
      <c r="V98" s="12" t="e">
        <f t="shared" si="37"/>
        <v>#N/A</v>
      </c>
      <c r="W98" s="12" t="e">
        <f t="shared" si="38"/>
        <v>#N/A</v>
      </c>
    </row>
    <row r="99" spans="1:23" s="13" customFormat="1" x14ac:dyDescent="0.2">
      <c r="A99" s="17">
        <v>90</v>
      </c>
      <c r="B99" s="19">
        <v>0.15778800000000001</v>
      </c>
      <c r="C99" s="15">
        <v>0.13162199999999999</v>
      </c>
      <c r="D99" s="15">
        <f t="shared" si="28"/>
        <v>0.73810368999999998</v>
      </c>
      <c r="E99" s="15">
        <f t="shared" si="29"/>
        <v>0.66553728999999995</v>
      </c>
      <c r="F99" s="12">
        <v>0.73810368999999998</v>
      </c>
      <c r="G99" s="12">
        <v>0.66553728999999995</v>
      </c>
      <c r="H99" s="14">
        <f t="shared" si="30"/>
        <v>0.66300000000000003</v>
      </c>
      <c r="I99" s="14">
        <f t="shared" si="31"/>
        <v>0.66500000000000004</v>
      </c>
      <c r="J99" s="15"/>
      <c r="K99" s="15"/>
      <c r="L99" s="12"/>
      <c r="M99" s="12"/>
      <c r="N99" s="17">
        <v>90</v>
      </c>
      <c r="O99" s="12">
        <f t="shared" si="32"/>
        <v>170</v>
      </c>
      <c r="P99" s="16" t="e">
        <f t="shared" si="26"/>
        <v>#N/A</v>
      </c>
      <c r="Q99" s="16" t="e">
        <f t="shared" si="27"/>
        <v>#N/A</v>
      </c>
      <c r="R99" s="12" t="e">
        <f t="shared" si="33"/>
        <v>#N/A</v>
      </c>
      <c r="S99" s="12" t="e">
        <f t="shared" si="34"/>
        <v>#N/A</v>
      </c>
      <c r="T99" s="12" t="e">
        <f t="shared" si="35"/>
        <v>#N/A</v>
      </c>
      <c r="U99" s="12" t="e">
        <f t="shared" si="36"/>
        <v>#N/A</v>
      </c>
      <c r="V99" s="12" t="e">
        <f t="shared" si="37"/>
        <v>#N/A</v>
      </c>
      <c r="W99" s="12" t="e">
        <f t="shared" si="38"/>
        <v>#N/A</v>
      </c>
    </row>
    <row r="100" spans="1:23" s="13" customFormat="1" x14ac:dyDescent="0.2">
      <c r="A100" s="17">
        <v>91</v>
      </c>
      <c r="B100" s="19">
        <v>0.17689299999999999</v>
      </c>
      <c r="C100" s="15">
        <v>0.14793000000000001</v>
      </c>
      <c r="D100" s="15">
        <f t="shared" si="28"/>
        <v>0.73380961</v>
      </c>
      <c r="E100" s="15">
        <f t="shared" si="29"/>
        <v>0.65868643999999998</v>
      </c>
      <c r="F100" s="12">
        <v>0.73380961</v>
      </c>
      <c r="G100" s="12">
        <v>0.65868643999999998</v>
      </c>
      <c r="H100" s="14">
        <f t="shared" si="30"/>
        <v>0.66300000000000003</v>
      </c>
      <c r="I100" s="14">
        <f t="shared" si="31"/>
        <v>0.66500000000000004</v>
      </c>
      <c r="J100" s="15"/>
      <c r="K100" s="15"/>
      <c r="L100" s="12"/>
      <c r="M100" s="12"/>
      <c r="N100" s="17">
        <v>91</v>
      </c>
      <c r="O100" s="12">
        <f t="shared" si="32"/>
        <v>171</v>
      </c>
      <c r="P100" s="16" t="e">
        <f t="shared" si="26"/>
        <v>#N/A</v>
      </c>
      <c r="Q100" s="16" t="e">
        <f t="shared" si="27"/>
        <v>#N/A</v>
      </c>
      <c r="R100" s="12" t="e">
        <f t="shared" si="33"/>
        <v>#N/A</v>
      </c>
      <c r="S100" s="12" t="e">
        <f t="shared" si="34"/>
        <v>#N/A</v>
      </c>
      <c r="T100" s="12" t="e">
        <f t="shared" si="35"/>
        <v>#N/A</v>
      </c>
      <c r="U100" s="12" t="e">
        <f t="shared" si="36"/>
        <v>#N/A</v>
      </c>
      <c r="V100" s="12" t="e">
        <f t="shared" si="37"/>
        <v>#N/A</v>
      </c>
      <c r="W100" s="12" t="e">
        <f t="shared" si="38"/>
        <v>#N/A</v>
      </c>
    </row>
    <row r="101" spans="1:23" s="13" customFormat="1" x14ac:dyDescent="0.2">
      <c r="A101" s="17">
        <v>92</v>
      </c>
      <c r="B101" s="19">
        <v>0.1943</v>
      </c>
      <c r="C101" s="15">
        <v>0.16517899999999999</v>
      </c>
      <c r="D101" s="15">
        <f t="shared" si="28"/>
        <v>0.72949626000000001</v>
      </c>
      <c r="E101" s="15">
        <f t="shared" si="29"/>
        <v>0.65174239</v>
      </c>
      <c r="F101" s="12">
        <v>0.72949626000000001</v>
      </c>
      <c r="G101" s="12">
        <v>0.65174239</v>
      </c>
      <c r="H101" s="14">
        <f t="shared" si="30"/>
        <v>0.66300000000000003</v>
      </c>
      <c r="I101" s="14">
        <f t="shared" si="31"/>
        <v>0.66500000000000004</v>
      </c>
      <c r="J101" s="15"/>
      <c r="K101" s="15"/>
      <c r="L101" s="12"/>
      <c r="M101" s="12"/>
      <c r="N101" s="17">
        <v>92</v>
      </c>
      <c r="O101" s="12">
        <f t="shared" si="32"/>
        <v>172</v>
      </c>
      <c r="P101" s="16" t="e">
        <f t="shared" si="26"/>
        <v>#N/A</v>
      </c>
      <c r="Q101" s="16" t="e">
        <f t="shared" si="27"/>
        <v>#N/A</v>
      </c>
      <c r="R101" s="12" t="e">
        <f t="shared" si="33"/>
        <v>#N/A</v>
      </c>
      <c r="S101" s="12" t="e">
        <f t="shared" si="34"/>
        <v>#N/A</v>
      </c>
      <c r="T101" s="12" t="e">
        <f t="shared" si="35"/>
        <v>#N/A</v>
      </c>
      <c r="U101" s="12" t="e">
        <f t="shared" si="36"/>
        <v>#N/A</v>
      </c>
      <c r="V101" s="12" t="e">
        <f t="shared" si="37"/>
        <v>#N/A</v>
      </c>
      <c r="W101" s="12" t="e">
        <f t="shared" si="38"/>
        <v>#N/A</v>
      </c>
    </row>
    <row r="102" spans="1:23" s="13" customFormat="1" x14ac:dyDescent="0.2">
      <c r="A102" s="17">
        <v>93</v>
      </c>
      <c r="B102" s="19">
        <v>0.214033</v>
      </c>
      <c r="C102" s="15">
        <v>0.182699</v>
      </c>
      <c r="D102" s="15">
        <f t="shared" si="28"/>
        <v>0.72516592999999996</v>
      </c>
      <c r="E102" s="15">
        <f t="shared" si="29"/>
        <v>0.64470888000000004</v>
      </c>
      <c r="F102" s="12">
        <v>0.72516592999999996</v>
      </c>
      <c r="G102" s="12">
        <v>0.64470888000000004</v>
      </c>
      <c r="H102" s="14">
        <f t="shared" si="30"/>
        <v>0.66300000000000003</v>
      </c>
      <c r="I102" s="14">
        <f t="shared" si="31"/>
        <v>0.66500000000000004</v>
      </c>
      <c r="J102" s="15"/>
      <c r="K102" s="15"/>
      <c r="L102" s="12"/>
      <c r="M102" s="12"/>
      <c r="N102" s="17">
        <v>93</v>
      </c>
      <c r="O102" s="12">
        <f t="shared" si="32"/>
        <v>173</v>
      </c>
      <c r="P102" s="16" t="e">
        <f t="shared" si="26"/>
        <v>#N/A</v>
      </c>
      <c r="Q102" s="16" t="e">
        <f t="shared" si="27"/>
        <v>#N/A</v>
      </c>
      <c r="R102" s="12" t="e">
        <f t="shared" si="33"/>
        <v>#N/A</v>
      </c>
      <c r="S102" s="12" t="e">
        <f t="shared" si="34"/>
        <v>#N/A</v>
      </c>
      <c r="T102" s="12" t="e">
        <f t="shared" si="35"/>
        <v>#N/A</v>
      </c>
      <c r="U102" s="12" t="e">
        <f t="shared" si="36"/>
        <v>#N/A</v>
      </c>
      <c r="V102" s="12" t="e">
        <f t="shared" si="37"/>
        <v>#N/A</v>
      </c>
      <c r="W102" s="12" t="e">
        <f t="shared" si="38"/>
        <v>#N/A</v>
      </c>
    </row>
    <row r="103" spans="1:23" s="13" customFormat="1" x14ac:dyDescent="0.2">
      <c r="A103" s="17">
        <v>94</v>
      </c>
      <c r="B103" s="19">
        <v>0.23701800000000001</v>
      </c>
      <c r="C103" s="15">
        <v>0.20327300000000001</v>
      </c>
      <c r="D103" s="15">
        <f t="shared" si="28"/>
        <v>0.72082100000000005</v>
      </c>
      <c r="E103" s="15">
        <f t="shared" si="29"/>
        <v>0.63759025000000003</v>
      </c>
      <c r="F103" s="12">
        <v>0.72082100000000005</v>
      </c>
      <c r="G103" s="12">
        <v>0.63759025000000003</v>
      </c>
      <c r="H103" s="14">
        <f t="shared" si="30"/>
        <v>0.66300000000000003</v>
      </c>
      <c r="I103" s="14">
        <f t="shared" si="31"/>
        <v>0.66500000000000004</v>
      </c>
      <c r="J103" s="15"/>
      <c r="K103" s="15"/>
      <c r="L103" s="12"/>
      <c r="M103" s="12"/>
      <c r="N103" s="17">
        <v>94</v>
      </c>
      <c r="O103" s="12">
        <f t="shared" si="32"/>
        <v>174</v>
      </c>
      <c r="P103" s="16" t="e">
        <f t="shared" si="26"/>
        <v>#N/A</v>
      </c>
      <c r="Q103" s="16" t="e">
        <f t="shared" si="27"/>
        <v>#N/A</v>
      </c>
      <c r="R103" s="12" t="e">
        <f t="shared" si="33"/>
        <v>#N/A</v>
      </c>
      <c r="S103" s="12" t="e">
        <f t="shared" si="34"/>
        <v>#N/A</v>
      </c>
      <c r="T103" s="12" t="e">
        <f t="shared" si="35"/>
        <v>#N/A</v>
      </c>
      <c r="U103" s="12" t="e">
        <f t="shared" si="36"/>
        <v>#N/A</v>
      </c>
      <c r="V103" s="12" t="e">
        <f t="shared" si="37"/>
        <v>#N/A</v>
      </c>
      <c r="W103" s="12" t="e">
        <f t="shared" si="38"/>
        <v>#N/A</v>
      </c>
    </row>
    <row r="104" spans="1:23" s="13" customFormat="1" x14ac:dyDescent="0.2">
      <c r="A104" s="17">
        <v>95</v>
      </c>
      <c r="B104" s="19">
        <v>0.26174500000000001</v>
      </c>
      <c r="C104" s="15">
        <v>0.226544</v>
      </c>
      <c r="D104" s="15">
        <f t="shared" si="28"/>
        <v>0.71646399000000005</v>
      </c>
      <c r="E104" s="15">
        <f t="shared" si="29"/>
        <v>0.63039157999999995</v>
      </c>
      <c r="F104" s="12">
        <v>0.71646399000000005</v>
      </c>
      <c r="G104" s="12">
        <v>0.63039157999999995</v>
      </c>
      <c r="H104" s="14">
        <f t="shared" si="30"/>
        <v>0.66300000000000003</v>
      </c>
      <c r="I104" s="14">
        <f t="shared" si="31"/>
        <v>0.66500000000000004</v>
      </c>
      <c r="J104" s="15"/>
      <c r="K104" s="15"/>
      <c r="L104" s="12"/>
      <c r="M104" s="12"/>
      <c r="N104" s="17">
        <v>95</v>
      </c>
      <c r="O104" s="12">
        <f t="shared" si="32"/>
        <v>175</v>
      </c>
      <c r="P104" s="16" t="e">
        <f t="shared" ref="P104:P109" si="39">P103-P103*VLOOKUP(O103,lifetable,2,FALSE)</f>
        <v>#N/A</v>
      </c>
      <c r="Q104" s="16" t="e">
        <f t="shared" ref="Q104:Q109" si="40">Q103-Q103*VLOOKUP(O103,lifetable,3,FALSE)</f>
        <v>#N/A</v>
      </c>
      <c r="R104" s="12" t="e">
        <f t="shared" si="33"/>
        <v>#N/A</v>
      </c>
      <c r="S104" s="12" t="e">
        <f t="shared" si="34"/>
        <v>#N/A</v>
      </c>
      <c r="T104" s="12" t="e">
        <f t="shared" si="35"/>
        <v>#N/A</v>
      </c>
      <c r="U104" s="12" t="e">
        <f t="shared" si="36"/>
        <v>#N/A</v>
      </c>
      <c r="V104" s="12" t="e">
        <f t="shared" si="37"/>
        <v>#N/A</v>
      </c>
      <c r="W104" s="12" t="e">
        <f t="shared" si="38"/>
        <v>#N/A</v>
      </c>
    </row>
    <row r="105" spans="1:23" s="13" customFormat="1" x14ac:dyDescent="0.2">
      <c r="A105" s="17">
        <v>96</v>
      </c>
      <c r="B105" s="19">
        <v>0.290462</v>
      </c>
      <c r="C105" s="15">
        <v>0.25041999999999998</v>
      </c>
      <c r="D105" s="15">
        <f t="shared" ref="D105:D110" si="41">IF(util=1,F105,IF(util=2,H105,"err"))</f>
        <v>0.71209750999999999</v>
      </c>
      <c r="E105" s="15">
        <f t="shared" ref="E105:E110" si="42">IF(util=1,G105,IF(util=2,I105,"err"))</f>
        <v>0.62311863999999995</v>
      </c>
      <c r="F105" s="12">
        <v>0.71209750999999999</v>
      </c>
      <c r="G105" s="12">
        <v>0.62311863999999995</v>
      </c>
      <c r="H105" s="14">
        <f t="shared" si="30"/>
        <v>0.66300000000000003</v>
      </c>
      <c r="I105" s="14">
        <f t="shared" ref="I105:I110" si="43">VLOOKUP($A105,$K$9:$M$26,3)</f>
        <v>0.66500000000000004</v>
      </c>
      <c r="J105" s="15"/>
      <c r="K105" s="15"/>
      <c r="L105" s="12"/>
      <c r="M105" s="12"/>
      <c r="N105" s="17">
        <v>96</v>
      </c>
      <c r="O105" s="12">
        <f>Age+N105</f>
        <v>176</v>
      </c>
      <c r="P105" s="16" t="e">
        <f t="shared" si="39"/>
        <v>#N/A</v>
      </c>
      <c r="Q105" s="16" t="e">
        <f t="shared" si="40"/>
        <v>#N/A</v>
      </c>
      <c r="R105" s="12" t="e">
        <f t="shared" si="33"/>
        <v>#N/A</v>
      </c>
      <c r="S105" s="12" t="e">
        <f t="shared" si="34"/>
        <v>#N/A</v>
      </c>
      <c r="T105" s="12" t="e">
        <f t="shared" si="35"/>
        <v>#N/A</v>
      </c>
      <c r="U105" s="12" t="e">
        <f t="shared" si="36"/>
        <v>#N/A</v>
      </c>
      <c r="V105" s="12" t="e">
        <f t="shared" si="37"/>
        <v>#N/A</v>
      </c>
      <c r="W105" s="12" t="e">
        <f t="shared" si="38"/>
        <v>#N/A</v>
      </c>
    </row>
    <row r="106" spans="1:23" s="13" customFormat="1" x14ac:dyDescent="0.2">
      <c r="A106" s="17">
        <v>97</v>
      </c>
      <c r="B106" s="19">
        <v>0.30513800000000002</v>
      </c>
      <c r="C106" s="15">
        <v>0.26713999999999999</v>
      </c>
      <c r="D106" s="15">
        <f t="shared" si="41"/>
        <v>0.70772433999999995</v>
      </c>
      <c r="E106" s="15">
        <f t="shared" si="42"/>
        <v>0.61577799</v>
      </c>
      <c r="F106" s="12">
        <v>0.70772433999999995</v>
      </c>
      <c r="G106" s="12">
        <v>0.61577799</v>
      </c>
      <c r="H106" s="14">
        <f t="shared" si="30"/>
        <v>0.66300000000000003</v>
      </c>
      <c r="I106" s="14">
        <f t="shared" si="43"/>
        <v>0.66500000000000004</v>
      </c>
      <c r="J106" s="15"/>
      <c r="K106" s="15"/>
      <c r="L106" s="12"/>
      <c r="M106" s="12"/>
      <c r="N106" s="17">
        <v>97</v>
      </c>
      <c r="O106" s="12">
        <f>Age+N106</f>
        <v>177</v>
      </c>
      <c r="P106" s="16" t="e">
        <f t="shared" si="39"/>
        <v>#N/A</v>
      </c>
      <c r="Q106" s="16" t="e">
        <f t="shared" si="40"/>
        <v>#N/A</v>
      </c>
      <c r="R106" s="12" t="e">
        <f t="shared" si="33"/>
        <v>#N/A</v>
      </c>
      <c r="S106" s="12" t="e">
        <f t="shared" si="34"/>
        <v>#N/A</v>
      </c>
      <c r="T106" s="12" t="e">
        <f t="shared" si="35"/>
        <v>#N/A</v>
      </c>
      <c r="U106" s="12" t="e">
        <f t="shared" si="36"/>
        <v>#N/A</v>
      </c>
      <c r="V106" s="12" t="e">
        <f t="shared" si="37"/>
        <v>#N/A</v>
      </c>
      <c r="W106" s="12" t="e">
        <f t="shared" si="38"/>
        <v>#N/A</v>
      </c>
    </row>
    <row r="107" spans="1:23" s="13" customFormat="1" x14ac:dyDescent="0.2">
      <c r="A107" s="17">
        <v>98</v>
      </c>
      <c r="B107" s="19">
        <v>0.326401</v>
      </c>
      <c r="C107" s="15">
        <v>0.29338900000000001</v>
      </c>
      <c r="D107" s="15">
        <f t="shared" si="41"/>
        <v>0.70334735999999998</v>
      </c>
      <c r="E107" s="15">
        <f t="shared" si="42"/>
        <v>0.60837695999999997</v>
      </c>
      <c r="F107" s="12">
        <v>0.70334735999999998</v>
      </c>
      <c r="G107" s="12">
        <v>0.60837695999999997</v>
      </c>
      <c r="H107" s="14">
        <f t="shared" si="30"/>
        <v>0.66300000000000003</v>
      </c>
      <c r="I107" s="14">
        <f t="shared" si="43"/>
        <v>0.66500000000000004</v>
      </c>
      <c r="J107" s="15"/>
      <c r="K107" s="15"/>
      <c r="L107" s="12"/>
      <c r="M107" s="12"/>
      <c r="N107" s="17">
        <v>98</v>
      </c>
      <c r="O107" s="12">
        <f>Age+N107</f>
        <v>178</v>
      </c>
      <c r="P107" s="16" t="e">
        <f t="shared" si="39"/>
        <v>#N/A</v>
      </c>
      <c r="Q107" s="16" t="e">
        <f t="shared" si="40"/>
        <v>#N/A</v>
      </c>
      <c r="R107" s="12" t="e">
        <f t="shared" si="33"/>
        <v>#N/A</v>
      </c>
      <c r="S107" s="12" t="e">
        <f t="shared" si="34"/>
        <v>#N/A</v>
      </c>
      <c r="T107" s="12" t="e">
        <f t="shared" si="35"/>
        <v>#N/A</v>
      </c>
      <c r="U107" s="12" t="e">
        <f t="shared" si="36"/>
        <v>#N/A</v>
      </c>
      <c r="V107" s="12" t="e">
        <f t="shared" si="37"/>
        <v>#N/A</v>
      </c>
      <c r="W107" s="12" t="e">
        <f t="shared" si="38"/>
        <v>#N/A</v>
      </c>
    </row>
    <row r="108" spans="1:23" s="13" customFormat="1" x14ac:dyDescent="0.2">
      <c r="A108" s="17">
        <v>99</v>
      </c>
      <c r="B108" s="19">
        <v>0.36866500000000002</v>
      </c>
      <c r="C108" s="15">
        <v>0.31467800000000001</v>
      </c>
      <c r="D108" s="15">
        <f t="shared" si="41"/>
        <v>0.69896955999999999</v>
      </c>
      <c r="E108" s="15">
        <f t="shared" si="42"/>
        <v>0.60092374999999998</v>
      </c>
      <c r="F108" s="12">
        <v>0.69896955999999999</v>
      </c>
      <c r="G108" s="12">
        <v>0.60092374999999998</v>
      </c>
      <c r="H108" s="14">
        <f t="shared" si="30"/>
        <v>0.66300000000000003</v>
      </c>
      <c r="I108" s="14">
        <f t="shared" si="43"/>
        <v>0.66500000000000004</v>
      </c>
      <c r="J108" s="15"/>
      <c r="K108" s="15"/>
      <c r="L108" s="12"/>
      <c r="M108" s="12"/>
      <c r="N108" s="17">
        <v>99</v>
      </c>
      <c r="O108" s="12">
        <f>Age+N108</f>
        <v>179</v>
      </c>
      <c r="P108" s="16" t="e">
        <f t="shared" si="39"/>
        <v>#N/A</v>
      </c>
      <c r="Q108" s="16" t="e">
        <f t="shared" si="40"/>
        <v>#N/A</v>
      </c>
      <c r="R108" s="12" t="e">
        <f t="shared" si="33"/>
        <v>#N/A</v>
      </c>
      <c r="S108" s="12" t="e">
        <f t="shared" si="34"/>
        <v>#N/A</v>
      </c>
      <c r="T108" s="12" t="e">
        <f t="shared" si="35"/>
        <v>#N/A</v>
      </c>
      <c r="U108" s="12" t="e">
        <f t="shared" si="36"/>
        <v>#N/A</v>
      </c>
      <c r="V108" s="12" t="e">
        <f t="shared" si="37"/>
        <v>#N/A</v>
      </c>
      <c r="W108" s="12" t="e">
        <f t="shared" si="38"/>
        <v>#N/A</v>
      </c>
    </row>
    <row r="109" spans="1:23" s="13" customFormat="1" x14ac:dyDescent="0.2">
      <c r="A109" s="17">
        <v>100</v>
      </c>
      <c r="B109" s="12">
        <v>0.38807000000000003</v>
      </c>
      <c r="C109" s="18">
        <v>0.35030600000000001</v>
      </c>
      <c r="D109" s="15">
        <f t="shared" si="41"/>
        <v>0.69459409999999999</v>
      </c>
      <c r="E109" s="15">
        <f t="shared" si="42"/>
        <v>0.59342735999999996</v>
      </c>
      <c r="F109" s="12">
        <v>0.69459409999999999</v>
      </c>
      <c r="G109" s="12">
        <v>0.59342735999999996</v>
      </c>
      <c r="H109" s="14">
        <f t="shared" si="30"/>
        <v>0.66300000000000003</v>
      </c>
      <c r="I109" s="14">
        <f t="shared" si="43"/>
        <v>0.66500000000000004</v>
      </c>
      <c r="J109" s="18"/>
      <c r="K109" s="18"/>
      <c r="L109" s="12"/>
      <c r="M109" s="12"/>
      <c r="N109" s="17">
        <v>100</v>
      </c>
      <c r="O109" s="12">
        <f>Age+N109</f>
        <v>180</v>
      </c>
      <c r="P109" s="16" t="e">
        <f t="shared" si="39"/>
        <v>#N/A</v>
      </c>
      <c r="Q109" s="16" t="e">
        <f t="shared" si="40"/>
        <v>#N/A</v>
      </c>
      <c r="R109" s="12" t="e">
        <f t="shared" si="33"/>
        <v>#N/A</v>
      </c>
      <c r="S109" s="12" t="e">
        <f t="shared" si="34"/>
        <v>#N/A</v>
      </c>
      <c r="T109" s="12" t="e">
        <f t="shared" si="35"/>
        <v>#N/A</v>
      </c>
      <c r="U109" s="12" t="e">
        <f t="shared" si="36"/>
        <v>#N/A</v>
      </c>
      <c r="V109" s="12" t="e">
        <f t="shared" si="37"/>
        <v>#N/A</v>
      </c>
      <c r="W109" s="12" t="e">
        <f t="shared" si="38"/>
        <v>#N/A</v>
      </c>
    </row>
    <row r="110" spans="1:23" s="13" customFormat="1" x14ac:dyDescent="0.2">
      <c r="A110" s="12"/>
      <c r="B110" s="12"/>
      <c r="C110" s="12"/>
      <c r="D110" s="15">
        <f t="shared" si="41"/>
        <v>0.69022424999999998</v>
      </c>
      <c r="E110" s="15">
        <f t="shared" si="42"/>
        <v>0.58589765999999999</v>
      </c>
      <c r="F110" s="12">
        <v>0.69022424999999998</v>
      </c>
      <c r="G110" s="12">
        <v>0.58589765999999999</v>
      </c>
      <c r="H110" s="14"/>
      <c r="I110" s="14">
        <f t="shared" si="43"/>
        <v>0.88100000000000001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EB70-1DD5-144A-8D91-A20B39E2096A}">
  <dimension ref="A1:AF43"/>
  <sheetViews>
    <sheetView tabSelected="1" workbookViewId="0">
      <selection activeCell="O8" sqref="O8"/>
    </sheetView>
  </sheetViews>
  <sheetFormatPr baseColWidth="10" defaultRowHeight="16" x14ac:dyDescent="0.2"/>
  <cols>
    <col min="1" max="1" width="15.83203125" style="9" customWidth="1"/>
    <col min="2" max="2" width="10.1640625" customWidth="1"/>
    <col min="3" max="3" width="10.6640625" customWidth="1"/>
    <col min="4" max="4" width="10.1640625" customWidth="1"/>
    <col min="5" max="5" width="9.5" customWidth="1"/>
    <col min="6" max="6" width="11.33203125" customWidth="1"/>
    <col min="7" max="7" width="8.33203125" customWidth="1"/>
    <col min="8" max="8" width="10.6640625" customWidth="1"/>
    <col min="9" max="14" width="9.83203125" customWidth="1"/>
    <col min="15" max="15" width="18" customWidth="1"/>
    <col min="16" max="16" width="25.1640625" customWidth="1"/>
    <col min="17" max="18" width="10.83203125" customWidth="1"/>
    <col min="19" max="19" width="18.1640625" customWidth="1"/>
    <col min="20" max="20" width="14.83203125" customWidth="1"/>
    <col min="23" max="23" width="11.33203125" customWidth="1"/>
  </cols>
  <sheetData>
    <row r="1" spans="1:32" x14ac:dyDescent="0.2">
      <c r="B1" s="93" t="s">
        <v>31</v>
      </c>
      <c r="C1" s="93"/>
      <c r="D1" s="93"/>
      <c r="E1" s="93"/>
      <c r="F1" s="93"/>
      <c r="G1" s="93"/>
      <c r="H1" s="93"/>
      <c r="I1" s="7"/>
    </row>
    <row r="2" spans="1:32" ht="17" x14ac:dyDescent="0.2">
      <c r="B2" s="93" t="s">
        <v>27</v>
      </c>
      <c r="C2" s="93"/>
      <c r="D2" s="93" t="s">
        <v>28</v>
      </c>
      <c r="E2" s="93"/>
      <c r="F2" s="93" t="s">
        <v>29</v>
      </c>
      <c r="G2" s="93"/>
      <c r="H2" s="94" t="s">
        <v>30</v>
      </c>
      <c r="I2" s="94"/>
      <c r="P2" s="62"/>
      <c r="Q2" s="7" t="s">
        <v>27</v>
      </c>
      <c r="R2" s="7"/>
      <c r="S2" s="7"/>
      <c r="T2" s="61"/>
      <c r="U2" s="7" t="s">
        <v>28</v>
      </c>
      <c r="V2" s="7"/>
      <c r="W2" s="7"/>
      <c r="X2" s="61"/>
      <c r="Y2" s="7" t="s">
        <v>29</v>
      </c>
      <c r="Z2" s="7"/>
      <c r="AA2" s="7"/>
      <c r="AB2" s="61"/>
      <c r="AC2" s="7" t="s">
        <v>30</v>
      </c>
      <c r="AD2" s="7"/>
      <c r="AE2" s="7"/>
      <c r="AF2" s="61"/>
    </row>
    <row r="3" spans="1:32" ht="51" x14ac:dyDescent="0.2">
      <c r="A3" s="7" t="s">
        <v>0</v>
      </c>
      <c r="B3" s="7" t="s">
        <v>73</v>
      </c>
      <c r="C3" s="7" t="s">
        <v>104</v>
      </c>
      <c r="D3" s="7" t="s">
        <v>73</v>
      </c>
      <c r="E3" s="7" t="s">
        <v>104</v>
      </c>
      <c r="F3" s="7" t="s">
        <v>73</v>
      </c>
      <c r="G3" s="7" t="s">
        <v>104</v>
      </c>
      <c r="H3" s="7" t="s">
        <v>73</v>
      </c>
      <c r="I3" s="7" t="s">
        <v>104</v>
      </c>
      <c r="K3" s="7" t="s">
        <v>116</v>
      </c>
      <c r="L3" s="7" t="s">
        <v>117</v>
      </c>
      <c r="M3" s="7" t="s">
        <v>118</v>
      </c>
      <c r="N3" s="7" t="s">
        <v>120</v>
      </c>
      <c r="P3" s="59" t="s">
        <v>90</v>
      </c>
      <c r="Q3" s="7" t="s">
        <v>87</v>
      </c>
      <c r="R3" s="61" t="s">
        <v>89</v>
      </c>
      <c r="S3" s="7" t="s">
        <v>88</v>
      </c>
      <c r="T3" s="61" t="s">
        <v>89</v>
      </c>
      <c r="U3" s="7" t="s">
        <v>87</v>
      </c>
      <c r="V3" s="61" t="s">
        <v>89</v>
      </c>
      <c r="W3" s="7" t="s">
        <v>88</v>
      </c>
      <c r="X3" s="61" t="s">
        <v>89</v>
      </c>
      <c r="Y3" s="7" t="s">
        <v>87</v>
      </c>
      <c r="Z3" s="61" t="s">
        <v>89</v>
      </c>
      <c r="AA3" s="7" t="s">
        <v>88</v>
      </c>
      <c r="AB3" s="61" t="s">
        <v>89</v>
      </c>
      <c r="AC3" s="7" t="s">
        <v>87</v>
      </c>
      <c r="AD3" s="61" t="s">
        <v>89</v>
      </c>
      <c r="AE3" s="7" t="s">
        <v>88</v>
      </c>
      <c r="AF3" s="61" t="s">
        <v>89</v>
      </c>
    </row>
    <row r="4" spans="1:32" x14ac:dyDescent="0.2">
      <c r="A4" s="9">
        <v>50</v>
      </c>
      <c r="B4" s="5">
        <f>(Stage4to1!J2+Stage3to1!J2+Stage2to1!J2+Stage1to1!J2)/(Stage4to1!F2+Stage3to1!F2+Stage2to1!F2+Stage1to1!F2)</f>
        <v>5.4139755153646663</v>
      </c>
      <c r="C4" s="5">
        <f>Stage4to1!F2+Stage3to1!F2+Stage2to1!F2+Stage1to1!F2</f>
        <v>83.160968999999994</v>
      </c>
      <c r="D4" s="5">
        <f>(Stage4to1!K2+Stage3to1!K2+Stage2to1!K2+Stage1to1!K2+Stage4to2!K2+Stage3to2!K2+Stage2to2!K2)/(Stage4to1!G2+Stage3to1!G2+Stage2to1!G2+Stage1to1!G2+Stage4to2!G2+Stage3to2!G2+Stage2to2!G2)</f>
        <v>3.3643994024192465</v>
      </c>
      <c r="E4" s="80">
        <f>Stage4to1!G2+Stage3to1!G2+Stage2to1!G2+Stage1to1!G2+Stage4to2!G2+Stage3to2!G2+Stage2to2!G2</f>
        <v>67.108587</v>
      </c>
      <c r="F4" s="5">
        <f>(Stage4to1!L2+Stage3to1!L2+Stage2to1!L2+Stage1to1!L2+Stage4to2!L2+Stage3to2!L2+Stage2to2!L2+Stage4to3!L2+Stage3to3!L2)/(Stage4to1!H2+Stage3to1!H2+Stage2to1!H2+Stage1to1!H2+Stage4to2!H2+Stage3to2!H2+Stage2to2!H2+Stage4to3!H2+Stage3to3!H2)</f>
        <v>1.9314957049018051</v>
      </c>
      <c r="G4" s="81">
        <f>Stage4to1!H2+Stage3to1!H2+Stage2to1!H2+Stage1to1!H2+Stage4to2!H2+Stage3to2!H2+Stage2to2!H2+Stage4to3!H2+Stage3to3!H2</f>
        <v>74.421464999999998</v>
      </c>
      <c r="H4" s="5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0.77499480589087244</v>
      </c>
      <c r="I4" s="83">
        <f>Stage4to1!I2+Stage3to1!I2+Stage2to1!I2+Stage1to1!I2+Stage4to2!I2+Stage3to2!I2+Stage2to2!I2+Stage4to3!I2+Stage3to3!I2+Stage4to4!I2</f>
        <v>83.026750000000007</v>
      </c>
      <c r="K4" s="58">
        <f>SUM(C4+E4+G4+I4)</f>
        <v>307.71777099999997</v>
      </c>
      <c r="L4" s="58">
        <f>SUM(E4+G4+I4)</f>
        <v>224.556802</v>
      </c>
      <c r="M4">
        <f>ROUND((L4/K4)*100, 1)</f>
        <v>73</v>
      </c>
      <c r="N4">
        <v>73</v>
      </c>
      <c r="P4" s="60">
        <v>15.926122000508569</v>
      </c>
      <c r="Q4" s="58">
        <f t="shared" ref="Q4:Q33" si="0">P4-B4</f>
        <v>10.512146485143901</v>
      </c>
      <c r="R4" s="79">
        <f>IF(Q4&lt;12,1,IF(Q4&lt;18,1.2,1.7))</f>
        <v>1</v>
      </c>
      <c r="S4">
        <f t="shared" ref="S4:S33" si="1">Q4/P4</f>
        <v>0.66005688546202379</v>
      </c>
      <c r="T4" s="62">
        <f>IF(S4&lt;0.85,1,IF(S4&lt;0.95,1.2,1.7))</f>
        <v>1</v>
      </c>
      <c r="U4" s="58">
        <f t="shared" ref="U4:U33" si="2">P4-D4</f>
        <v>12.561722598089322</v>
      </c>
      <c r="V4" s="80">
        <f>IF(U4&lt;12,1,IF(U4&lt;18,1.2,1.7))</f>
        <v>1.2</v>
      </c>
      <c r="W4">
        <f t="shared" ref="W4:W33" si="3">U4/$P4</f>
        <v>0.78874961510957842</v>
      </c>
      <c r="X4" s="62">
        <f>IF(W4&lt;0.85,1,IF(W4&lt;0.95,1.2,1.7))</f>
        <v>1</v>
      </c>
      <c r="Y4" s="58">
        <f t="shared" ref="Y4:Y33" si="4">P4-F4</f>
        <v>13.994626295606764</v>
      </c>
      <c r="Z4" s="80">
        <f>IF(Y4&lt;12,1,IF(Y4&lt;18,1.2,1.7))</f>
        <v>1.2</v>
      </c>
      <c r="AA4">
        <f t="shared" ref="AA4:AA33" si="5">Y4/$P4</f>
        <v>0.87872153027333799</v>
      </c>
      <c r="AB4" s="81">
        <f>IF(AA4&lt;0.85,1,IF(AA4&lt;0.95,1.2,1.7))</f>
        <v>1.2</v>
      </c>
      <c r="AC4" s="58">
        <f t="shared" ref="AC4:AC33" si="6">P4-H4</f>
        <v>15.151127194617697</v>
      </c>
      <c r="AD4" s="80">
        <f>IF(AC4&lt;12,1,IF(AC4&lt;18,1.2,1.7))</f>
        <v>1.2</v>
      </c>
      <c r="AE4">
        <f t="shared" ref="AE4:AE33" si="7">AC4/P4</f>
        <v>0.95133813455239613</v>
      </c>
      <c r="AF4" s="83">
        <f>IF(AE4&lt;0.85,1,IF(AE4&lt;0.95,1.2,1.7))</f>
        <v>1.7</v>
      </c>
    </row>
    <row r="5" spans="1:32" x14ac:dyDescent="0.2">
      <c r="A5" s="9">
        <v>51</v>
      </c>
      <c r="B5" s="5">
        <f>(Stage4to1!J3+Stage3to1!J3+Stage2to1!J3+Stage1to1!J3)/(Stage4to1!F3+Stage3to1!F3+Stage2to1!F3+Stage1to1!F3)</f>
        <v>5.411536981224943</v>
      </c>
      <c r="C5" s="5">
        <f>Stage4to1!F3+Stage3to1!F3+Stage2to1!F3+Stage1to1!F3</f>
        <v>83.007363999999995</v>
      </c>
      <c r="D5" s="5">
        <f>(Stage4to1!K3+Stage3to1!K3+Stage2to1!K3+Stage1to1!K3+Stage4to2!K3+Stage3to2!K3+Stage2to2!K3)/(Stage4to1!G3+Stage3to1!G3+Stage2to1!G3+Stage1to1!G3+Stage4to2!G3+Stage3to2!G3+Stage2to2!G3)</f>
        <v>3.3638337369527136</v>
      </c>
      <c r="E5" s="80">
        <f>Stage4to1!G3+Stage3to1!G3+Stage2to1!G3+Stage1to1!G3+Stage4to2!G3+Stage3to2!G3+Stage2to2!G3</f>
        <v>67.052445999999989</v>
      </c>
      <c r="F5" s="5">
        <f>(Stage4to1!L3+Stage3to1!L3+Stage2to1!L3+Stage1to1!L3+Stage4to2!L3+Stage3to2!L3+Stage2to2!L3+Stage4to3!L3+Stage3to3!L3)/(Stage4to1!H3+Stage3to1!H3+Stage2to1!H3+Stage1to1!H3+Stage4to2!H3+Stage3to2!H3+Stage2to2!H3+Stage4to3!H3+Stage3to3!H3)</f>
        <v>1.9313138524572031</v>
      </c>
      <c r="G5" s="81">
        <f>Stage4to1!H3+Stage3to1!H3+Stage2to1!H3+Stage1to1!H3+Stage4to2!H3+Stage3to2!H3+Stage2to2!H3+Stage4to3!H3+Stage3to3!H3</f>
        <v>74.393574000000001</v>
      </c>
      <c r="H5" s="5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0.77499679300906099</v>
      </c>
      <c r="I5" s="83">
        <f>Stage4to1!I3+Stage3to1!I3+Stage2to1!I3+Stage1to1!I3+Stage4to2!I3+Stage3to2!I3+Stage2to2!I3+Stage4to3!I3+Stage3to3!I3+Stage4to4!I3</f>
        <v>83.021749999999997</v>
      </c>
      <c r="K5" s="58">
        <f t="shared" ref="K5:K33" si="8">SUM(C5+E5+G5+I5)</f>
        <v>307.47513399999997</v>
      </c>
      <c r="L5" s="58">
        <f>SUM(E5+G5+I5)</f>
        <v>224.46776999999997</v>
      </c>
      <c r="M5">
        <f t="shared" ref="M5:M33" si="9">ROUND((L5/K5)*100, 1)</f>
        <v>73</v>
      </c>
      <c r="N5">
        <v>73</v>
      </c>
      <c r="P5" s="60">
        <v>15.626546505635281</v>
      </c>
      <c r="Q5" s="58">
        <f t="shared" si="0"/>
        <v>10.215009524410338</v>
      </c>
      <c r="R5" s="58">
        <f t="shared" ref="R5:R33" si="10">IF(Q5&lt;12,1,IF(Q5&lt;18,1.2,1.7))</f>
        <v>1</v>
      </c>
      <c r="S5">
        <f t="shared" si="1"/>
        <v>0.65369590912019993</v>
      </c>
      <c r="T5" s="62">
        <f t="shared" ref="T5:T33" si="11">IF(S5&lt;0.85,1,IF(S5&lt;0.95,1.2,1.7))</f>
        <v>1</v>
      </c>
      <c r="U5" s="58">
        <f t="shared" si="2"/>
        <v>12.262712768682567</v>
      </c>
      <c r="V5" s="80">
        <f>IF(U5&lt;12,1,IF(U5&lt;18,1.2,1.7))</f>
        <v>1.2</v>
      </c>
      <c r="W5">
        <f t="shared" si="3"/>
        <v>0.78473594688758386</v>
      </c>
      <c r="X5" s="62">
        <f t="shared" ref="X5:X33" si="12">IF(W5&lt;0.85,1,IF(W5&lt;0.95,1.2,1.7))</f>
        <v>1</v>
      </c>
      <c r="Y5" s="58">
        <f t="shared" si="4"/>
        <v>13.695232653178078</v>
      </c>
      <c r="Z5" s="80">
        <f t="shared" ref="Z5:Z33" si="13">IF(Y5&lt;12,1,IF(Y5&lt;18,1.2,1.7))</f>
        <v>1.2</v>
      </c>
      <c r="AA5">
        <f t="shared" si="5"/>
        <v>0.87640814611464357</v>
      </c>
      <c r="AB5" s="81">
        <f t="shared" ref="AB5:AB33" si="14">IF(AA5&lt;0.85,1,IF(AA5&lt;0.95,1.2,1.7))</f>
        <v>1.2</v>
      </c>
      <c r="AC5" s="58">
        <f t="shared" si="6"/>
        <v>14.85154971262622</v>
      </c>
      <c r="AD5" s="80">
        <f t="shared" ref="AD5:AD33" si="15">IF(AC5&lt;12,1,IF(AC5&lt;18,1.2,1.7))</f>
        <v>1.2</v>
      </c>
      <c r="AE5">
        <f t="shared" si="7"/>
        <v>0.95040511396874672</v>
      </c>
      <c r="AF5" s="83">
        <f t="shared" ref="AF5:AF33" si="16">IF(AE5&lt;0.85,1,IF(AE5&lt;0.95,1.2,1.7))</f>
        <v>1.7</v>
      </c>
    </row>
    <row r="6" spans="1:32" x14ac:dyDescent="0.2">
      <c r="A6" s="9">
        <v>52</v>
      </c>
      <c r="B6" s="5">
        <f>(Stage4to1!J4+Stage3to1!J4+Stage2to1!J4+Stage1to1!J4)/(Stage4to1!F4+Stage3to1!F4+Stage2to1!F4+Stage1to1!F4)</f>
        <v>5.4088284992905571</v>
      </c>
      <c r="C6" s="5">
        <f>Stage4to1!F4+Stage3to1!F4+Stage2to1!F4+Stage1to1!F4</f>
        <v>82.843185000000005</v>
      </c>
      <c r="D6" s="5">
        <f>(Stage4to1!K4+Stage3to1!K4+Stage2to1!K4+Stage1to1!K4+Stage4to2!K4+Stage3to2!K4+Stage2to2!K4)/(Stage4to1!G4+Stage3to1!G4+Stage2to1!G4+Stage1to1!G4+Stage4to2!G4+Stage3to2!G4+Stage2to2!G4)</f>
        <v>3.363192111545998</v>
      </c>
      <c r="E6" s="58">
        <f>Stage4to1!G4+Stage3to1!G4+Stage2to1!G4+Stage1to1!G4+Stage4to2!G4+Stage3to2!G4+Stage2to2!G4</f>
        <v>66.994927000000004</v>
      </c>
      <c r="F6" s="5">
        <f>(Stage4to1!L4+Stage3to1!L4+Stage2to1!L4+Stage1to1!L4+Stage4to2!L4+Stage3to2!L4+Stage2to2!L4+Stage4to3!L4+Stage3to3!L4)/(Stage4to1!H4+Stage3to1!H4+Stage2to1!H4+Stage1to1!H4+Stage4to2!H4+Stage3to2!H4+Stage2to2!H4+Stage4to3!H4+Stage3to3!H4)</f>
        <v>1.9311247829695968</v>
      </c>
      <c r="G6" s="81">
        <f>Stage4to1!H4+Stage3to1!H4+Stage2to1!H4+Stage1to1!H4+Stage4to2!H4+Stage3to2!H4+Stage2to2!H4+Stage4to3!H4+Stage3to3!H4</f>
        <v>74.365733000000006</v>
      </c>
      <c r="H6" s="5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0.77499887372113141</v>
      </c>
      <c r="I6" s="82">
        <f>Stage4to1!I4+Stage3to1!I4+Stage2to1!I4+Stage1to1!I4+Stage4to2!I4+Stage3to2!I4+Stage2to2!I4+Stage4to3!I4+Stage3to3!I4+Stage4to4!I4</f>
        <v>83.016739999999999</v>
      </c>
      <c r="K6" s="58">
        <f t="shared" si="8"/>
        <v>307.22058500000003</v>
      </c>
      <c r="L6" s="58">
        <f>SUM(G6+I6)</f>
        <v>157.382473</v>
      </c>
      <c r="M6">
        <f t="shared" si="9"/>
        <v>51.2</v>
      </c>
      <c r="N6">
        <v>51.2</v>
      </c>
      <c r="P6" s="60">
        <v>15.322131149663623</v>
      </c>
      <c r="Q6" s="58">
        <f t="shared" si="0"/>
        <v>9.9133026503730655</v>
      </c>
      <c r="R6" s="58">
        <f t="shared" si="10"/>
        <v>1</v>
      </c>
      <c r="S6">
        <f t="shared" si="1"/>
        <v>0.64699241597280666</v>
      </c>
      <c r="T6" s="62">
        <f t="shared" si="11"/>
        <v>1</v>
      </c>
      <c r="U6" s="58">
        <f t="shared" si="2"/>
        <v>11.958939038117624</v>
      </c>
      <c r="V6" s="58">
        <f t="shared" ref="V6:V33" si="17">IF(U6&lt;12,1,IF(U6&lt;18,1.2,1.7))</f>
        <v>1</v>
      </c>
      <c r="W6">
        <f t="shared" si="3"/>
        <v>0.78050102308256031</v>
      </c>
      <c r="X6" s="62">
        <f t="shared" si="12"/>
        <v>1</v>
      </c>
      <c r="Y6" s="58">
        <f t="shared" si="4"/>
        <v>13.391006366694025</v>
      </c>
      <c r="Z6" s="80">
        <f t="shared" si="13"/>
        <v>1.2</v>
      </c>
      <c r="AA6">
        <f t="shared" si="5"/>
        <v>0.87396500107545472</v>
      </c>
      <c r="AB6" s="81">
        <f t="shared" si="14"/>
        <v>1.2</v>
      </c>
      <c r="AC6" s="58">
        <f t="shared" si="6"/>
        <v>14.547132275942491</v>
      </c>
      <c r="AD6" s="80">
        <f t="shared" si="15"/>
        <v>1.2</v>
      </c>
      <c r="AE6">
        <f t="shared" si="7"/>
        <v>0.94941964233623299</v>
      </c>
      <c r="AF6" s="82">
        <f t="shared" si="16"/>
        <v>1.2</v>
      </c>
    </row>
    <row r="7" spans="1:32" x14ac:dyDescent="0.2">
      <c r="A7" s="9">
        <v>53</v>
      </c>
      <c r="B7" s="5">
        <f>(Stage4to1!J5+Stage3to1!J5+Stage2to1!J5+Stage1to1!J5)/(Stage4to1!F5+Stage3to1!F5+Stage2to1!F5+Stage1to1!F5)</f>
        <v>5.4058427348394238</v>
      </c>
      <c r="C7" s="5">
        <f>Stage4to1!F5+Stage3to1!F5+Stage2to1!F5+Stage1to1!F5</f>
        <v>82.665123999999992</v>
      </c>
      <c r="D7" s="5">
        <f>(Stage4to1!K5+Stage3to1!K5+Stage2to1!K5+Stage1to1!K5+Stage4to2!K5+Stage3to2!K5+Stage2to2!K5)/(Stage4to1!G5+Stage3to1!G5+Stage2to1!G5+Stage1to1!G5+Stage4to2!G5+Stage3to2!G5+Stage2to2!G5)</f>
        <v>3.3624476466973752</v>
      </c>
      <c r="E7" s="58">
        <f>Stage4to1!G5+Stage3to1!G5+Stage2to1!G5+Stage1to1!G5+Stage4to2!G5+Stage3to2!G5+Stage2to2!G5</f>
        <v>66.934888999999998</v>
      </c>
      <c r="F7" s="5">
        <f>(Stage4to1!L5+Stage3to1!L5+Stage2to1!L5+Stage1to1!L5+Stage4to2!L5+Stage3to2!L5+Stage2to2!L5+Stage4to3!L5+Stage3to3!L5)/(Stage4to1!H5+Stage3to1!H5+Stage2to1!H5+Stage1to1!H5+Stage4to2!H5+Stage3to2!H5+Stage2to2!H5+Stage4to3!H5+Stage3to3!H5)</f>
        <v>1.9308954547944936</v>
      </c>
      <c r="G7" s="81">
        <f>Stage4to1!H5+Stage3to1!H5+Stage2to1!H5+Stage1to1!H5+Stage4to2!H5+Stage3to2!H5+Stage2to2!H5+Stage4to3!H5+Stage3to3!H5</f>
        <v>74.340290999999993</v>
      </c>
      <c r="H7" s="5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0.7750005511193625</v>
      </c>
      <c r="I7" s="82">
        <f>Stage4to1!I5+Stage3to1!I5+Stage2to1!I5+Stage1to1!I5+Stage4to2!I5+Stage3to2!I5+Stage2to2!I5+Stage4to3!I5+Stage3to3!I5+Stage4to4!I5</f>
        <v>83.012870000000007</v>
      </c>
      <c r="K7" s="58">
        <f t="shared" si="8"/>
        <v>306.95317399999999</v>
      </c>
      <c r="L7" s="58">
        <f t="shared" ref="L7:L24" si="18">SUM(G7+I7)</f>
        <v>157.353161</v>
      </c>
      <c r="M7">
        <f t="shared" si="9"/>
        <v>51.3</v>
      </c>
      <c r="N7">
        <v>51.3</v>
      </c>
      <c r="P7" s="60">
        <v>15.012754432058637</v>
      </c>
      <c r="Q7" s="58">
        <f t="shared" si="0"/>
        <v>9.6069116972192141</v>
      </c>
      <c r="R7" s="58">
        <f t="shared" si="10"/>
        <v>1</v>
      </c>
      <c r="S7">
        <f t="shared" si="1"/>
        <v>0.63991666157573046</v>
      </c>
      <c r="T7" s="62">
        <f t="shared" si="11"/>
        <v>1</v>
      </c>
      <c r="U7" s="58">
        <f t="shared" si="2"/>
        <v>11.650306785361263</v>
      </c>
      <c r="V7" s="58">
        <f t="shared" si="17"/>
        <v>1</v>
      </c>
      <c r="W7">
        <f t="shared" si="3"/>
        <v>0.77602726655428977</v>
      </c>
      <c r="X7" s="62">
        <f t="shared" si="12"/>
        <v>1</v>
      </c>
      <c r="Y7" s="58">
        <f t="shared" si="4"/>
        <v>13.081858977264144</v>
      </c>
      <c r="Z7" s="80">
        <f>IF(Y7&lt;12,1,IF(Y7&lt;18,1.2,1.7))</f>
        <v>1.2</v>
      </c>
      <c r="AA7">
        <f t="shared" si="5"/>
        <v>0.87138299880059267</v>
      </c>
      <c r="AB7" s="81">
        <f t="shared" si="14"/>
        <v>1.2</v>
      </c>
      <c r="AC7" s="58">
        <f t="shared" si="6"/>
        <v>14.237753880939275</v>
      </c>
      <c r="AD7" s="80">
        <f t="shared" si="15"/>
        <v>1.2</v>
      </c>
      <c r="AE7">
        <f t="shared" si="7"/>
        <v>0.94837719123251596</v>
      </c>
      <c r="AF7" s="82">
        <f t="shared" si="16"/>
        <v>1.2</v>
      </c>
    </row>
    <row r="8" spans="1:32" x14ac:dyDescent="0.2">
      <c r="A8" s="9">
        <v>54</v>
      </c>
      <c r="B8" s="5">
        <f>(Stage4to1!J6+Stage3to1!J6+Stage2to1!J6+Stage1to1!J6)/(Stage4to1!F6+Stage3to1!F6+Stage2to1!F6+Stage1to1!F6)</f>
        <v>5.4026471649597179</v>
      </c>
      <c r="C8" s="5">
        <f>Stage4to1!F6+Stage3to1!F6+Stage2to1!F6+Stage1to1!F6</f>
        <v>82.457875999999999</v>
      </c>
      <c r="D8" s="5">
        <f>(Stage4to1!K6+Stage3to1!K6+Stage2to1!K6+Stage1to1!K6+Stage4to2!K6+Stage3to2!K6+Stage2to2!K6)/(Stage4to1!G6+Stage3to1!G6+Stage2to1!G6+Stage1to1!G6+Stage4to2!G6+Stage3to2!G6+Stage2to2!G6)</f>
        <v>3.3616484359569965</v>
      </c>
      <c r="E8" s="58">
        <f>Stage4to1!G6+Stage3to1!G6+Stage2to1!G6+Stage1to1!G6+Stage4to2!G6+Stage3to2!G6+Stage2to2!G6</f>
        <v>66.859255000000005</v>
      </c>
      <c r="F8" s="5">
        <f>(Stage4to1!L6+Stage3to1!L6+Stage2to1!L6+Stage1to1!L6+Stage4to2!L6+Stage3to2!L6+Stage2to2!L6+Stage4to3!L6+Stage3to3!L6)/(Stage4to1!H6+Stage3to1!H6+Stage2to1!H6+Stage1to1!H6+Stage4to2!H6+Stage3to2!H6+Stage2to2!H6+Stage4to3!H6+Stage3to3!H6)</f>
        <v>1.9306493222119485</v>
      </c>
      <c r="G8" s="81">
        <f>Stage4to1!H6+Stage3to1!H6+Stage2to1!H6+Stage1to1!H6+Stage4to2!H6+Stage3to2!H6+Stage2to2!H6+Stage4to3!H6+Stage3to3!H6</f>
        <v>74.303094999999999</v>
      </c>
      <c r="H8" s="5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0.77500340637246445</v>
      </c>
      <c r="I8" s="82">
        <f>Stage4to1!I6+Stage3to1!I6+Stage2to1!I6+Stage1to1!I6+Stage4to2!I6+Stage3to2!I6+Stage2to2!I6+Stage4to3!I6+Stage3to3!I6+Stage4to4!I6</f>
        <v>83.006190000000004</v>
      </c>
      <c r="K8" s="58">
        <f t="shared" si="8"/>
        <v>306.62641600000001</v>
      </c>
      <c r="L8" s="58">
        <f t="shared" si="18"/>
        <v>157.30928499999999</v>
      </c>
      <c r="M8">
        <f t="shared" si="9"/>
        <v>51.3</v>
      </c>
      <c r="N8">
        <v>51.3</v>
      </c>
      <c r="O8">
        <f>SUM(N4:N8)/5</f>
        <v>59.96</v>
      </c>
      <c r="P8" s="60">
        <v>14.697495065074159</v>
      </c>
      <c r="Q8" s="58">
        <f t="shared" si="0"/>
        <v>9.2948479001144406</v>
      </c>
      <c r="R8" s="58">
        <f t="shared" si="10"/>
        <v>1</v>
      </c>
      <c r="S8">
        <f t="shared" si="1"/>
        <v>0.63241034332455082</v>
      </c>
      <c r="T8" s="62">
        <f t="shared" si="11"/>
        <v>1</v>
      </c>
      <c r="U8" s="58">
        <f t="shared" si="2"/>
        <v>11.335846629117164</v>
      </c>
      <c r="V8" s="58">
        <f t="shared" si="17"/>
        <v>1</v>
      </c>
      <c r="W8">
        <f t="shared" si="3"/>
        <v>0.77127745775228573</v>
      </c>
      <c r="X8" s="62">
        <f t="shared" si="12"/>
        <v>1</v>
      </c>
      <c r="Y8" s="58">
        <f t="shared" si="4"/>
        <v>12.766845742862211</v>
      </c>
      <c r="Z8" s="80">
        <f t="shared" si="13"/>
        <v>1.2</v>
      </c>
      <c r="AA8">
        <f t="shared" si="5"/>
        <v>0.86864092733735465</v>
      </c>
      <c r="AB8" s="81">
        <f t="shared" si="14"/>
        <v>1.2</v>
      </c>
      <c r="AC8" s="58">
        <f t="shared" si="6"/>
        <v>13.922491658701695</v>
      </c>
      <c r="AD8" s="80">
        <f t="shared" si="15"/>
        <v>1.2</v>
      </c>
      <c r="AE8">
        <f t="shared" si="7"/>
        <v>0.94726969439750897</v>
      </c>
      <c r="AF8" s="82">
        <f t="shared" si="16"/>
        <v>1.2</v>
      </c>
    </row>
    <row r="9" spans="1:32" x14ac:dyDescent="0.2">
      <c r="A9" s="9">
        <v>55</v>
      </c>
      <c r="B9" s="5">
        <f>(Stage4to1!J7+Stage3to1!J7+Stage2to1!J7+Stage1to1!J7)/(Stage4to1!F7+Stage3to1!F7+Stage2to1!F7+Stage1to1!F7)</f>
        <v>4.889940110612395</v>
      </c>
      <c r="C9" s="5">
        <f>Stage4to1!F7+Stage3to1!F7+Stage2to1!F7+Stage1to1!F7</f>
        <v>160.10683</v>
      </c>
      <c r="D9" s="5">
        <f>(Stage4to1!K7+Stage3to1!K7+Stage2to1!K7+Stage1to1!K7+Stage4to2!K7+Stage3to2!K7+Stage2to2!K7)/(Stage4to1!G7+Stage3to1!G7+Stage2to1!G7+Stage1to1!G7+Stage4to2!G7+Stage3to2!G7+Stage2to2!G7)</f>
        <v>3.0963828584049953</v>
      </c>
      <c r="E9" s="58">
        <f>Stage4to1!G7+Stage3to1!G7+Stage2to1!G7+Stage1to1!G7+Stage4to2!G7+Stage3to2!G7+Stage2to2!G7</f>
        <v>137.36777699999999</v>
      </c>
      <c r="F9" s="5">
        <f>(Stage4to1!L7+Stage3to1!L7+Stage2to1!L7+Stage1to1!L7+Stage4to2!L7+Stage3to2!L7+Stage2to2!L7+Stage4to3!L7+Stage3to3!L7)/(Stage4to1!H7+Stage3to1!H7+Stage2to1!H7+Stage1to1!H7+Stage4to2!H7+Stage3to2!H7+Stage2to2!H7+Stage4to3!H7+Stage3to3!H7)</f>
        <v>1.6412506579799759</v>
      </c>
      <c r="G9" s="81">
        <f>Stage4to1!H7+Stage3to1!H7+Stage2to1!H7+Stage1to1!H7+Stage4to2!H7+Stage3to2!H7+Stage2to2!H7+Stage4to3!H7+Stage3to3!H7</f>
        <v>153.89336100000003</v>
      </c>
      <c r="H9" s="5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0.51606394701863612</v>
      </c>
      <c r="I9" s="83">
        <f>Stage4to1!I7+Stage3to1!I7+Stage2to1!I7+Stage1to1!I7+Stage4to2!I7+Stage3to2!I7+Stage2to2!I7+Stage4to3!I7+Stage3to3!I7+Stage4to4!I7</f>
        <v>168.21612999999999</v>
      </c>
      <c r="K9" s="58">
        <f t="shared" si="8"/>
        <v>619.58409800000004</v>
      </c>
      <c r="L9" s="58">
        <f t="shared" si="18"/>
        <v>322.10949100000005</v>
      </c>
      <c r="M9">
        <f t="shared" si="9"/>
        <v>52</v>
      </c>
      <c r="N9">
        <v>52</v>
      </c>
      <c r="P9" s="60">
        <v>14.376846049254485</v>
      </c>
      <c r="Q9" s="58">
        <f t="shared" si="0"/>
        <v>9.4869059386420904</v>
      </c>
      <c r="R9" s="58">
        <f t="shared" si="10"/>
        <v>1</v>
      </c>
      <c r="S9">
        <f t="shared" si="1"/>
        <v>0.65987393244250792</v>
      </c>
      <c r="T9" s="62">
        <f t="shared" si="11"/>
        <v>1</v>
      </c>
      <c r="U9" s="58">
        <f t="shared" si="2"/>
        <v>11.28046319084949</v>
      </c>
      <c r="V9" s="58">
        <f t="shared" si="17"/>
        <v>1</v>
      </c>
      <c r="W9">
        <f t="shared" si="3"/>
        <v>0.78462711169077592</v>
      </c>
      <c r="X9" s="62">
        <f t="shared" si="12"/>
        <v>1</v>
      </c>
      <c r="Y9" s="58">
        <f t="shared" si="4"/>
        <v>12.73559539127451</v>
      </c>
      <c r="Z9" s="80">
        <f t="shared" si="13"/>
        <v>1.2</v>
      </c>
      <c r="AA9">
        <f t="shared" si="5"/>
        <v>0.88584070161444883</v>
      </c>
      <c r="AB9" s="81">
        <f t="shared" si="14"/>
        <v>1.2</v>
      </c>
      <c r="AC9" s="58">
        <f t="shared" si="6"/>
        <v>13.860782102235849</v>
      </c>
      <c r="AD9" s="80">
        <f t="shared" si="15"/>
        <v>1.2</v>
      </c>
      <c r="AE9">
        <f t="shared" si="7"/>
        <v>0.96410450906613154</v>
      </c>
      <c r="AF9" s="83">
        <f t="shared" si="16"/>
        <v>1.7</v>
      </c>
    </row>
    <row r="10" spans="1:32" x14ac:dyDescent="0.2">
      <c r="A10" s="9">
        <v>56</v>
      </c>
      <c r="B10" s="5">
        <f>(Stage4to1!J8+Stage3to1!J8+Stage2to1!J8+Stage1to1!J8)/(Stage4to1!F8+Stage3to1!F8+Stage2to1!F8+Stage1to1!F8)</f>
        <v>4.8863547688063083</v>
      </c>
      <c r="C10" s="5">
        <f>Stage4to1!F8+Stage3to1!F8+Stage2to1!F8+Stage1to1!F8</f>
        <v>159.67295600000003</v>
      </c>
      <c r="D10" s="5">
        <f>(Stage4to1!K8+Stage3to1!K8+Stage2to1!K8+Stage1to1!K8+Stage4to2!K8+Stage3to2!K8+Stage2to2!K8)/(Stage4to1!G8+Stage3to1!G8+Stage2to1!G8+Stage1to1!G8+Stage4to2!G8+Stage3to2!G8+Stage2to2!G8)</f>
        <v>3.0954621157050153</v>
      </c>
      <c r="E10" s="58">
        <f>Stage4to1!G8+Stage3to1!G8+Stage2to1!G8+Stage1to1!G8+Stage4to2!G8+Stage3to2!G8+Stage2to2!G8</f>
        <v>137.201537</v>
      </c>
      <c r="F10" s="5">
        <f>(Stage4to1!L8+Stage3to1!L8+Stage2to1!L8+Stage1to1!L8+Stage4to2!L8+Stage3to2!L8+Stage2to2!L8+Stage4to3!L8+Stage3to3!L8)/(Stage4to1!H8+Stage3to1!H8+Stage2to1!H8+Stage1to1!H8+Stage4to2!H8+Stage3to2!H8+Stage2to2!H8+Stage4to3!H8+Stage3to3!H8)</f>
        <v>1.6409388470774193</v>
      </c>
      <c r="G10" s="81">
        <f>Stage4to1!H8+Stage3to1!H8+Stage2to1!H8+Stage1to1!H8+Stage4to2!H8+Stage3to2!H8+Stage2to2!H8+Stage4to3!H8+Stage3to3!H8</f>
        <v>153.82143000000002</v>
      </c>
      <c r="H10" s="5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0.51606554979505659</v>
      </c>
      <c r="I10" s="83">
        <f>Stage4to1!I8+Stage3to1!I8+Stage2to1!I8+Stage1to1!I8+Stage4to2!I8+Stage3to2!I8+Stage2to2!I8+Stage4to3!I8+Stage3to3!I8+Stage4to4!I8</f>
        <v>168.20495</v>
      </c>
      <c r="K10" s="58">
        <f t="shared" si="8"/>
        <v>618.90087300000005</v>
      </c>
      <c r="L10" s="58">
        <f t="shared" si="18"/>
        <v>322.02638000000002</v>
      </c>
      <c r="M10">
        <f t="shared" si="9"/>
        <v>52</v>
      </c>
      <c r="N10">
        <v>52</v>
      </c>
      <c r="P10" s="60">
        <v>14.051780177708862</v>
      </c>
      <c r="Q10" s="58">
        <f t="shared" si="0"/>
        <v>9.1654254089025535</v>
      </c>
      <c r="R10" s="58">
        <f t="shared" si="10"/>
        <v>1</v>
      </c>
      <c r="S10">
        <f t="shared" si="1"/>
        <v>0.65226080204714487</v>
      </c>
      <c r="T10" s="62">
        <f t="shared" si="11"/>
        <v>1</v>
      </c>
      <c r="U10" s="58">
        <f t="shared" si="2"/>
        <v>10.956318062003847</v>
      </c>
      <c r="V10" s="58">
        <f t="shared" si="17"/>
        <v>1</v>
      </c>
      <c r="W10">
        <f t="shared" si="3"/>
        <v>0.77971032306529231</v>
      </c>
      <c r="X10" s="62">
        <f t="shared" si="12"/>
        <v>1</v>
      </c>
      <c r="Y10" s="58">
        <f t="shared" si="4"/>
        <v>12.410841330631442</v>
      </c>
      <c r="Z10" s="80">
        <f t="shared" si="13"/>
        <v>1.2</v>
      </c>
      <c r="AA10">
        <f t="shared" si="5"/>
        <v>0.88322199562440251</v>
      </c>
      <c r="AB10" s="81">
        <f t="shared" si="14"/>
        <v>1.2</v>
      </c>
      <c r="AC10" s="58">
        <f t="shared" si="6"/>
        <v>13.535714627913805</v>
      </c>
      <c r="AD10" s="80">
        <f t="shared" si="15"/>
        <v>1.2</v>
      </c>
      <c r="AE10">
        <f t="shared" si="7"/>
        <v>0.96327400918114836</v>
      </c>
      <c r="AF10" s="83">
        <f t="shared" si="16"/>
        <v>1.7</v>
      </c>
    </row>
    <row r="11" spans="1:32" x14ac:dyDescent="0.2">
      <c r="A11" s="9">
        <v>57</v>
      </c>
      <c r="B11" s="5">
        <f>(Stage4to1!J9+Stage3to1!J9+Stage2to1!J9+Stage1to1!J9)/(Stage4to1!F9+Stage3to1!F9+Stage2to1!F9+Stage1to1!F9)</f>
        <v>4.8825314442416969</v>
      </c>
      <c r="C11" s="5">
        <f>Stage4to1!F9+Stage3to1!F9+Stage2to1!F9+Stage1to1!F9</f>
        <v>159.17604400000002</v>
      </c>
      <c r="D11" s="5">
        <f>(Stage4to1!K9+Stage3to1!K9+Stage2to1!K9+Stage1to1!K9+Stage4to2!K9+Stage3to2!K9+Stage2to2!K9)/(Stage4to1!G9+Stage3to1!G9+Stage2to1!G9+Stage1to1!G9+Stage4to2!G9+Stage3to2!G9+Stage2to2!G9)</f>
        <v>3.0945243714586925</v>
      </c>
      <c r="E11" s="58">
        <f>Stage4to1!G9+Stage3to1!G9+Stage2to1!G9+Stage1to1!G9+Stage4to2!G9+Stage3to2!G9+Stage2to2!G9</f>
        <v>136.994775</v>
      </c>
      <c r="F11" s="5">
        <f>(Stage4to1!L9+Stage3to1!L9+Stage2to1!L9+Stage1to1!L9+Stage4to2!L9+Stage3to2!L9+Stage2to2!L9+Stage4to3!L9+Stage3to3!L9)/(Stage4to1!H9+Stage3to1!H9+Stage2to1!H9+Stage1to1!H9+Stage4to2!H9+Stage3to2!H9+Stage2to2!H9+Stage4to3!H9+Stage3to3!H9)</f>
        <v>1.6405745915375971</v>
      </c>
      <c r="G11" s="81">
        <f>Stage4to1!H9+Stage3to1!H9+Stage2to1!H9+Stage1to1!H9+Stage4to2!H9+Stage3to2!H9+Stage2to2!H9+Stage4to3!H9+Stage3to3!H9</f>
        <v>153.72387900000001</v>
      </c>
      <c r="H11" s="5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0.51606778779038986</v>
      </c>
      <c r="I11" s="83">
        <f>Stage4to1!I9+Stage3to1!I9+Stage2to1!I9+Stage1to1!I9+Stage4to2!I9+Stage3to2!I9+Stage2to2!I9+Stage4to3!I9+Stage3to3!I9+Stage4to4!I9</f>
        <v>168.18898999999999</v>
      </c>
      <c r="K11" s="58">
        <f t="shared" si="8"/>
        <v>618.08368800000005</v>
      </c>
      <c r="L11" s="58">
        <f t="shared" si="18"/>
        <v>321.912869</v>
      </c>
      <c r="M11">
        <f t="shared" si="9"/>
        <v>52.1</v>
      </c>
      <c r="N11">
        <v>52.1</v>
      </c>
      <c r="P11" s="60">
        <v>13.723301505379617</v>
      </c>
      <c r="Q11" s="58">
        <f t="shared" si="0"/>
        <v>8.8407700611379205</v>
      </c>
      <c r="R11" s="58">
        <f t="shared" si="10"/>
        <v>1</v>
      </c>
      <c r="S11">
        <f t="shared" si="1"/>
        <v>0.6442159751188361</v>
      </c>
      <c r="T11" s="62">
        <f t="shared" si="11"/>
        <v>1</v>
      </c>
      <c r="U11" s="58">
        <f t="shared" si="2"/>
        <v>10.628777133920924</v>
      </c>
      <c r="V11" s="58">
        <f t="shared" si="17"/>
        <v>1</v>
      </c>
      <c r="W11">
        <f t="shared" si="3"/>
        <v>0.77450583809984641</v>
      </c>
      <c r="X11" s="62">
        <f t="shared" si="12"/>
        <v>1</v>
      </c>
      <c r="Y11" s="58">
        <f t="shared" si="4"/>
        <v>12.08272691384202</v>
      </c>
      <c r="Z11" s="80">
        <f t="shared" si="13"/>
        <v>1.2</v>
      </c>
      <c r="AA11">
        <f t="shared" si="5"/>
        <v>0.88045335949993653</v>
      </c>
      <c r="AB11" s="81">
        <f t="shared" si="14"/>
        <v>1.2</v>
      </c>
      <c r="AC11" s="58">
        <f t="shared" si="6"/>
        <v>13.207233717589226</v>
      </c>
      <c r="AD11" s="80">
        <f t="shared" si="15"/>
        <v>1.2</v>
      </c>
      <c r="AE11">
        <f t="shared" si="7"/>
        <v>0.96239477886658042</v>
      </c>
      <c r="AF11" s="83">
        <f t="shared" si="16"/>
        <v>1.7</v>
      </c>
    </row>
    <row r="12" spans="1:32" x14ac:dyDescent="0.2">
      <c r="A12" s="9">
        <v>58</v>
      </c>
      <c r="B12" s="5">
        <f>(Stage4to1!J10+Stage3to1!J10+Stage2to1!J10+Stage1to1!J10)/(Stage4to1!F10+Stage3to1!F10+Stage2to1!F10+Stage1to1!F10)</f>
        <v>4.8784032222404896</v>
      </c>
      <c r="C12" s="5">
        <f>Stage4to1!F10+Stage3to1!F10+Stage2to1!F10+Stage1to1!F10</f>
        <v>158.62801100000001</v>
      </c>
      <c r="D12" s="5">
        <f>(Stage4to1!K10+Stage3to1!K10+Stage2to1!K10+Stage1to1!K10+Stage4to2!K10+Stage3to2!K10+Stage2to2!K10)/(Stage4to1!G10+Stage3to1!G10+Stage2to1!G10+Stage1to1!G10+Stage4to2!G10+Stage3to2!G10+Stage2to2!G10)</f>
        <v>3.0936070263796211</v>
      </c>
      <c r="E12" s="58">
        <f>Stage4to1!G10+Stage3to1!G10+Stage2to1!G10+Stage1to1!G10+Stage4to2!G10+Stage3to2!G10+Stage2to2!G10</f>
        <v>136.75446699999998</v>
      </c>
      <c r="F12" s="5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1.6401895940116509</v>
      </c>
      <c r="G12" s="81">
        <f>Stage4to1!H10+Stage3to1!H10+Stage2to1!H10+Stage1to1!H10+Stage4to2!H10+Stage3to2!H10+Stage2to2!H10+Stage4to3!H10+Stage3to3!H10</f>
        <v>153.599999</v>
      </c>
      <c r="H12" s="5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0.51607066869861218</v>
      </c>
      <c r="I12" s="83">
        <f>Stage4to1!I10+Stage3to1!I10+Stage2to1!I10+Stage1to1!I10+Stage4to2!I10+Stage3to2!I10+Stage2to2!I10+Stage4to3!I10+Stage3to3!I10+Stage4to4!I10</f>
        <v>168.16723999999999</v>
      </c>
      <c r="K12" s="58">
        <f t="shared" si="8"/>
        <v>617.14971700000001</v>
      </c>
      <c r="L12" s="58">
        <f t="shared" si="18"/>
        <v>321.76723900000002</v>
      </c>
      <c r="M12">
        <f t="shared" si="9"/>
        <v>52.1</v>
      </c>
      <c r="N12">
        <v>52.1</v>
      </c>
      <c r="P12" s="60">
        <v>13.390654143540313</v>
      </c>
      <c r="Q12" s="58">
        <f t="shared" si="0"/>
        <v>8.5122509212998239</v>
      </c>
      <c r="R12" s="58">
        <f t="shared" si="10"/>
        <v>1</v>
      </c>
      <c r="S12">
        <f t="shared" si="1"/>
        <v>0.63568596649971398</v>
      </c>
      <c r="T12" s="62">
        <f t="shared" si="11"/>
        <v>1</v>
      </c>
      <c r="U12" s="58">
        <f t="shared" si="2"/>
        <v>10.297047117160693</v>
      </c>
      <c r="V12" s="58">
        <f t="shared" si="17"/>
        <v>1</v>
      </c>
      <c r="W12">
        <f t="shared" si="3"/>
        <v>0.76897267353649146</v>
      </c>
      <c r="X12" s="62">
        <f t="shared" si="12"/>
        <v>1</v>
      </c>
      <c r="Y12" s="58">
        <f t="shared" si="4"/>
        <v>11.750464549528662</v>
      </c>
      <c r="Z12" s="58">
        <f t="shared" si="13"/>
        <v>1</v>
      </c>
      <c r="AA12">
        <f t="shared" si="5"/>
        <v>0.87751236224685236</v>
      </c>
      <c r="AB12" s="81">
        <f t="shared" si="14"/>
        <v>1.2</v>
      </c>
      <c r="AC12" s="58">
        <f t="shared" si="6"/>
        <v>12.874583474841701</v>
      </c>
      <c r="AD12" s="80">
        <f t="shared" si="15"/>
        <v>1.2</v>
      </c>
      <c r="AE12">
        <f t="shared" si="7"/>
        <v>0.96146038399867373</v>
      </c>
      <c r="AF12" s="83">
        <f t="shared" si="16"/>
        <v>1.7</v>
      </c>
    </row>
    <row r="13" spans="1:32" x14ac:dyDescent="0.2">
      <c r="A13" s="9">
        <v>59</v>
      </c>
      <c r="B13" s="5">
        <f>(Stage4to1!J11+Stage3to1!J11+Stage2to1!J11+Stage1to1!J11)/(Stage4to1!F11+Stage3to1!F11+Stage2to1!F11+Stage1to1!F11)</f>
        <v>4.8738860934130006</v>
      </c>
      <c r="C13" s="5">
        <f>Stage4to1!F11+Stage3to1!F11+Stage2to1!F11+Stage1to1!F11</f>
        <v>158.05140400000002</v>
      </c>
      <c r="D13" s="5">
        <f>(Stage4to1!K11+Stage3to1!K11+Stage2to1!K11+Stage1to1!K11+Stage4to2!K11+Stage3to2!K11+Stage2to2!K11)/(Stage4to1!G11+Stage3to1!G11+Stage2to1!G11+Stage1to1!G11+Stage4to2!G11+Stage3to2!G11+Stage2to2!G11)</f>
        <v>3.0926566331020076</v>
      </c>
      <c r="E13" s="58">
        <f>Stage4to1!G11+Stage3to1!G11+Stage2to1!G11+Stage1to1!G11+Stage4to2!G11+Stage3to2!G11+Stage2to2!G11</f>
        <v>136.503298</v>
      </c>
      <c r="F13" s="5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1.6398207592652305</v>
      </c>
      <c r="G13" s="81">
        <f>Stage4to1!H11+Stage3to1!H11+Stage2to1!H11+Stage1to1!H11+Stage4to2!H11+Stage3to2!H11+Stage2to2!H11+Stage4to3!H11+Stage3to3!H11</f>
        <v>153.46355300000002</v>
      </c>
      <c r="H13" s="5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0.51607408046199188</v>
      </c>
      <c r="I13" s="83">
        <f>Stage4to1!I11+Stage3to1!I11+Stage2to1!I11+Stage1to1!I11+Stage4to2!I11+Stage3to2!I11+Stage2to2!I11+Stage4to3!I11+Stage3to3!I11+Stage4to4!I11</f>
        <v>168.14149999999998</v>
      </c>
      <c r="K13" s="58">
        <f t="shared" si="8"/>
        <v>616.15975500000002</v>
      </c>
      <c r="L13" s="58">
        <f t="shared" si="18"/>
        <v>321.605053</v>
      </c>
      <c r="M13">
        <f t="shared" si="9"/>
        <v>52.2</v>
      </c>
      <c r="N13">
        <v>52.2</v>
      </c>
      <c r="O13">
        <f>SUM(N9:N13)/5</f>
        <v>52.08</v>
      </c>
      <c r="P13" s="60">
        <v>13.054301269697056</v>
      </c>
      <c r="Q13" s="58">
        <f t="shared" si="0"/>
        <v>8.1804151762840558</v>
      </c>
      <c r="R13" s="58">
        <f t="shared" si="10"/>
        <v>1</v>
      </c>
      <c r="S13">
        <f t="shared" si="1"/>
        <v>0.62664519588445911</v>
      </c>
      <c r="T13" s="62">
        <f t="shared" si="11"/>
        <v>1</v>
      </c>
      <c r="U13" s="58">
        <f t="shared" si="2"/>
        <v>9.9616446365950484</v>
      </c>
      <c r="V13" s="58">
        <f t="shared" si="17"/>
        <v>1</v>
      </c>
      <c r="W13">
        <f t="shared" si="3"/>
        <v>0.76309290177935529</v>
      </c>
      <c r="X13" s="62">
        <f t="shared" si="12"/>
        <v>1</v>
      </c>
      <c r="Y13" s="58">
        <f t="shared" si="4"/>
        <v>11.414480510431826</v>
      </c>
      <c r="Z13" s="58">
        <f t="shared" si="13"/>
        <v>1</v>
      </c>
      <c r="AA13">
        <f t="shared" si="5"/>
        <v>0.87438463956154089</v>
      </c>
      <c r="AB13" s="81">
        <f t="shared" si="14"/>
        <v>1.2</v>
      </c>
      <c r="AC13" s="58">
        <f t="shared" si="6"/>
        <v>12.538227189235064</v>
      </c>
      <c r="AD13" s="80">
        <f t="shared" si="15"/>
        <v>1.2</v>
      </c>
      <c r="AE13">
        <f t="shared" si="7"/>
        <v>0.96046712345608609</v>
      </c>
      <c r="AF13" s="83">
        <f t="shared" si="16"/>
        <v>1.7</v>
      </c>
    </row>
    <row r="14" spans="1:32" x14ac:dyDescent="0.2">
      <c r="A14" s="9">
        <v>60</v>
      </c>
      <c r="B14" s="5">
        <f>(Stage4to1!J12+Stage3to1!J12+Stage2to1!J12+Stage1to1!J12)/(Stage4to1!F12+Stage3to1!F12+Stage2to1!F12+Stage1to1!F12)</f>
        <v>4.5401202467026573</v>
      </c>
      <c r="C14" s="5">
        <f>Stage4to1!F12+Stage3to1!F12+Stage2to1!F12+Stage1to1!F12</f>
        <v>269.275575</v>
      </c>
      <c r="D14" s="5">
        <f>(Stage4to1!K12+Stage3to1!K12+Stage2to1!K12+Stage1to1!K12+Stage4to2!K12+Stage3to2!K12+Stage2to2!K12)/(Stage4to1!G12+Stage3to1!G12+Stage2to1!G12+Stage1to1!G12+Stage4to2!G12+Stage3to2!G12+Stage2to2!G12)</f>
        <v>2.8277609181350285</v>
      </c>
      <c r="E14" s="5">
        <f>Stage4to1!G12+Stage3to1!G12+Stage2to1!G12+Stage1to1!G12+Stage4to2!G12+Stage3to2!G12+Stage2to2!G12</f>
        <v>248.86187000000001</v>
      </c>
      <c r="F14" s="5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1.5759347104859442</v>
      </c>
      <c r="G14" s="81">
        <f>Stage4to1!H12+Stage3to1!H12+Stage2to1!H12+Stage1to1!H12+Stage4to2!H12+Stage3to2!H12+Stage2to2!H12+Stage4to3!H12+Stage3to3!H12</f>
        <v>281.88747100000001</v>
      </c>
      <c r="H14" s="5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0.47441214080536015</v>
      </c>
      <c r="I14" s="83">
        <f>Stage4to1!I12+Stage3to1!I12+Stage2to1!I12+Stage1to1!I12+Stage4to2!I12+Stage3to2!I12+Stage2to2!I12+Stage4to3!I12+Stage3to3!I12+Stage4to4!I12</f>
        <v>308.13968999999997</v>
      </c>
      <c r="K14" s="58">
        <f t="shared" si="8"/>
        <v>1108.164606</v>
      </c>
      <c r="L14" s="58">
        <f t="shared" si="18"/>
        <v>590.02716099999998</v>
      </c>
      <c r="M14">
        <f t="shared" si="9"/>
        <v>53.2</v>
      </c>
      <c r="N14">
        <v>53.2</v>
      </c>
      <c r="P14" s="60">
        <v>12.71338456</v>
      </c>
      <c r="Q14" s="58">
        <f t="shared" si="0"/>
        <v>8.1732643132973415</v>
      </c>
      <c r="R14" s="58">
        <f t="shared" si="10"/>
        <v>1</v>
      </c>
      <c r="S14">
        <f t="shared" si="1"/>
        <v>0.64288657947253514</v>
      </c>
      <c r="T14" s="62">
        <f t="shared" si="11"/>
        <v>1</v>
      </c>
      <c r="U14" s="58">
        <f t="shared" si="2"/>
        <v>9.8856236418649708</v>
      </c>
      <c r="V14" s="58">
        <f t="shared" si="17"/>
        <v>1</v>
      </c>
      <c r="W14">
        <f t="shared" si="3"/>
        <v>0.77757607309134769</v>
      </c>
      <c r="X14" s="62">
        <f t="shared" si="12"/>
        <v>1</v>
      </c>
      <c r="Y14" s="58">
        <f t="shared" si="4"/>
        <v>11.137449849514056</v>
      </c>
      <c r="Z14" s="58">
        <f t="shared" si="13"/>
        <v>1</v>
      </c>
      <c r="AA14">
        <f t="shared" si="5"/>
        <v>0.87604129309166878</v>
      </c>
      <c r="AB14" s="81">
        <f t="shared" si="14"/>
        <v>1.2</v>
      </c>
      <c r="AC14" s="58">
        <f t="shared" si="6"/>
        <v>12.23897241919464</v>
      </c>
      <c r="AD14" s="80">
        <f t="shared" si="15"/>
        <v>1.2</v>
      </c>
      <c r="AE14">
        <f t="shared" si="7"/>
        <v>0.96268404070006675</v>
      </c>
      <c r="AF14" s="83">
        <f t="shared" si="16"/>
        <v>1.7</v>
      </c>
    </row>
    <row r="15" spans="1:32" x14ac:dyDescent="0.2">
      <c r="A15" s="9">
        <v>61</v>
      </c>
      <c r="B15" s="5">
        <f>(Stage4to1!J13+Stage3to1!J13+Stage2to1!J13+Stage1to1!J13)/(Stage4to1!F13+Stage3to1!F13+Stage2to1!F13+Stage1to1!F13)</f>
        <v>4.5355353714457749</v>
      </c>
      <c r="C15" s="5">
        <f>Stage4to1!F13+Stage3to1!F13+Stage2to1!F13+Stage1to1!F13</f>
        <v>268.28012799999999</v>
      </c>
      <c r="D15" s="5">
        <f>(Stage4to1!K13+Stage3to1!K13+Stage2to1!K13+Stage1to1!K13+Stage4to2!K13+Stage3to2!K13+Stage2to2!K13)/(Stage4to1!G13+Stage3to1!G13+Stage2to1!G13+Stage1to1!G13+Stage4to2!G13+Stage3to2!G13+Stage2to2!G13)</f>
        <v>2.826654626317763</v>
      </c>
      <c r="E15" s="5">
        <f>Stage4to1!G13+Stage3to1!G13+Stage2to1!G13+Stage1to1!G13+Stage4to2!G13+Stage3to2!G13+Stage2to2!G13</f>
        <v>248.411406</v>
      </c>
      <c r="F15" s="5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1.5755451038870802</v>
      </c>
      <c r="G15" s="81">
        <f>Stage4to1!H13+Stage3to1!H13+Stage2to1!H13+Stage1to1!H13+Stage4to2!H13+Stage3to2!H13+Stage2to2!H13+Stage4to3!H13+Stage3to3!H13</f>
        <v>281.65667800000006</v>
      </c>
      <c r="H15" s="5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0.47441485790046023</v>
      </c>
      <c r="I15" s="83">
        <f>Stage4to1!I13+Stage3to1!I13+Stage2to1!I13+Stage1to1!I13+Stage4to2!I13+Stage3to2!I13+Stage2to2!I13+Stage4to3!I13+Stage3to3!I13+Stage4to4!I13</f>
        <v>308.09951999999998</v>
      </c>
      <c r="K15" s="58">
        <f t="shared" si="8"/>
        <v>1106.4477320000001</v>
      </c>
      <c r="L15" s="58">
        <f t="shared" si="18"/>
        <v>589.75619800000004</v>
      </c>
      <c r="M15">
        <f t="shared" si="9"/>
        <v>53.3</v>
      </c>
      <c r="N15">
        <v>53.3</v>
      </c>
      <c r="P15" s="60">
        <v>12.369370774719757</v>
      </c>
      <c r="Q15" s="58">
        <f t="shared" si="0"/>
        <v>7.8338354032739819</v>
      </c>
      <c r="R15" s="58">
        <f t="shared" si="10"/>
        <v>1</v>
      </c>
      <c r="S15">
        <f t="shared" si="1"/>
        <v>0.63332529567992246</v>
      </c>
      <c r="T15" s="62">
        <f t="shared" si="11"/>
        <v>1</v>
      </c>
      <c r="U15" s="58">
        <f t="shared" si="2"/>
        <v>9.5427161484019933</v>
      </c>
      <c r="V15" s="58">
        <f t="shared" si="17"/>
        <v>1</v>
      </c>
      <c r="W15">
        <f t="shared" si="3"/>
        <v>0.77147951356629907</v>
      </c>
      <c r="X15" s="62">
        <f t="shared" si="12"/>
        <v>1</v>
      </c>
      <c r="Y15" s="58">
        <f t="shared" si="4"/>
        <v>10.793825670832677</v>
      </c>
      <c r="Z15" s="58">
        <f t="shared" si="13"/>
        <v>1</v>
      </c>
      <c r="AA15">
        <f t="shared" si="5"/>
        <v>0.87262528283919305</v>
      </c>
      <c r="AB15" s="81">
        <f t="shared" si="14"/>
        <v>1.2</v>
      </c>
      <c r="AC15" s="58">
        <f t="shared" si="6"/>
        <v>11.894955916819297</v>
      </c>
      <c r="AD15" s="58">
        <f t="shared" si="15"/>
        <v>1</v>
      </c>
      <c r="AE15">
        <f t="shared" si="7"/>
        <v>0.96164599909398318</v>
      </c>
      <c r="AF15" s="83">
        <f t="shared" si="16"/>
        <v>1.7</v>
      </c>
    </row>
    <row r="16" spans="1:32" x14ac:dyDescent="0.2">
      <c r="A16" s="9">
        <v>62</v>
      </c>
      <c r="B16" s="5">
        <f>(Stage4to1!J14+Stage3to1!J14+Stage2to1!J14+Stage1to1!J14)/(Stage4to1!F14+Stage3to1!F14+Stage2to1!F14+Stage1to1!F14)</f>
        <v>4.5304877344755292</v>
      </c>
      <c r="C16" s="5">
        <f>Stage4to1!F14+Stage3to1!F14+Stage2to1!F14+Stage1to1!F14</f>
        <v>267.19179500000001</v>
      </c>
      <c r="D16" s="5">
        <f>(Stage4to1!K14+Stage3to1!K14+Stage2to1!K14+Stage1to1!K14+Stage4to2!K14+Stage3to2!K14+Stage2to2!K14)/(Stage4to1!G14+Stage3to1!G14+Stage2to1!G14+Stage1to1!G14+Stage4to2!G14+Stage3to2!G14+Stage2to2!G14)</f>
        <v>2.8254764034472863</v>
      </c>
      <c r="E16" s="5">
        <f>Stage4to1!G14+Stage3to1!G14+Stage2to1!G14+Stage1to1!G14+Stage4to2!G14+Stage3to2!G14+Stage2to2!G14</f>
        <v>247.913141</v>
      </c>
      <c r="F16" s="5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1.5751290951146977</v>
      </c>
      <c r="G16" s="81">
        <f>Stage4to1!H14+Stage3to1!H14+Stage2to1!H14+Stage1to1!H14+Stage4to2!H14+Stage3to2!H14+Stage2to2!H14+Stage4to3!H14+Stage3to3!H14</f>
        <v>281.39407199999994</v>
      </c>
      <c r="H16" s="5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0.47441805476019178</v>
      </c>
      <c r="I16" s="83">
        <f>Stage4to1!I14+Stage3to1!I14+Stage2to1!I14+Stage1to1!I14+Stage4to2!I14+Stage3to2!I14+Stage2to2!I14+Stage4to3!I14+Stage3to3!I14+Stage4to4!I14</f>
        <v>308.05260999999996</v>
      </c>
      <c r="K16" s="58">
        <f t="shared" si="8"/>
        <v>1104.551618</v>
      </c>
      <c r="L16" s="58">
        <f t="shared" si="18"/>
        <v>589.4466819999999</v>
      </c>
      <c r="M16">
        <f t="shared" si="9"/>
        <v>53.4</v>
      </c>
      <c r="N16">
        <v>53.4</v>
      </c>
      <c r="P16" s="60">
        <v>12.021492932772711</v>
      </c>
      <c r="Q16" s="58">
        <f t="shared" si="0"/>
        <v>7.4910051982971817</v>
      </c>
      <c r="R16" s="58">
        <f t="shared" si="10"/>
        <v>1</v>
      </c>
      <c r="S16">
        <f t="shared" si="1"/>
        <v>0.62313435113166182</v>
      </c>
      <c r="T16" s="62">
        <f t="shared" si="11"/>
        <v>1</v>
      </c>
      <c r="U16" s="58">
        <f t="shared" si="2"/>
        <v>9.1960165293254246</v>
      </c>
      <c r="V16" s="58">
        <f t="shared" si="17"/>
        <v>1</v>
      </c>
      <c r="W16">
        <f t="shared" si="3"/>
        <v>0.76496459971751607</v>
      </c>
      <c r="X16" s="62">
        <f t="shared" si="12"/>
        <v>1</v>
      </c>
      <c r="Y16" s="58">
        <f t="shared" si="4"/>
        <v>10.446363837658014</v>
      </c>
      <c r="Z16" s="58">
        <f t="shared" si="13"/>
        <v>1</v>
      </c>
      <c r="AA16">
        <f t="shared" si="5"/>
        <v>0.86897391996790874</v>
      </c>
      <c r="AB16" s="81">
        <f t="shared" si="14"/>
        <v>1.2</v>
      </c>
      <c r="AC16" s="58">
        <f t="shared" si="6"/>
        <v>11.54707487801252</v>
      </c>
      <c r="AD16" s="58">
        <f t="shared" si="15"/>
        <v>1</v>
      </c>
      <c r="AE16">
        <f t="shared" si="7"/>
        <v>0.96053584547166815</v>
      </c>
      <c r="AF16" s="83">
        <f t="shared" si="16"/>
        <v>1.7</v>
      </c>
    </row>
    <row r="17" spans="1:32" x14ac:dyDescent="0.2">
      <c r="A17" s="9">
        <v>63</v>
      </c>
      <c r="B17" s="5">
        <f>(Stage4to1!J15+Stage3to1!J15+Stage2to1!J15+Stage1to1!J15)/(Stage4to1!F15+Stage3to1!F15+Stage2to1!F15+Stage1to1!F15)</f>
        <v>4.5247700525961863</v>
      </c>
      <c r="C17" s="5">
        <f>Stage4to1!F15+Stage3to1!F15+Stage2to1!F15+Stage1to1!F15</f>
        <v>266.02137700000003</v>
      </c>
      <c r="D17" s="5">
        <f>(Stage4to1!K15+Stage3to1!K15+Stage2to1!K15+Stage1to1!K15+Stage4to2!K15+Stage3to2!K15+Stage2to2!K15)/(Stage4to1!G15+Stage3to1!G15+Stage2to1!G15+Stage1to1!G15+Stage4to2!G15+Stage3to2!G15+Stage2to2!G15)</f>
        <v>2.8241920681829549</v>
      </c>
      <c r="E17" s="5">
        <f>Stage4to1!G15+Stage3to1!G15+Stage2to1!G15+Stage1to1!G15+Stage4to2!G15+Stage3to2!G15+Stage2to2!G15</f>
        <v>247.385232</v>
      </c>
      <c r="F17" s="5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1.5746866523382352</v>
      </c>
      <c r="G17" s="81">
        <f>Stage4to1!H15+Stage3to1!H15+Stage2to1!H15+Stage1to1!H15+Stage4to2!H15+Stage3to2!H15+Stage2to2!H15+Stage4to3!H15+Stage3to3!H15</f>
        <v>281.11706499999997</v>
      </c>
      <c r="H17" s="5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0.47442136300437487</v>
      </c>
      <c r="I17" s="83">
        <f>Stage4to1!I15+Stage3to1!I15+Stage2to1!I15+Stage1to1!I15+Stage4to2!I15+Stage3to2!I15+Stage2to2!I15+Stage4to3!I15+Stage3to3!I15+Stage4to4!I15</f>
        <v>308.00311999999997</v>
      </c>
      <c r="K17" s="58">
        <f t="shared" si="8"/>
        <v>1102.5267939999999</v>
      </c>
      <c r="L17" s="58">
        <f t="shared" si="18"/>
        <v>589.12018499999999</v>
      </c>
      <c r="M17">
        <f t="shared" si="9"/>
        <v>53.4</v>
      </c>
      <c r="N17">
        <v>53.4</v>
      </c>
      <c r="P17" s="60">
        <v>11.673321209999999</v>
      </c>
      <c r="Q17" s="58">
        <f t="shared" si="0"/>
        <v>7.148551157403813</v>
      </c>
      <c r="R17" s="58">
        <f t="shared" si="10"/>
        <v>1</v>
      </c>
      <c r="S17">
        <f t="shared" si="1"/>
        <v>0.61238365918347015</v>
      </c>
      <c r="T17" s="62">
        <f t="shared" si="11"/>
        <v>1</v>
      </c>
      <c r="U17" s="58">
        <f t="shared" si="2"/>
        <v>8.8491291418170448</v>
      </c>
      <c r="V17" s="58">
        <f t="shared" si="17"/>
        <v>1</v>
      </c>
      <c r="W17">
        <f t="shared" si="3"/>
        <v>0.75806439166913364</v>
      </c>
      <c r="X17" s="62">
        <f t="shared" si="12"/>
        <v>1</v>
      </c>
      <c r="Y17" s="58">
        <f t="shared" si="4"/>
        <v>10.098634557661764</v>
      </c>
      <c r="Z17" s="58">
        <f t="shared" si="13"/>
        <v>1</v>
      </c>
      <c r="AA17">
        <f t="shared" si="5"/>
        <v>0.8651038017364524</v>
      </c>
      <c r="AB17" s="81">
        <f t="shared" si="14"/>
        <v>1.2</v>
      </c>
      <c r="AC17" s="58">
        <f t="shared" si="6"/>
        <v>11.198899846995625</v>
      </c>
      <c r="AD17" s="58">
        <f t="shared" si="15"/>
        <v>1</v>
      </c>
      <c r="AE17">
        <f t="shared" si="7"/>
        <v>0.95935849322830602</v>
      </c>
      <c r="AF17" s="83">
        <f t="shared" si="16"/>
        <v>1.7</v>
      </c>
    </row>
    <row r="18" spans="1:32" x14ac:dyDescent="0.2">
      <c r="A18" s="9">
        <v>64</v>
      </c>
      <c r="B18" s="5">
        <f>(Stage4to1!J16+Stage3to1!J16+Stage2to1!J16+Stage1to1!J16)/(Stage4to1!F16+Stage3to1!F16+Stage2to1!F16+Stage1to1!F16)</f>
        <v>4.518237731918382</v>
      </c>
      <c r="C18" s="5">
        <f>Stage4to1!F16+Stage3to1!F16+Stage2to1!F16+Stage1to1!F16</f>
        <v>264.75068399999998</v>
      </c>
      <c r="D18" s="5">
        <f>(Stage4to1!K16+Stage3to1!K16+Stage2to1!K16+Stage1to1!K16+Stage4to2!K16+Stage3to2!K16+Stage2to2!K16)/(Stage4to1!G16+Stage3to1!G16+Stage2to1!G16+Stage1to1!G16+Stage4to2!G16+Stage3to2!G16+Stage2to2!G16)</f>
        <v>2.8227622948397415</v>
      </c>
      <c r="E18" s="5">
        <f>Stage4to1!G16+Stage3to1!G16+Stage2to1!G16+Stage1to1!G16+Stage4to2!G16+Stage3to2!G16+Stage2to2!G16</f>
        <v>246.82302200000001</v>
      </c>
      <c r="F18" s="5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1.5742143287717938</v>
      </c>
      <c r="G18" s="81">
        <f>Stage4to1!H16+Stage3to1!H16+Stage2to1!H16+Stage1to1!H16+Stage4to2!H16+Stage3to2!H16+Stage2to2!H16+Stage4to3!H16+Stage3to3!H16</f>
        <v>280.82376199999999</v>
      </c>
      <c r="H18" s="5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0.47442486162699538</v>
      </c>
      <c r="I18" s="83">
        <f>Stage4to1!I16+Stage3to1!I16+Stage2to1!I16+Stage1to1!I16+Stage4to2!I16+Stage3to2!I16+Stage2to2!I16+Stage4to3!I16+Stage3to3!I16+Stage4to4!I16</f>
        <v>307.95024000000001</v>
      </c>
      <c r="K18" s="58">
        <f t="shared" si="8"/>
        <v>1100.347708</v>
      </c>
      <c r="L18" s="58">
        <f t="shared" si="18"/>
        <v>588.774002</v>
      </c>
      <c r="M18">
        <f t="shared" si="9"/>
        <v>53.5</v>
      </c>
      <c r="N18">
        <v>53.5</v>
      </c>
      <c r="O18">
        <f>SUM(N14:N18)/5</f>
        <v>53.36</v>
      </c>
      <c r="P18" s="60">
        <v>11.321559175838875</v>
      </c>
      <c r="Q18" s="58">
        <f t="shared" si="0"/>
        <v>6.8033214439204928</v>
      </c>
      <c r="R18" s="58">
        <f t="shared" si="10"/>
        <v>1</v>
      </c>
      <c r="S18">
        <f t="shared" si="1"/>
        <v>0.60091735937213775</v>
      </c>
      <c r="T18" s="62">
        <f t="shared" si="11"/>
        <v>1</v>
      </c>
      <c r="U18" s="58">
        <f t="shared" si="2"/>
        <v>8.4987968809991337</v>
      </c>
      <c r="V18" s="58">
        <f t="shared" si="17"/>
        <v>1</v>
      </c>
      <c r="W18">
        <f t="shared" si="3"/>
        <v>0.75067371454775023</v>
      </c>
      <c r="X18" s="62">
        <f t="shared" si="12"/>
        <v>1</v>
      </c>
      <c r="Y18" s="58">
        <f t="shared" si="4"/>
        <v>9.7473448470670814</v>
      </c>
      <c r="Z18" s="58">
        <f t="shared" si="13"/>
        <v>1</v>
      </c>
      <c r="AA18">
        <f t="shared" si="5"/>
        <v>0.86095428162127219</v>
      </c>
      <c r="AB18" s="81">
        <f t="shared" si="14"/>
        <v>1.2</v>
      </c>
      <c r="AC18" s="58">
        <f t="shared" si="6"/>
        <v>10.84713431421188</v>
      </c>
      <c r="AD18" s="58">
        <f t="shared" si="15"/>
        <v>1</v>
      </c>
      <c r="AE18">
        <f t="shared" si="7"/>
        <v>0.95809544831603621</v>
      </c>
      <c r="AF18" s="83">
        <f t="shared" si="16"/>
        <v>1.7</v>
      </c>
    </row>
    <row r="19" spans="1:32" x14ac:dyDescent="0.2">
      <c r="A19" s="9">
        <v>65</v>
      </c>
      <c r="B19" s="5">
        <f>(Stage4to1!J17+Stage3to1!J17+Stage2to1!J17+Stage1to1!J17)/(Stage4to1!F17+Stage3to1!F17+Stage2to1!F17+Stage1to1!F17)</f>
        <v>4.2227364357099839</v>
      </c>
      <c r="C19" s="5">
        <f>Stage4to1!F17+Stage3to1!F17+Stage2to1!F17+Stage1to1!F17</f>
        <v>390.86964700000004</v>
      </c>
      <c r="D19" s="5">
        <f>(Stage4to1!K17+Stage3to1!K17+Stage2to1!K17+Stage1to1!K17+Stage4to2!K17+Stage3to2!K17+Stage2to2!K17)/(Stage4to1!G17+Stage3to1!G17+Stage2to1!G17+Stage1to1!G17+Stage4to2!G17+Stage3to2!G17+Stage2to2!G17)</f>
        <v>2.4957974158528704</v>
      </c>
      <c r="E19" s="5">
        <f>Stage4to1!G17+Stage3to1!G17+Stage2to1!G17+Stage1to1!G17+Stage4to2!G17+Stage3to2!G17+Stage2to2!G17</f>
        <v>374.52968100000004</v>
      </c>
      <c r="F19" s="5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1.4492438153139839</v>
      </c>
      <c r="G19" s="81">
        <f>Stage4to1!H17+Stage3to1!H17+Stage2to1!H17+Stage1to1!H17+Stage4to2!H17+Stage3to2!H17+Stage2to2!H17+Stage4to3!H17+Stage3to3!H17</f>
        <v>429.00326600000005</v>
      </c>
      <c r="H19" s="5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0.39874340406616104</v>
      </c>
      <c r="I19" s="83">
        <f>Stage4to1!I17+Stage3to1!I17+Stage2to1!I17+Stage1to1!I17+Stage4to2!I17+Stage3to2!I17+Stage2to2!I17+Stage4to3!I17+Stage3to3!I17+Stage4to4!I17</f>
        <v>471.20317999999997</v>
      </c>
      <c r="K19" s="58">
        <f t="shared" si="8"/>
        <v>1665.6057740000001</v>
      </c>
      <c r="L19" s="58">
        <f t="shared" si="18"/>
        <v>900.20644600000003</v>
      </c>
      <c r="M19">
        <f t="shared" si="9"/>
        <v>54</v>
      </c>
      <c r="N19">
        <v>54</v>
      </c>
      <c r="P19" s="60">
        <v>10.965912530000001</v>
      </c>
      <c r="Q19" s="58">
        <f t="shared" si="0"/>
        <v>6.7431760942900167</v>
      </c>
      <c r="R19" s="58">
        <f t="shared" si="10"/>
        <v>1</v>
      </c>
      <c r="S19">
        <f t="shared" si="1"/>
        <v>0.61492156497166739</v>
      </c>
      <c r="T19" s="62">
        <f t="shared" si="11"/>
        <v>1</v>
      </c>
      <c r="U19" s="58">
        <f t="shared" si="2"/>
        <v>8.4701151141471307</v>
      </c>
      <c r="V19" s="58">
        <f t="shared" si="17"/>
        <v>1</v>
      </c>
      <c r="W19">
        <f t="shared" si="3"/>
        <v>0.77240403760061094</v>
      </c>
      <c r="X19" s="62">
        <f t="shared" si="12"/>
        <v>1</v>
      </c>
      <c r="Y19" s="58">
        <f t="shared" si="4"/>
        <v>9.5166687146860163</v>
      </c>
      <c r="Z19" s="58">
        <f t="shared" si="13"/>
        <v>1</v>
      </c>
      <c r="AA19">
        <f t="shared" si="5"/>
        <v>0.86784101994711205</v>
      </c>
      <c r="AB19" s="81">
        <f t="shared" si="14"/>
        <v>1.2</v>
      </c>
      <c r="AC19" s="58">
        <f t="shared" si="6"/>
        <v>10.567169125933839</v>
      </c>
      <c r="AD19" s="58">
        <f t="shared" si="15"/>
        <v>1</v>
      </c>
      <c r="AE19">
        <f t="shared" si="7"/>
        <v>0.96363791859771819</v>
      </c>
      <c r="AF19" s="83">
        <f t="shared" si="16"/>
        <v>1.7</v>
      </c>
    </row>
    <row r="20" spans="1:32" x14ac:dyDescent="0.2">
      <c r="A20" s="9">
        <v>66</v>
      </c>
      <c r="B20" s="5">
        <f>(Stage4to1!J18+Stage3to1!J18+Stage2to1!J18+Stage1to1!J18)/(Stage4to1!F18+Stage3to1!F18+Stage2to1!F18+Stage1to1!F18)</f>
        <v>4.2153413325451767</v>
      </c>
      <c r="C20" s="5">
        <f>Stage4to1!F18+Stage3to1!F18+Stage2to1!F18+Stage1to1!F18</f>
        <v>388.71187900000001</v>
      </c>
      <c r="D20" s="5">
        <f>(Stage4to1!K18+Stage3to1!K18+Stage2to1!K18+Stage1to1!K18+Stage4to2!K18+Stage3to2!K18+Stage2to2!K18)/(Stage4to1!G18+Stage3to1!G18+Stage2to1!G18+Stage1to1!G18+Stage4to2!G18+Stage3to2!G18+Stage2to2!G18)</f>
        <v>2.4938854581981293</v>
      </c>
      <c r="E20" s="5">
        <f>Stage4to1!G18+Stage3to1!G18+Stage2to1!G18+Stage1to1!G18+Stage4to2!G18+Stage3to2!G18+Stage2to2!G18</f>
        <v>373.49119100000001</v>
      </c>
      <c r="F20" s="5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1.4486524559335943</v>
      </c>
      <c r="G20" s="81">
        <f>Stage4to1!H18+Stage3to1!H18+Stage2to1!H18+Stage1to1!H18+Stage4to2!H18+Stage3to2!H18+Stage2to2!H18+Stage4to3!H18+Stage3to3!H18</f>
        <v>428.44179600000007</v>
      </c>
      <c r="H20" s="5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0.3987470918475744</v>
      </c>
      <c r="I20" s="83">
        <f>Stage4to1!I18+Stage3to1!I18+Stage2to1!I18+Stage1to1!I18+Stage4to2!I18+Stage3to2!I18+Stage2to2!I18+Stage4to3!I18+Stage3to3!I18+Stage4to4!I18</f>
        <v>471.10237000000001</v>
      </c>
      <c r="K20" s="58">
        <f t="shared" si="8"/>
        <v>1661.7472360000002</v>
      </c>
      <c r="L20" s="58">
        <f t="shared" si="18"/>
        <v>899.54416600000013</v>
      </c>
      <c r="M20">
        <f t="shared" si="9"/>
        <v>54.1</v>
      </c>
      <c r="N20">
        <v>54.1</v>
      </c>
      <c r="P20" s="60">
        <v>10.608452959999999</v>
      </c>
      <c r="Q20" s="58">
        <f t="shared" si="0"/>
        <v>6.3931116274548225</v>
      </c>
      <c r="R20" s="58">
        <f>IF(Q20&lt;12,1,IF(Q20&lt;18,1.2,1.7))</f>
        <v>1</v>
      </c>
      <c r="S20">
        <f t="shared" si="1"/>
        <v>0.60264316121875161</v>
      </c>
      <c r="T20" s="62">
        <f>IF(S20&lt;0.85,1,IF(S20&lt;0.95,1.2,1.7))</f>
        <v>1</v>
      </c>
      <c r="U20" s="58">
        <f t="shared" si="2"/>
        <v>8.1145675018018704</v>
      </c>
      <c r="V20" s="58">
        <f t="shared" si="17"/>
        <v>1</v>
      </c>
      <c r="W20">
        <f t="shared" si="3"/>
        <v>0.76491525507050662</v>
      </c>
      <c r="X20" s="62">
        <f t="shared" si="12"/>
        <v>1</v>
      </c>
      <c r="Y20" s="58">
        <f t="shared" si="4"/>
        <v>9.1598005040664052</v>
      </c>
      <c r="Z20" s="58">
        <f t="shared" si="13"/>
        <v>1</v>
      </c>
      <c r="AA20">
        <f t="shared" si="5"/>
        <v>0.86344357076419609</v>
      </c>
      <c r="AB20" s="81">
        <f t="shared" si="14"/>
        <v>1.2</v>
      </c>
      <c r="AC20" s="58">
        <f t="shared" si="6"/>
        <v>10.209705868152424</v>
      </c>
      <c r="AD20" s="58">
        <f t="shared" si="15"/>
        <v>1</v>
      </c>
      <c r="AE20">
        <f t="shared" si="7"/>
        <v>0.96241232408240085</v>
      </c>
      <c r="AF20" s="83">
        <f t="shared" si="16"/>
        <v>1.7</v>
      </c>
    </row>
    <row r="21" spans="1:32" x14ac:dyDescent="0.2">
      <c r="A21" s="9">
        <v>67</v>
      </c>
      <c r="B21" s="5">
        <f>(Stage4to1!J19+Stage3to1!J19+Stage2to1!J19+Stage1to1!J19)/(Stage4to1!F19+Stage3to1!F19+Stage2to1!F19+Stage1to1!F19)</f>
        <v>4.2066643506802386</v>
      </c>
      <c r="C21" s="5">
        <f>Stage4to1!F19+Stage3to1!F19+Stage2to1!F19+Stage1to1!F19</f>
        <v>386.34653600000007</v>
      </c>
      <c r="D21" s="5">
        <f>(Stage4to1!K19+Stage3to1!K19+Stage2to1!K19+Stage1to1!K19+Stage4to2!K19+Stage3to2!K19+Stage2to2!K19)/(Stage4to1!G19+Stage3to1!G19+Stage2to1!G19+Stage1to1!G19+Stage4to2!G19+Stage3to2!G19+Stage2to2!G19)</f>
        <v>2.4917687036548961</v>
      </c>
      <c r="E21" s="5">
        <f>Stage4to1!G19+Stage3to1!G19+Stage2to1!G19+Stage1to1!G19+Stage4to2!G19+Stage3to2!G19+Stage2to2!G19</f>
        <v>372.38089500000001</v>
      </c>
      <c r="F21" s="5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1.4480312245324409</v>
      </c>
      <c r="G21" s="81">
        <f>Stage4to1!H19+Stage3to1!H19+Stage2to1!H19+Stage1to1!H19+Stage4to2!H19+Stage3to2!H19+Stage2to2!H19+Stage4to3!H19+Stage3to3!H19</f>
        <v>427.83718299999998</v>
      </c>
      <c r="H21" s="5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0.39875111410988445</v>
      </c>
      <c r="I21" s="83">
        <f>Stage4to1!I19+Stage3to1!I19+Stage2to1!I19+Stage1to1!I19+Stage4to2!I19+Stage3to2!I19+Stage2to2!I19+Stage4to3!I19+Stage3to3!I19+Stage4to4!I19</f>
        <v>470.99258999999995</v>
      </c>
      <c r="K21" s="58">
        <f t="shared" si="8"/>
        <v>1657.5572039999997</v>
      </c>
      <c r="L21" s="58">
        <f t="shared" si="18"/>
        <v>898.82977299999993</v>
      </c>
      <c r="M21">
        <f t="shared" si="9"/>
        <v>54.2</v>
      </c>
      <c r="N21">
        <v>54.2</v>
      </c>
      <c r="P21" s="60">
        <v>10.24776249</v>
      </c>
      <c r="Q21" s="58">
        <f t="shared" si="0"/>
        <v>6.0410981393197609</v>
      </c>
      <c r="R21" s="58">
        <f t="shared" si="10"/>
        <v>1</v>
      </c>
      <c r="S21">
        <f t="shared" si="1"/>
        <v>0.58950411323591878</v>
      </c>
      <c r="T21" s="62">
        <f t="shared" si="11"/>
        <v>1</v>
      </c>
      <c r="U21" s="58">
        <f t="shared" si="2"/>
        <v>7.7559937863451029</v>
      </c>
      <c r="V21" s="58">
        <f t="shared" si="17"/>
        <v>1</v>
      </c>
      <c r="W21">
        <f t="shared" si="3"/>
        <v>0.75684753563654295</v>
      </c>
      <c r="X21" s="62">
        <f t="shared" si="12"/>
        <v>1</v>
      </c>
      <c r="Y21" s="58">
        <f t="shared" si="4"/>
        <v>8.7997312654675586</v>
      </c>
      <c r="Z21" s="58">
        <f t="shared" si="13"/>
        <v>1</v>
      </c>
      <c r="AA21">
        <f t="shared" si="5"/>
        <v>0.85869781565044434</v>
      </c>
      <c r="AB21" s="81">
        <f t="shared" si="14"/>
        <v>1.2</v>
      </c>
      <c r="AC21" s="58">
        <f t="shared" si="6"/>
        <v>9.8490113758901146</v>
      </c>
      <c r="AD21" s="58">
        <f t="shared" si="15"/>
        <v>1</v>
      </c>
      <c r="AE21">
        <f t="shared" si="7"/>
        <v>0.96108895824830098</v>
      </c>
      <c r="AF21" s="83">
        <f t="shared" si="16"/>
        <v>1.7</v>
      </c>
    </row>
    <row r="22" spans="1:32" x14ac:dyDescent="0.2">
      <c r="A22" s="9">
        <v>68</v>
      </c>
      <c r="B22" s="5">
        <f>(Stage4to1!J20+Stage3to1!J20+Stage2to1!J20+Stage1to1!J20)/(Stage4to1!F20+Stage3to1!F20+Stage2to1!F20+Stage1to1!F20)</f>
        <v>4.1964250388403759</v>
      </c>
      <c r="C22" s="5">
        <f>Stage4to1!F20+Stage3to1!F20+Stage2to1!F20+Stage1to1!F20</f>
        <v>383.72310600000003</v>
      </c>
      <c r="D22" s="5">
        <f>(Stage4to1!K20+Stage3to1!K20+Stage2to1!K20+Stage1to1!K20+Stage4to2!K20+Stage3to2!K20+Stage2to2!K20)/(Stage4to1!G20+Stage3to1!G20+Stage2to1!G20+Stage1to1!G20+Stage4to2!G20+Stage3to2!G20+Stage2to2!G20)</f>
        <v>2.4892859807340568</v>
      </c>
      <c r="E22" s="5">
        <f>Stage4to1!G20+Stage3to1!G20+Stage2to1!G20+Stage1to1!G20+Stage4to2!G20+Stage3to2!G20+Stage2to2!G20</f>
        <v>371.20569800000004</v>
      </c>
      <c r="F22" s="5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1.4473938402258617</v>
      </c>
      <c r="G22" s="81">
        <f>Stage4to1!H20+Stage3to1!H20+Stage2to1!H20+Stage1to1!H20+Stage4to2!H20+Stage3to2!H20+Stage2to2!H20+Stage4to3!H20+Stage3to3!H20</f>
        <v>427.19514400000003</v>
      </c>
      <c r="H22" s="5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0.39875537063115574</v>
      </c>
      <c r="I22" s="83">
        <f>Stage4to1!I20+Stage3to1!I20+Stage2to1!I20+Stage1to1!I20+Stage4to2!I20+Stage3to2!I20+Stage2to2!I20+Stage4to3!I20+Stage3to3!I20+Stage4to4!I20</f>
        <v>470.87109999999996</v>
      </c>
      <c r="K22" s="58">
        <f t="shared" si="8"/>
        <v>1652.9950480000002</v>
      </c>
      <c r="L22" s="58">
        <f t="shared" si="18"/>
        <v>898.06624399999998</v>
      </c>
      <c r="M22">
        <f t="shared" si="9"/>
        <v>54.3</v>
      </c>
      <c r="N22">
        <v>54.3</v>
      </c>
      <c r="P22" s="60">
        <v>9.8845251422827083</v>
      </c>
      <c r="Q22" s="58">
        <f t="shared" si="0"/>
        <v>5.6881001034423324</v>
      </c>
      <c r="R22" s="58">
        <f t="shared" si="10"/>
        <v>1</v>
      </c>
      <c r="S22">
        <f t="shared" si="1"/>
        <v>0.57545506957238979</v>
      </c>
      <c r="T22" s="62">
        <f t="shared" si="11"/>
        <v>1</v>
      </c>
      <c r="U22" s="58">
        <f t="shared" si="2"/>
        <v>7.3952391615486519</v>
      </c>
      <c r="V22" s="58">
        <f t="shared" si="17"/>
        <v>1</v>
      </c>
      <c r="W22">
        <f t="shared" si="3"/>
        <v>0.74816332146440501</v>
      </c>
      <c r="X22" s="62">
        <f t="shared" si="12"/>
        <v>1</v>
      </c>
      <c r="Y22" s="58">
        <f t="shared" si="4"/>
        <v>8.4371313020568461</v>
      </c>
      <c r="Z22" s="58">
        <f t="shared" si="13"/>
        <v>1</v>
      </c>
      <c r="AA22">
        <f t="shared" si="5"/>
        <v>0.85356971433717199</v>
      </c>
      <c r="AB22" s="81">
        <f t="shared" si="14"/>
        <v>1.2</v>
      </c>
      <c r="AC22" s="58">
        <f t="shared" si="6"/>
        <v>9.4857697716515528</v>
      </c>
      <c r="AD22" s="58">
        <f t="shared" si="15"/>
        <v>1</v>
      </c>
      <c r="AE22">
        <f t="shared" si="7"/>
        <v>0.95965862144197367</v>
      </c>
      <c r="AF22" s="83">
        <f t="shared" si="16"/>
        <v>1.7</v>
      </c>
    </row>
    <row r="23" spans="1:32" x14ac:dyDescent="0.2">
      <c r="A23" s="9">
        <v>69</v>
      </c>
      <c r="B23" s="5">
        <f>(Stage4to1!J21+Stage3to1!J21+Stage2to1!J21+Stage1to1!J21)/(Stage4to1!F21+Stage3to1!F21+Stage2to1!F21+Stage1to1!F21)</f>
        <v>4.1844271547183345</v>
      </c>
      <c r="C23" s="5">
        <f>Stage4to1!F21+Stage3to1!F21+Stage2to1!F21+Stage1to1!F21</f>
        <v>380.80405300000001</v>
      </c>
      <c r="D23" s="5">
        <f>(Stage4to1!K21+Stage3to1!K21+Stage2to1!K21+Stage1to1!K21+Stage4to2!K21+Stage3to2!K21+Stage2to2!K21)/(Stage4to1!G21+Stage3to1!G21+Stage2to1!G21+Stage1to1!G21+Stage4to2!G21+Stage3to2!G21+Stage2to2!G21)</f>
        <v>2.4861210163044283</v>
      </c>
      <c r="E23" s="5">
        <f>Stage4to1!G21+Stage3to1!G21+Stage2to1!G21+Stage1to1!G21+Stage4to2!G21+Stage3to2!G21+Stage2to2!G21</f>
        <v>370.00511799999998</v>
      </c>
      <c r="F23" s="5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1.446623128529287</v>
      </c>
      <c r="G23">
        <f>Stage4to1!H21+Stage3to1!H21+Stage2to1!H21+Stage1to1!H21+Stage4to2!H21+Stage3to2!H21+Stage2to2!H21+Stage4to3!H21+Stage3to3!H21</f>
        <v>426.63484900000003</v>
      </c>
      <c r="H23" s="5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0.39875891349734938</v>
      </c>
      <c r="I23" s="83">
        <f>Stage4to1!I21+Stage3to1!I21+Stage2to1!I21+Stage1to1!I21+Stage4to2!I21+Stage3to2!I21+Stage2to2!I21+Stage4to3!I21+Stage3to3!I21+Stage4to4!I21</f>
        <v>470.77620999999999</v>
      </c>
      <c r="K23" s="58">
        <f t="shared" si="8"/>
        <v>1648.2202299999999</v>
      </c>
      <c r="L23" s="58">
        <f>SUM(I23)</f>
        <v>470.77620999999999</v>
      </c>
      <c r="M23">
        <f t="shared" si="9"/>
        <v>28.6</v>
      </c>
      <c r="N23">
        <v>28.6</v>
      </c>
      <c r="O23">
        <f>SUM(N19:N23)/5</f>
        <v>49.040000000000006</v>
      </c>
      <c r="P23" s="60">
        <v>9.5200574865054612</v>
      </c>
      <c r="Q23" s="58">
        <f t="shared" si="0"/>
        <v>5.3356303317871268</v>
      </c>
      <c r="R23" s="58">
        <f t="shared" si="10"/>
        <v>1</v>
      </c>
      <c r="S23">
        <f t="shared" si="1"/>
        <v>0.56046198663719238</v>
      </c>
      <c r="T23" s="62">
        <f t="shared" si="11"/>
        <v>1</v>
      </c>
      <c r="U23" s="58">
        <f t="shared" si="2"/>
        <v>7.0339364702010325</v>
      </c>
      <c r="V23" s="58">
        <f t="shared" si="17"/>
        <v>1</v>
      </c>
      <c r="W23">
        <f t="shared" si="3"/>
        <v>0.73885441134904195</v>
      </c>
      <c r="X23" s="62">
        <f t="shared" si="12"/>
        <v>1</v>
      </c>
      <c r="Y23" s="58">
        <f t="shared" si="4"/>
        <v>8.0734343579761738</v>
      </c>
      <c r="Z23" s="58">
        <f t="shared" si="13"/>
        <v>1</v>
      </c>
      <c r="AA23">
        <f t="shared" si="5"/>
        <v>0.84804470660183995</v>
      </c>
      <c r="AB23">
        <f t="shared" si="14"/>
        <v>1</v>
      </c>
      <c r="AC23" s="58">
        <f t="shared" si="6"/>
        <v>9.1212985730081115</v>
      </c>
      <c r="AD23" s="58">
        <f t="shared" si="15"/>
        <v>1</v>
      </c>
      <c r="AE23">
        <f t="shared" si="7"/>
        <v>0.95811381243626059</v>
      </c>
      <c r="AF23" s="83">
        <f t="shared" si="16"/>
        <v>1.7</v>
      </c>
    </row>
    <row r="24" spans="1:32" x14ac:dyDescent="0.2">
      <c r="A24" s="9">
        <v>70</v>
      </c>
      <c r="B24" s="5">
        <f>(Stage4to1!J22+Stage3to1!J22+Stage2to1!J22+Stage1to1!J22)/(Stage4to1!F22+Stage3to1!F22+Stage2to1!F22+Stage1to1!F22)</f>
        <v>3.8725819146807732</v>
      </c>
      <c r="C24" s="5">
        <f>Stage4to1!F22+Stage3to1!F22+Stage2to1!F22+Stage1to1!F22</f>
        <v>510.27815900000002</v>
      </c>
      <c r="D24" s="5">
        <f>(Stage4to1!K22+Stage3to1!K22+Stage2to1!K22+Stage1to1!K22+Stage4to2!K22+Stage3to2!K22+Stage2to2!K22)/(Stage4to1!G22+Stage3to1!G22+Stage2to1!G22+Stage1to1!G22+Stage4to2!G22+Stage3to2!G22+Stage2to2!G22)</f>
        <v>2.348547190180482</v>
      </c>
      <c r="E24" s="5">
        <f>Stage4to1!G22+Stage3to1!G22+Stage2to1!G22+Stage1to1!G22+Stage4to2!G22+Stage3to2!G22+Stage2to2!G22</f>
        <v>514.17628100000002</v>
      </c>
      <c r="F24" s="5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1.3521650588208372</v>
      </c>
      <c r="G24" s="81">
        <f>Stage4to1!H22+Stage3to1!H22+Stage2to1!H22+Stage1to1!H22+Stage4to2!H22+Stage3to2!H22+Stage2to2!H22+Stage4to3!H22+Stage3to3!H22</f>
        <v>594.79407099999992</v>
      </c>
      <c r="H24" s="5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0.36895572911514646</v>
      </c>
      <c r="I24" s="83">
        <f>Stage4to1!I22+Stage3to1!I22+Stage2to1!I22+Stage1to1!I22+Stage4to2!I22+Stage3to2!I22+Stage2to2!I22+Stage4to3!I22+Stage3to3!I22+Stage4to4!I22</f>
        <v>654.07186000000002</v>
      </c>
      <c r="K24" s="58">
        <f t="shared" si="8"/>
        <v>2273.3203709999998</v>
      </c>
      <c r="L24" s="58">
        <f t="shared" si="18"/>
        <v>1248.8659309999998</v>
      </c>
      <c r="M24">
        <f t="shared" si="9"/>
        <v>54.9</v>
      </c>
      <c r="N24">
        <v>54.9</v>
      </c>
      <c r="P24" s="60">
        <v>9.1530410752475895</v>
      </c>
      <c r="Q24" s="58">
        <f t="shared" si="0"/>
        <v>5.2804591605668163</v>
      </c>
      <c r="R24" s="58">
        <f t="shared" si="10"/>
        <v>1</v>
      </c>
      <c r="S24">
        <f t="shared" si="1"/>
        <v>0.57690762197568091</v>
      </c>
      <c r="T24" s="62">
        <f t="shared" si="11"/>
        <v>1</v>
      </c>
      <c r="U24" s="58">
        <f t="shared" si="2"/>
        <v>6.8044938850671075</v>
      </c>
      <c r="V24" s="58">
        <f t="shared" si="17"/>
        <v>1</v>
      </c>
      <c r="W24">
        <f t="shared" si="3"/>
        <v>0.74341345451495711</v>
      </c>
      <c r="X24" s="62">
        <f t="shared" si="12"/>
        <v>1</v>
      </c>
      <c r="Y24" s="58">
        <f t="shared" si="4"/>
        <v>7.8008760164267521</v>
      </c>
      <c r="Z24" s="58">
        <f t="shared" si="13"/>
        <v>1</v>
      </c>
      <c r="AA24">
        <f t="shared" si="5"/>
        <v>0.85227149668567814</v>
      </c>
      <c r="AB24" s="81">
        <f t="shared" si="14"/>
        <v>1.2</v>
      </c>
      <c r="AC24" s="58">
        <f t="shared" si="6"/>
        <v>8.7840853461324429</v>
      </c>
      <c r="AD24" s="58">
        <f t="shared" si="15"/>
        <v>1</v>
      </c>
      <c r="AE24">
        <f t="shared" si="7"/>
        <v>0.95969036672271613</v>
      </c>
      <c r="AF24" s="83">
        <f t="shared" si="16"/>
        <v>1.7</v>
      </c>
    </row>
    <row r="25" spans="1:32" x14ac:dyDescent="0.2">
      <c r="A25" s="9">
        <v>71</v>
      </c>
      <c r="B25" s="5">
        <f>(Stage4to1!J23+Stage3to1!J23+Stage2to1!J23+Stage1to1!J23)/(Stage4to1!F23+Stage3to1!F23+Stage2to1!F23+Stage1to1!F23)</f>
        <v>3.8595634338069225</v>
      </c>
      <c r="C25" s="5">
        <f>Stage4to1!F23+Stage3to1!F23+Stage2to1!F23+Stage1to1!F23</f>
        <v>505.09256900000003</v>
      </c>
      <c r="D25" s="5">
        <f>(Stage4to1!K23+Stage3to1!K23+Stage2to1!K23+Stage1to1!K23+Stage4to2!K23+Stage3to2!K23+Stage2to2!K23)/(Stage4to1!G23+Stage3to1!G23+Stage2to1!G23+Stage1to1!G23+Stage4to2!G23+Stage3to2!G23+Stage2to2!G23)</f>
        <v>2.3444542472729282</v>
      </c>
      <c r="E25" s="5">
        <f>Stage4to1!G23+Stage3to1!G23+Stage2to1!G23+Stage1to1!G23+Stage4to2!G23+Stage3to2!G23+Stage2to2!G23</f>
        <v>511.56437000000005</v>
      </c>
      <c r="F25" s="5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1.3508561935930543</v>
      </c>
      <c r="G25">
        <f>Stage4to1!H23+Stage3to1!H23+Stage2to1!H23+Stage1to1!H23+Stage4to2!H23+Stage3to2!H23+Stage2to2!H23+Stage4to3!H23+Stage3to3!H23</f>
        <v>593.51600399999995</v>
      </c>
      <c r="H25" s="5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0.36896117091436698</v>
      </c>
      <c r="I25" s="83">
        <f>Stage4to1!I23+Stage3to1!I23+Stage2to1!I23+Stage1to1!I23+Stage4to2!I23+Stage3to2!I23+Stage2to2!I23+Stage4to3!I23+Stage3to3!I23+Stage4to4!I23</f>
        <v>653.86165000000005</v>
      </c>
      <c r="K25" s="58">
        <f t="shared" si="8"/>
        <v>2264.0345930000003</v>
      </c>
      <c r="L25" s="58">
        <f>SUM(I25)</f>
        <v>653.86165000000005</v>
      </c>
      <c r="M25">
        <f t="shared" si="9"/>
        <v>28.9</v>
      </c>
      <c r="N25">
        <v>28.9</v>
      </c>
      <c r="P25" s="60">
        <v>8.7820776504988061</v>
      </c>
      <c r="Q25" s="58">
        <f t="shared" si="0"/>
        <v>4.9225142166918836</v>
      </c>
      <c r="R25" s="58">
        <f t="shared" si="10"/>
        <v>1</v>
      </c>
      <c r="S25">
        <f t="shared" si="1"/>
        <v>0.56051818403271503</v>
      </c>
      <c r="T25" s="62">
        <f t="shared" si="11"/>
        <v>1</v>
      </c>
      <c r="U25" s="58">
        <f t="shared" si="2"/>
        <v>6.4376234032258779</v>
      </c>
      <c r="V25" s="58">
        <f t="shared" si="17"/>
        <v>1</v>
      </c>
      <c r="W25">
        <f t="shared" si="3"/>
        <v>0.73304104785047453</v>
      </c>
      <c r="X25" s="62">
        <f t="shared" si="12"/>
        <v>1</v>
      </c>
      <c r="Y25" s="58">
        <f t="shared" si="4"/>
        <v>7.4312214569057513</v>
      </c>
      <c r="Z25" s="58">
        <f t="shared" si="13"/>
        <v>1</v>
      </c>
      <c r="AA25">
        <f t="shared" si="5"/>
        <v>0.84618034053521163</v>
      </c>
      <c r="AB25">
        <f t="shared" si="14"/>
        <v>1</v>
      </c>
      <c r="AC25" s="58">
        <f t="shared" si="6"/>
        <v>8.4131164795844384</v>
      </c>
      <c r="AD25" s="58">
        <f t="shared" si="15"/>
        <v>1</v>
      </c>
      <c r="AE25">
        <f t="shared" si="7"/>
        <v>0.95798702931151936</v>
      </c>
      <c r="AF25" s="83">
        <f t="shared" si="16"/>
        <v>1.7</v>
      </c>
    </row>
    <row r="26" spans="1:32" x14ac:dyDescent="0.2">
      <c r="A26" s="9">
        <v>72</v>
      </c>
      <c r="B26" s="5">
        <f>(Stage4to1!J24+Stage3to1!J24+Stage2to1!J24+Stage1to1!J24)/(Stage4to1!F24+Stage3to1!F24+Stage2to1!F24+Stage1to1!F24)</f>
        <v>3.8456671213386664</v>
      </c>
      <c r="C26" s="5">
        <f>Stage4to1!F24+Stage3to1!F24+Stage2to1!F24+Stage1to1!F24</f>
        <v>499.06892600000003</v>
      </c>
      <c r="D26" s="5">
        <f>(Stage4to1!K24+Stage3to1!K24+Stage2to1!K24+Stage1to1!K24+Stage4to2!K24+Stage3to2!K24+Stage2to2!K24)/(Stage4to1!G24+Stage3to1!G24+Stage2to1!G24+Stage1to1!G24+Stage4to2!G24+Stage3to2!G24+Stage2to2!G24)</f>
        <v>2.3399955384599473</v>
      </c>
      <c r="E26" s="5">
        <f>Stage4to1!G24+Stage3to1!G24+Stage2to1!G24+Stage1to1!G24+Stage4to2!G24+Stage3to2!G24+Stage2to2!G24</f>
        <v>508.27740500000004</v>
      </c>
      <c r="F26" s="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1.349227079207171</v>
      </c>
      <c r="G26">
        <f>Stage4to1!H24+Stage3to1!H24+Stage2to1!H24+Stage1to1!H24+Stage4to2!H24+Stage3to2!H24+Stage2to2!H24+Stage4to3!H24+Stage3to3!H24</f>
        <v>591.83069499999999</v>
      </c>
      <c r="H26" s="5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0.36896859389292508</v>
      </c>
      <c r="I26" s="83">
        <f>Stage4to1!I24+Stage3to1!I24+Stage2to1!I24+Stage1to1!I24+Stage4to2!I24+Stage3to2!I24+Stage2to2!I24+Stage4to3!I24+Stage3to3!I24+Stage4to4!I24</f>
        <v>653.58784999999989</v>
      </c>
      <c r="K26" s="58">
        <f t="shared" si="8"/>
        <v>2252.7648760000002</v>
      </c>
      <c r="L26" s="58">
        <f t="shared" ref="L26:L33" si="19">SUM(I26)</f>
        <v>653.58784999999989</v>
      </c>
      <c r="M26">
        <f t="shared" si="9"/>
        <v>29</v>
      </c>
      <c r="N26">
        <v>29</v>
      </c>
      <c r="P26" s="60">
        <v>8.4096590310481645</v>
      </c>
      <c r="Q26" s="58">
        <f t="shared" si="0"/>
        <v>4.5639919097094985</v>
      </c>
      <c r="R26" s="58">
        <f t="shared" si="10"/>
        <v>1</v>
      </c>
      <c r="S26">
        <f t="shared" si="1"/>
        <v>0.54270831823970522</v>
      </c>
      <c r="T26" s="62">
        <f t="shared" si="11"/>
        <v>1</v>
      </c>
      <c r="U26" s="58">
        <f t="shared" si="2"/>
        <v>6.0696634925882176</v>
      </c>
      <c r="V26" s="58">
        <f t="shared" si="17"/>
        <v>1</v>
      </c>
      <c r="W26">
        <f t="shared" si="3"/>
        <v>0.72174905904974673</v>
      </c>
      <c r="X26" s="62">
        <f t="shared" si="12"/>
        <v>1</v>
      </c>
      <c r="Y26" s="58">
        <f t="shared" si="4"/>
        <v>7.060431951840993</v>
      </c>
      <c r="Z26" s="58">
        <f t="shared" si="13"/>
        <v>1</v>
      </c>
      <c r="AA26">
        <f t="shared" si="5"/>
        <v>0.83956221361343275</v>
      </c>
      <c r="AB26">
        <f t="shared" si="14"/>
        <v>1</v>
      </c>
      <c r="AC26" s="58">
        <f t="shared" si="6"/>
        <v>8.0406904371552397</v>
      </c>
      <c r="AD26" s="58">
        <f t="shared" si="15"/>
        <v>1</v>
      </c>
      <c r="AE26">
        <f t="shared" si="7"/>
        <v>0.95612561787217465</v>
      </c>
      <c r="AF26" s="83">
        <f t="shared" si="16"/>
        <v>1.7</v>
      </c>
    </row>
    <row r="27" spans="1:32" x14ac:dyDescent="0.2">
      <c r="A27" s="9">
        <v>73</v>
      </c>
      <c r="B27" s="5">
        <f>(Stage4to1!J25+Stage3to1!J25+Stage2to1!J25+Stage1to1!J25)/(Stage4to1!F25+Stage3to1!F25+Stage2to1!F25+Stage1to1!F25)</f>
        <v>3.8308378424121656</v>
      </c>
      <c r="C27" s="5">
        <f>Stage4to1!F25+Stage3to1!F25+Stage2to1!F25+Stage1to1!F25</f>
        <v>492.17683900000003</v>
      </c>
      <c r="D27" s="5">
        <f>(Stage4to1!K25+Stage3to1!K25+Stage2to1!K25+Stage1to1!K25+Stage4to2!K25+Stage3to2!K25+Stage2to2!K25)/(Stage4to1!G25+Stage3to1!G25+Stage2to1!G25+Stage1to1!G25+Stage4to2!G25+Stage3to2!G25+Stage2to2!G25)</f>
        <v>2.3354656663209146</v>
      </c>
      <c r="E27" s="5">
        <f>Stage4to1!G25+Stage3to1!G25+Stage2to1!G25+Stage1to1!G25+Stage4to2!G25+Stage3to2!G25+Stage2to2!G25</f>
        <v>504.19314100000003</v>
      </c>
      <c r="F27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1.3475927120479403</v>
      </c>
      <c r="G27" s="5">
        <f>Stage4to1!H25+Stage3to1!H25+Stage2to1!H25+Stage1to1!H25+Stage4to2!H25+Stage3to2!H25+Stage2to2!H25+Stage4to3!H25+Stage3to3!H25</f>
        <v>589.32605000000001</v>
      </c>
      <c r="H27" s="5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0.36897998789060232</v>
      </c>
      <c r="I27" s="83">
        <f>Stage4to1!I25+Stage3to1!I25+Stage2to1!I25+Stage1to1!I25+Stage4to2!I25+Stage3to2!I25+Stage2to2!I25+Stage4to3!I25+Stage3to3!I25+Stage4to4!I25</f>
        <v>653.09607000000005</v>
      </c>
      <c r="K27" s="58">
        <f t="shared" si="8"/>
        <v>2238.7921000000001</v>
      </c>
      <c r="L27" s="58">
        <f t="shared" si="19"/>
        <v>653.09607000000005</v>
      </c>
      <c r="M27">
        <f t="shared" si="9"/>
        <v>29.2</v>
      </c>
      <c r="N27">
        <v>29.2</v>
      </c>
      <c r="P27" s="60">
        <v>8.0383277353736702</v>
      </c>
      <c r="Q27" s="58">
        <f t="shared" si="0"/>
        <v>4.2074898929615046</v>
      </c>
      <c r="R27" s="58">
        <f t="shared" si="10"/>
        <v>1</v>
      </c>
      <c r="S27">
        <f t="shared" si="1"/>
        <v>0.52342850795270723</v>
      </c>
      <c r="T27" s="62">
        <f t="shared" si="11"/>
        <v>1</v>
      </c>
      <c r="U27" s="58">
        <f t="shared" si="2"/>
        <v>5.7028620690527561</v>
      </c>
      <c r="V27" s="58">
        <f t="shared" si="17"/>
        <v>1</v>
      </c>
      <c r="W27">
        <f t="shared" si="3"/>
        <v>0.7094587651554185</v>
      </c>
      <c r="X27" s="62">
        <f t="shared" si="12"/>
        <v>1</v>
      </c>
      <c r="Y27" s="58">
        <f t="shared" si="4"/>
        <v>6.6907350233257299</v>
      </c>
      <c r="Z27" s="58">
        <f t="shared" si="13"/>
        <v>1</v>
      </c>
      <c r="AA27">
        <f t="shared" si="5"/>
        <v>0.8323540969699843</v>
      </c>
      <c r="AB27">
        <f t="shared" si="14"/>
        <v>1</v>
      </c>
      <c r="AC27" s="58">
        <f t="shared" si="6"/>
        <v>7.6693477474830676</v>
      </c>
      <c r="AD27" s="58">
        <f t="shared" si="15"/>
        <v>1</v>
      </c>
      <c r="AE27">
        <f t="shared" si="7"/>
        <v>0.95409741925962288</v>
      </c>
      <c r="AF27" s="83">
        <f t="shared" si="16"/>
        <v>1.7</v>
      </c>
    </row>
    <row r="28" spans="1:32" x14ac:dyDescent="0.2">
      <c r="A28" s="9">
        <v>74</v>
      </c>
      <c r="B28" s="5">
        <f>(Stage4to1!J26+Stage3to1!J26+Stage2to1!J26+Stage1to1!J26)/(Stage4to1!F26+Stage3to1!F26+Stage2to1!F26+Stage1to1!F26)</f>
        <v>3.8143884319881112</v>
      </c>
      <c r="C28" s="5">
        <f>Stage4to1!F26+Stage3to1!F26+Stage2to1!F26+Stage1to1!F26</f>
        <v>485.38705299999998</v>
      </c>
      <c r="D28" s="5">
        <f>(Stage4to1!K26+Stage3to1!K26+Stage2to1!K26+Stage1to1!K26+Stage4to2!K26+Stage3to2!K26+Stage2to2!K26)/(Stage4to1!G26+Stage3to1!G26+Stage2to1!G26+Stage1to1!G26+Stage4to2!G26+Stage3to2!G26+Stage2to2!G26)</f>
        <v>2.3302480951318341</v>
      </c>
      <c r="E28" s="5">
        <f>Stage4to1!G26+Stage3to1!G26+Stage2to1!G26+Stage1to1!G26+Stage4to2!G26+Stage3to2!G26+Stage2to2!G26</f>
        <v>500.51888999999994</v>
      </c>
      <c r="F28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1.3459401829117148</v>
      </c>
      <c r="G28" s="5">
        <f>Stage4to1!H26+Stage3to1!H26+Stage2to1!H26+Stage1to1!H26+Stage4to2!H26+Stage3to2!H26+Stage2to2!H26+Stage4to3!H26+Stage3to3!H26</f>
        <v>587.29010400000004</v>
      </c>
      <c r="H28" s="5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0.36898899244908001</v>
      </c>
      <c r="I28" s="83">
        <f>Stage4to1!I26+Stage3to1!I26+Stage2to1!I26+Stage1to1!I26+Stage4to2!I26+Stage3to2!I26+Stage2to2!I26+Stage4to3!I26+Stage3to3!I26+Stage4to4!I26</f>
        <v>652.71649000000002</v>
      </c>
      <c r="K28" s="58">
        <f t="shared" si="8"/>
        <v>2225.9125370000002</v>
      </c>
      <c r="L28" s="58">
        <f t="shared" si="19"/>
        <v>652.71649000000002</v>
      </c>
      <c r="M28">
        <f t="shared" si="9"/>
        <v>29.3</v>
      </c>
      <c r="N28">
        <v>29.3</v>
      </c>
      <c r="O28">
        <f>SUM(N24:N28)/5</f>
        <v>34.260000000000005</v>
      </c>
      <c r="P28" s="60">
        <v>7.6737154870642286</v>
      </c>
      <c r="Q28" s="58">
        <f t="shared" si="0"/>
        <v>3.8593270550761174</v>
      </c>
      <c r="R28" s="58">
        <f t="shared" si="10"/>
        <v>1</v>
      </c>
      <c r="S28">
        <f t="shared" si="1"/>
        <v>0.50292808764957209</v>
      </c>
      <c r="T28" s="62">
        <f t="shared" si="11"/>
        <v>1</v>
      </c>
      <c r="U28" s="58">
        <f t="shared" si="2"/>
        <v>5.3434673919323945</v>
      </c>
      <c r="V28" s="58">
        <f t="shared" si="17"/>
        <v>1</v>
      </c>
      <c r="W28">
        <f t="shared" si="3"/>
        <v>0.69633379044870891</v>
      </c>
      <c r="X28" s="62">
        <f t="shared" si="12"/>
        <v>1</v>
      </c>
      <c r="Y28" s="58">
        <f t="shared" si="4"/>
        <v>6.3277753041525138</v>
      </c>
      <c r="Z28" s="58">
        <f t="shared" si="13"/>
        <v>1</v>
      </c>
      <c r="AA28">
        <f t="shared" si="5"/>
        <v>0.82460384605337544</v>
      </c>
      <c r="AB28">
        <f t="shared" si="14"/>
        <v>1</v>
      </c>
      <c r="AC28" s="58">
        <f t="shared" si="6"/>
        <v>7.3047264946151484</v>
      </c>
      <c r="AD28" s="58">
        <f t="shared" si="15"/>
        <v>1</v>
      </c>
      <c r="AE28">
        <f t="shared" si="7"/>
        <v>0.95191521068625828</v>
      </c>
      <c r="AF28" s="83">
        <f t="shared" si="16"/>
        <v>1.7</v>
      </c>
    </row>
    <row r="29" spans="1:32" x14ac:dyDescent="0.2">
      <c r="A29" s="9">
        <v>75</v>
      </c>
      <c r="B29" s="5">
        <f>(Stage4to1!J27+Stage3to1!J27+Stage2to1!J27+Stage1to1!J27)/(Stage4to1!F27+Stage3to1!F27+Stage2to1!F27+Stage1to1!F27)</f>
        <v>3.3718683311152535</v>
      </c>
      <c r="C29" s="5">
        <f>Stage4to1!F27+Stage3to1!F27+Stage2to1!F27+Stage1to1!F27</f>
        <v>560.07537500000001</v>
      </c>
      <c r="D29" s="5">
        <f>(Stage4to1!K27+Stage3to1!K27+Stage2to1!K27+Stage1to1!K27+Stage4to2!K27+Stage3to2!K27+Stage2to2!K27)/(Stage4to1!G27+Stage3to1!G27+Stage2to1!G27+Stage1to1!G27+Stage4to2!G27+Stage3to2!G27+Stage2to2!G27)</f>
        <v>2.0749981882249582</v>
      </c>
      <c r="E29" s="5">
        <f>Stage4to1!G27+Stage3to1!G27+Stage2to1!G27+Stage1to1!G27+Stage4to2!G27+Stage3to2!G27+Stage2to2!G27</f>
        <v>607.19458799999995</v>
      </c>
      <c r="F29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1.2203523763826938</v>
      </c>
      <c r="G29" s="5">
        <f>Stage4to1!H27+Stage3to1!H27+Stage2to1!H27+Stage1to1!H27+Stage4to2!H27+Stage3to2!H27+Stage2to2!H27+Stage4to3!H27+Stage3to3!H27</f>
        <v>723.352621</v>
      </c>
      <c r="H29" s="5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0.31361542728205843</v>
      </c>
      <c r="I29" s="83">
        <f>Stage4to1!I27+Stage3to1!I27+Stage2to1!I27+Stage1to1!I27+Stage4to2!I27+Stage3to2!I27+Stage2to2!I27+Stage4to3!I27+Stage3to3!I27+Stage4to4!I27</f>
        <v>800.40852000000007</v>
      </c>
      <c r="K29" s="58">
        <f t="shared" si="8"/>
        <v>2691.0311040000001</v>
      </c>
      <c r="L29" s="58">
        <f t="shared" si="19"/>
        <v>800.40852000000007</v>
      </c>
      <c r="M29">
        <f t="shared" si="9"/>
        <v>29.7</v>
      </c>
      <c r="N29">
        <v>29.7</v>
      </c>
      <c r="P29" s="60">
        <v>7.3079651138669099</v>
      </c>
      <c r="Q29" s="58">
        <f t="shared" si="0"/>
        <v>3.9360967827516564</v>
      </c>
      <c r="R29" s="58">
        <f t="shared" si="10"/>
        <v>1</v>
      </c>
      <c r="S29">
        <f t="shared" si="1"/>
        <v>0.53860366345795607</v>
      </c>
      <c r="T29" s="62">
        <f t="shared" si="11"/>
        <v>1</v>
      </c>
      <c r="U29" s="58">
        <f t="shared" si="2"/>
        <v>5.2329669256419518</v>
      </c>
      <c r="V29" s="58">
        <f t="shared" si="17"/>
        <v>1</v>
      </c>
      <c r="W29">
        <f t="shared" si="3"/>
        <v>0.71606347924572933</v>
      </c>
      <c r="X29" s="62">
        <f t="shared" si="12"/>
        <v>1</v>
      </c>
      <c r="Y29" s="58">
        <f t="shared" si="4"/>
        <v>6.0876127374842159</v>
      </c>
      <c r="Z29" s="58">
        <f t="shared" si="13"/>
        <v>1</v>
      </c>
      <c r="AA29">
        <f t="shared" si="5"/>
        <v>0.83301064559448046</v>
      </c>
      <c r="AB29">
        <f t="shared" si="14"/>
        <v>1</v>
      </c>
      <c r="AC29" s="58">
        <f t="shared" si="6"/>
        <v>6.9943496865848518</v>
      </c>
      <c r="AD29" s="58">
        <f t="shared" si="15"/>
        <v>1</v>
      </c>
      <c r="AE29">
        <f t="shared" si="7"/>
        <v>0.9570858067333996</v>
      </c>
      <c r="AF29" s="83">
        <f t="shared" si="16"/>
        <v>1.7</v>
      </c>
    </row>
    <row r="30" spans="1:32" x14ac:dyDescent="0.2">
      <c r="A30" s="9">
        <v>76</v>
      </c>
      <c r="B30" s="5">
        <f>(Stage4to1!J28+Stage3to1!J28+Stage2to1!J28+Stage1to1!J28)/(Stage4to1!F28+Stage3to1!F28+Stage2to1!F28+Stage1to1!F28)</f>
        <v>3.3534076817028251</v>
      </c>
      <c r="C30" s="5">
        <f>Stage4to1!F28+Stage3to1!F28+Stage2to1!F28+Stage1to1!F28</f>
        <v>550.69201400000009</v>
      </c>
      <c r="D30" s="5">
        <f>(Stage4to1!K28+Stage3to1!K28+Stage2to1!K28+Stage1to1!K28+Stage4to2!K28+Stage3to2!K28+Stage2to2!K28)/(Stage4to1!G28+Stage3to1!G28+Stage2to1!G28+Stage1to1!G28+Stage4to2!G28+Stage3to2!G28+Stage2to2!G28)</f>
        <v>2.0689570809461624</v>
      </c>
      <c r="E30" s="5">
        <f>Stage4to1!G28+Stage3to1!G28+Stage2to1!G28+Stage1to1!G28+Stage4to2!G28+Stage3to2!G28+Stage2to2!G28</f>
        <v>601.17907300000002</v>
      </c>
      <c r="F30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1.2180954061565767</v>
      </c>
      <c r="G30" s="5">
        <f>Stage4to1!H28+Stage3to1!H28+Stage2to1!H28+Stage1to1!H28+Stage4to2!H28+Stage3to2!H28+Stage2to2!H28+Stage4to3!H28+Stage3to3!H28</f>
        <v>719.84488699999997</v>
      </c>
      <c r="H30" s="5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0.31362627114153402</v>
      </c>
      <c r="I30" s="83">
        <f>Stage4to1!I28+Stage3to1!I28+Stage2to1!I28+Stage1to1!I28+Stage4to2!I28+Stage3to2!I28+Stage2to2!I28+Stage4to3!I28+Stage3to3!I28+Stage4to4!I28</f>
        <v>799.77521999999999</v>
      </c>
      <c r="K30" s="58">
        <f t="shared" si="8"/>
        <v>2671.4911940000002</v>
      </c>
      <c r="L30" s="58">
        <f t="shared" si="19"/>
        <v>799.77521999999999</v>
      </c>
      <c r="M30">
        <f t="shared" si="9"/>
        <v>29.9</v>
      </c>
      <c r="N30">
        <v>29.9</v>
      </c>
      <c r="P30" s="60">
        <v>6.9454341390477792</v>
      </c>
      <c r="Q30" s="58">
        <f t="shared" si="0"/>
        <v>3.5920264573449541</v>
      </c>
      <c r="R30" s="58">
        <f t="shared" si="10"/>
        <v>1</v>
      </c>
      <c r="S30">
        <f t="shared" si="1"/>
        <v>0.51717810369121464</v>
      </c>
      <c r="T30" s="62">
        <f t="shared" si="11"/>
        <v>1</v>
      </c>
      <c r="U30" s="58">
        <f t="shared" si="2"/>
        <v>4.8764770581016172</v>
      </c>
      <c r="V30" s="58">
        <f t="shared" si="17"/>
        <v>1</v>
      </c>
      <c r="W30">
        <f t="shared" si="3"/>
        <v>0.70211263406641178</v>
      </c>
      <c r="X30" s="62">
        <f t="shared" si="12"/>
        <v>1</v>
      </c>
      <c r="Y30" s="58">
        <f t="shared" si="4"/>
        <v>5.7273387328912024</v>
      </c>
      <c r="Z30" s="58">
        <f t="shared" si="13"/>
        <v>1</v>
      </c>
      <c r="AA30">
        <f t="shared" si="5"/>
        <v>0.82461925607956621</v>
      </c>
      <c r="AB30">
        <f t="shared" si="14"/>
        <v>1</v>
      </c>
      <c r="AC30" s="58">
        <f t="shared" si="6"/>
        <v>6.6318078679062449</v>
      </c>
      <c r="AD30" s="58">
        <f t="shared" si="15"/>
        <v>1</v>
      </c>
      <c r="AE30">
        <f t="shared" si="7"/>
        <v>0.95484425237318105</v>
      </c>
      <c r="AF30" s="83">
        <f t="shared" si="16"/>
        <v>1.7</v>
      </c>
    </row>
    <row r="31" spans="1:32" x14ac:dyDescent="0.2">
      <c r="A31" s="9">
        <v>77</v>
      </c>
      <c r="B31" s="5">
        <f>(Stage4to1!J29+Stage3to1!J29+Stage2to1!J29+Stage1to1!J29)/(Stage4to1!F29+Stage3to1!F29+Stage2to1!F29+Stage1to1!F29)</f>
        <v>3.3333231787372091</v>
      </c>
      <c r="C31" s="5">
        <f>Stage4to1!F29+Stage3to1!F29+Stage2to1!F29+Stage1to1!F29</f>
        <v>540.641886</v>
      </c>
      <c r="D31" s="5">
        <f>(Stage4to1!K29+Stage3to1!K29+Stage2to1!K29+Stage1to1!K29+Stage4to2!K29+Stage3to2!K29+Stage2to2!K29)/(Stage4to1!G29+Stage3to1!G29+Stage2to1!G29+Stage1to1!G29+Stage4to2!G29+Stage3to2!G29+Stage2to2!G29)</f>
        <v>2.0626797983905045</v>
      </c>
      <c r="E31" s="5">
        <f>Stage4to1!G29+Stage3to1!G29+Stage2to1!G29+Stage1to1!G29+Stage4to2!G29+Stage3to2!G29+Stage2to2!G29</f>
        <v>594.56524999999999</v>
      </c>
      <c r="F31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1.2157917101407487</v>
      </c>
      <c r="G31" s="5">
        <f>Stage4to1!H29+Stage3to1!H29+Stage2to1!H29+Stage1to1!H29+Stage4to2!H29+Stage3to2!H29+Stage2to2!H29+Stage4to3!H29+Stage3to3!H29</f>
        <v>715.72337000000005</v>
      </c>
      <c r="H31" s="5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0.31363920907550902</v>
      </c>
      <c r="I31" s="83">
        <f>Stage4to1!I29+Stage3to1!I29+Stage2to1!I29+Stage1to1!I29+Stage4to2!I29+Stage3to2!I29+Stage2to2!I29+Stage4to3!I29+Stage3to3!I29+Stage4to4!I29</f>
        <v>798.98195999999996</v>
      </c>
      <c r="K31" s="58">
        <f t="shared" si="8"/>
        <v>2649.9124660000002</v>
      </c>
      <c r="L31" s="58">
        <f t="shared" si="19"/>
        <v>798.98195999999996</v>
      </c>
      <c r="M31">
        <f t="shared" si="9"/>
        <v>30.2</v>
      </c>
      <c r="N31">
        <v>30.2</v>
      </c>
      <c r="P31" s="60">
        <v>6.5885520751733786</v>
      </c>
      <c r="Q31" s="58">
        <f t="shared" si="0"/>
        <v>3.2552288964361695</v>
      </c>
      <c r="R31" s="58">
        <f t="shared" si="10"/>
        <v>1</v>
      </c>
      <c r="S31">
        <f t="shared" si="1"/>
        <v>0.49407348675323443</v>
      </c>
      <c r="T31" s="62">
        <f t="shared" si="11"/>
        <v>1</v>
      </c>
      <c r="U31" s="58">
        <f t="shared" si="2"/>
        <v>4.5258722767828736</v>
      </c>
      <c r="V31" s="58">
        <f t="shared" si="17"/>
        <v>1</v>
      </c>
      <c r="W31">
        <f t="shared" si="3"/>
        <v>0.68692972676607023</v>
      </c>
      <c r="X31" s="62">
        <f t="shared" si="12"/>
        <v>1</v>
      </c>
      <c r="Y31" s="58">
        <f t="shared" si="4"/>
        <v>5.3727603650326294</v>
      </c>
      <c r="Z31" s="58">
        <f t="shared" si="13"/>
        <v>1</v>
      </c>
      <c r="AA31">
        <f t="shared" si="5"/>
        <v>0.81546905962509897</v>
      </c>
      <c r="AB31">
        <f t="shared" si="14"/>
        <v>1</v>
      </c>
      <c r="AC31" s="58">
        <f t="shared" si="6"/>
        <v>6.2749128660978695</v>
      </c>
      <c r="AD31" s="58">
        <f t="shared" si="15"/>
        <v>1</v>
      </c>
      <c r="AE31">
        <f t="shared" si="7"/>
        <v>0.95239633754169639</v>
      </c>
      <c r="AF31" s="83">
        <f t="shared" si="16"/>
        <v>1.7</v>
      </c>
    </row>
    <row r="32" spans="1:32" x14ac:dyDescent="0.2">
      <c r="A32" s="9">
        <v>78</v>
      </c>
      <c r="B32" s="5">
        <f>(Stage4to1!J30+Stage3to1!J30+Stage2to1!J30+Stage1to1!J30)/(Stage4to1!F30+Stage3to1!F30+Stage2to1!F30+Stage1to1!F30)</f>
        <v>3.3107946553543162</v>
      </c>
      <c r="C32" s="5">
        <f>Stage4to1!F30+Stage3to1!F30+Stage2to1!F30+Stage1to1!F30</f>
        <v>530.39564600000006</v>
      </c>
      <c r="D32" s="5">
        <f>(Stage4to1!K30+Stage3to1!K30+Stage2to1!K30+Stage1to1!K30+Stage4to2!K30+Stage3to2!K30+Stage2to2!K30)/(Stage4to1!G30+Stage3to1!G30+Stage2to1!G30+Stage1to1!G30+Stage4to2!G30+Stage3to2!G30+Stage2to2!G30)</f>
        <v>2.0557020238825494</v>
      </c>
      <c r="E32" s="5">
        <f>Stage4to1!G30+Stage3to1!G30+Stage2to1!G30+Stage1to1!G30+Stage4to2!G30+Stage3to2!G30+Stage2to2!G30</f>
        <v>588.12222099999997</v>
      </c>
      <c r="F32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1.2134982240546066</v>
      </c>
      <c r="G32" s="5">
        <f>Stage4to1!H30+Stage3to1!H30+Stage2to1!H30+Stage1to1!H30+Stage4to2!H30+Stage3to2!H30+Stage2to2!H30+Stage4to3!H30+Stage3to3!H30</f>
        <v>711.79440799999998</v>
      </c>
      <c r="H32" s="5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0.31365145946409684</v>
      </c>
      <c r="I32" s="82">
        <f>Stage4to1!I30+Stage3to1!I30+Stage2to1!I30+Stage1to1!I30+Stage4to2!I30+Stage3to2!I30+Stage2to2!I30+Stage4to3!I30+Stage3to3!I30+Stage4to4!I30</f>
        <v>798.22176000000002</v>
      </c>
      <c r="K32" s="58">
        <f t="shared" si="8"/>
        <v>2628.5340350000001</v>
      </c>
      <c r="L32" s="58">
        <f t="shared" si="19"/>
        <v>798.22176000000002</v>
      </c>
      <c r="M32">
        <f t="shared" si="9"/>
        <v>30.4</v>
      </c>
      <c r="N32">
        <v>30.4</v>
      </c>
      <c r="P32" s="60">
        <v>6.2360656249528823</v>
      </c>
      <c r="Q32" s="58">
        <f t="shared" si="0"/>
        <v>2.9252709695985661</v>
      </c>
      <c r="R32" s="58">
        <f t="shared" si="10"/>
        <v>1</v>
      </c>
      <c r="S32">
        <f t="shared" si="1"/>
        <v>0.46908918948726885</v>
      </c>
      <c r="T32" s="62">
        <f t="shared" si="11"/>
        <v>1</v>
      </c>
      <c r="U32" s="58">
        <f t="shared" si="2"/>
        <v>4.1803636010703329</v>
      </c>
      <c r="V32" s="58">
        <f t="shared" si="17"/>
        <v>1</v>
      </c>
      <c r="W32">
        <f t="shared" si="3"/>
        <v>0.67035272758245201</v>
      </c>
      <c r="X32" s="62">
        <f t="shared" si="12"/>
        <v>1</v>
      </c>
      <c r="Y32" s="58">
        <f t="shared" si="4"/>
        <v>5.0225674008982759</v>
      </c>
      <c r="Z32" s="58">
        <f t="shared" si="13"/>
        <v>1</v>
      </c>
      <c r="AA32">
        <f t="shared" si="5"/>
        <v>0.80540643780287746</v>
      </c>
      <c r="AB32">
        <f t="shared" si="14"/>
        <v>1</v>
      </c>
      <c r="AC32" s="58">
        <f t="shared" si="6"/>
        <v>5.9224141654887852</v>
      </c>
      <c r="AD32" s="58">
        <f t="shared" si="15"/>
        <v>1</v>
      </c>
      <c r="AE32">
        <f t="shared" si="7"/>
        <v>0.94970363073007802</v>
      </c>
      <c r="AF32" s="82">
        <f t="shared" si="16"/>
        <v>1.2</v>
      </c>
    </row>
    <row r="33" spans="1:32" x14ac:dyDescent="0.2">
      <c r="A33" s="9">
        <v>79</v>
      </c>
      <c r="B33" s="5">
        <f>(Stage4to1!J31+Stage3to1!J31+Stage2to1!J31+Stage1to1!J31)/(Stage4to1!F31+Stage3to1!F31+Stage2to1!F31+Stage1to1!F31)</f>
        <v>3.2852929495413643</v>
      </c>
      <c r="C33" s="5">
        <f>Stage4to1!F31+Stage3to1!F31+Stage2to1!F31+Stage1to1!F31</f>
        <v>519.57425599999999</v>
      </c>
      <c r="D33" s="5">
        <f>(Stage4to1!K31+Stage3to1!K31+Stage2to1!K31+Stage1to1!K31+Stage4to2!K31+Stage3to2!K31+Stage2to2!K31)/(Stage4to1!G31+Stage3to1!G31+Stage2to1!G31+Stage1to1!G31+Stage4to2!G31+Stage3to2!G31+Stage2to2!G31)</f>
        <v>2.047403173848179</v>
      </c>
      <c r="E33" s="5">
        <f>Stage4to1!G31+Stage3to1!G31+Stage2to1!G31+Stage1to1!G31+Stage4to2!G31+Stage3to2!G31+Stage2to2!G31</f>
        <v>581.64105399999994</v>
      </c>
      <c r="F33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1.2108911748868467</v>
      </c>
      <c r="G33" s="5">
        <f>Stage4to1!H31+Stage3to1!H31+Stage2to1!H31+Stage1to1!H31+Stage4to2!H31+Stage3to2!H31+Stage2to2!H31+Stage4to3!H31+Stage3to3!H31</f>
        <v>708.22985400000005</v>
      </c>
      <c r="H33" s="5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0.31366230999319711</v>
      </c>
      <c r="I33" s="82">
        <f>Stage4to1!I31+Stage3to1!I31+Stage2to1!I31+Stage1to1!I31+Stage4to2!I31+Stage3to2!I31+Stage2to2!I31+Stage4to3!I31+Stage3to3!I31+Stage4to4!I31</f>
        <v>797.58789000000002</v>
      </c>
      <c r="K33" s="58">
        <f t="shared" si="8"/>
        <v>2607.0330540000004</v>
      </c>
      <c r="L33" s="58">
        <f t="shared" si="19"/>
        <v>797.58789000000002</v>
      </c>
      <c r="M33">
        <f t="shared" si="9"/>
        <v>30.6</v>
      </c>
      <c r="N33">
        <v>30.6</v>
      </c>
      <c r="O33">
        <f>SUM(N29:N33)/5</f>
        <v>30.159999999999997</v>
      </c>
      <c r="P33" s="60">
        <v>5.89039822365425</v>
      </c>
      <c r="Q33" s="58">
        <f t="shared" si="0"/>
        <v>2.6051052741128857</v>
      </c>
      <c r="R33" s="58">
        <f t="shared" si="10"/>
        <v>1</v>
      </c>
      <c r="S33">
        <f t="shared" si="1"/>
        <v>0.44226301434960474</v>
      </c>
      <c r="T33" s="62">
        <f t="shared" si="11"/>
        <v>1</v>
      </c>
      <c r="U33" s="58">
        <f t="shared" si="2"/>
        <v>3.842995049806071</v>
      </c>
      <c r="V33" s="58">
        <f t="shared" si="17"/>
        <v>1</v>
      </c>
      <c r="W33">
        <f t="shared" si="3"/>
        <v>0.65241684923332344</v>
      </c>
      <c r="X33" s="62">
        <f t="shared" si="12"/>
        <v>1</v>
      </c>
      <c r="Y33" s="58">
        <f t="shared" si="4"/>
        <v>4.6795070487674035</v>
      </c>
      <c r="Z33" s="58">
        <f t="shared" si="13"/>
        <v>1</v>
      </c>
      <c r="AA33">
        <f t="shared" si="5"/>
        <v>0.794429658418639</v>
      </c>
      <c r="AB33">
        <f t="shared" si="14"/>
        <v>1</v>
      </c>
      <c r="AC33" s="58">
        <f t="shared" si="6"/>
        <v>5.5767359136610528</v>
      </c>
      <c r="AD33" s="58">
        <f t="shared" si="15"/>
        <v>1</v>
      </c>
      <c r="AE33">
        <f t="shared" si="7"/>
        <v>0.94675023689678328</v>
      </c>
      <c r="AF33" s="82">
        <f t="shared" si="16"/>
        <v>1.2</v>
      </c>
    </row>
    <row r="34" spans="1:32" x14ac:dyDescent="0.2">
      <c r="A34" s="10"/>
      <c r="B34" s="6"/>
      <c r="C34" s="6"/>
      <c r="D34" s="6"/>
      <c r="E34" s="6"/>
      <c r="F34" s="6"/>
      <c r="G34" s="6"/>
      <c r="H34" s="6"/>
      <c r="I34" s="5"/>
      <c r="J34" s="5"/>
      <c r="K34" s="5"/>
      <c r="L34" s="5"/>
      <c r="P34" s="60"/>
      <c r="Q34" s="58"/>
      <c r="R34" s="58"/>
      <c r="T34" s="62"/>
      <c r="U34" s="58"/>
      <c r="V34" s="58"/>
      <c r="X34" s="62"/>
      <c r="Y34" s="58"/>
      <c r="Z34" s="58"/>
      <c r="AC34" s="58"/>
      <c r="AD34" s="58"/>
      <c r="AF34" s="62"/>
    </row>
    <row r="36" spans="1:32" x14ac:dyDescent="0.2">
      <c r="D36" t="s">
        <v>110</v>
      </c>
      <c r="N36" t="s">
        <v>119</v>
      </c>
    </row>
    <row r="37" spans="1:32" x14ac:dyDescent="0.2">
      <c r="A37" s="9" t="s">
        <v>105</v>
      </c>
      <c r="B37" s="58">
        <f>SUM(C4:C33)+SUM(E4:E33)+SUM(G4:G33) +SUM(I4:I33)</f>
        <v>42936.861491000003</v>
      </c>
      <c r="D37">
        <f>B37/COUNTA(A4:A33)</f>
        <v>1431.2287163666667</v>
      </c>
      <c r="F37" t="s">
        <v>111</v>
      </c>
      <c r="N37">
        <f>SUM(M4:M33)/30</f>
        <v>46.476666666666681</v>
      </c>
    </row>
    <row r="38" spans="1:32" x14ac:dyDescent="0.2">
      <c r="A38" s="9" t="s">
        <v>106</v>
      </c>
      <c r="B38" s="58">
        <f>SUM(G4:G22)+SUM(E4:E5)+SUM(G24)+SUM(I4:I33)</f>
        <v>17402.140931000002</v>
      </c>
      <c r="D38">
        <f>B38/COUNTA(A5:A34)</f>
        <v>600.07382520689657</v>
      </c>
      <c r="F38" t="s">
        <v>114</v>
      </c>
      <c r="P38">
        <f>D37/300</f>
        <v>4.7707623878888894</v>
      </c>
      <c r="Q38" t="s">
        <v>115</v>
      </c>
    </row>
    <row r="39" spans="1:32" x14ac:dyDescent="0.2">
      <c r="A39" s="9" t="s">
        <v>107</v>
      </c>
      <c r="B39">
        <f>(B38/B37)*100</f>
        <v>40.529606325901732</v>
      </c>
      <c r="F39">
        <f>34+33+32</f>
        <v>99</v>
      </c>
      <c r="G39" t="s">
        <v>112</v>
      </c>
    </row>
    <row r="40" spans="1:32" x14ac:dyDescent="0.2">
      <c r="F40">
        <f>137+102+66</f>
        <v>305</v>
      </c>
    </row>
    <row r="41" spans="1:32" x14ac:dyDescent="0.2">
      <c r="F41">
        <v>19</v>
      </c>
      <c r="P41">
        <f>SUM(P29:P33)/5</f>
        <v>6.5936830353390405</v>
      </c>
    </row>
    <row r="42" spans="1:32" ht="20" x14ac:dyDescent="0.2">
      <c r="F42" s="87">
        <f>48+44+32</f>
        <v>124</v>
      </c>
    </row>
    <row r="43" spans="1:32" x14ac:dyDescent="0.2">
      <c r="F43">
        <f>F42/F41</f>
        <v>6.5263157894736841</v>
      </c>
      <c r="G43" t="s">
        <v>113</v>
      </c>
    </row>
  </sheetData>
  <mergeCells count="5">
    <mergeCell ref="B1:H1"/>
    <mergeCell ref="B2:C2"/>
    <mergeCell ref="D2:E2"/>
    <mergeCell ref="F2:G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1:Z43"/>
  <sheetViews>
    <sheetView workbookViewId="0">
      <selection activeCell="A2" sqref="A2"/>
    </sheetView>
  </sheetViews>
  <sheetFormatPr baseColWidth="10" defaultRowHeight="16" x14ac:dyDescent="0.2"/>
  <cols>
    <col min="1" max="1" width="15.83203125" style="9" customWidth="1"/>
    <col min="2" max="2" width="10.1640625" customWidth="1"/>
    <col min="3" max="3" width="10.6640625" customWidth="1"/>
    <col min="4" max="4" width="10.1640625" customWidth="1"/>
    <col min="5" max="5" width="9.5" customWidth="1"/>
    <col min="6" max="6" width="11.33203125" customWidth="1"/>
    <col min="7" max="7" width="8.33203125" customWidth="1"/>
    <col min="8" max="8" width="10.6640625" customWidth="1"/>
    <col min="9" max="9" width="9.83203125" customWidth="1"/>
    <col min="10" max="10" width="25.1640625" customWidth="1"/>
    <col min="11" max="12" width="10.83203125" customWidth="1"/>
    <col min="13" max="13" width="18.1640625" customWidth="1"/>
    <col min="14" max="14" width="14.83203125" customWidth="1"/>
    <col min="17" max="17" width="11.33203125" customWidth="1"/>
  </cols>
  <sheetData>
    <row r="1" spans="1:26" x14ac:dyDescent="0.2">
      <c r="B1" s="93" t="s">
        <v>31</v>
      </c>
      <c r="C1" s="93"/>
      <c r="D1" s="93"/>
      <c r="E1" s="93"/>
      <c r="F1" s="93"/>
      <c r="G1" s="93"/>
      <c r="H1" s="93"/>
      <c r="I1" s="7"/>
    </row>
    <row r="2" spans="1:26" ht="17" x14ac:dyDescent="0.2">
      <c r="B2" s="93" t="s">
        <v>27</v>
      </c>
      <c r="C2" s="93"/>
      <c r="D2" s="93" t="s">
        <v>28</v>
      </c>
      <c r="E2" s="93"/>
      <c r="F2" s="93" t="s">
        <v>29</v>
      </c>
      <c r="G2" s="93"/>
      <c r="H2" s="94" t="s">
        <v>30</v>
      </c>
      <c r="I2" s="94"/>
      <c r="J2" s="62"/>
      <c r="K2" s="7" t="s">
        <v>27</v>
      </c>
      <c r="L2" s="7"/>
      <c r="M2" s="7"/>
      <c r="N2" s="61"/>
      <c r="O2" s="7" t="s">
        <v>28</v>
      </c>
      <c r="P2" s="7"/>
      <c r="Q2" s="7"/>
      <c r="R2" s="61"/>
      <c r="S2" s="7" t="s">
        <v>29</v>
      </c>
      <c r="T2" s="7"/>
      <c r="U2" s="7"/>
      <c r="V2" s="61"/>
      <c r="W2" s="7" t="s">
        <v>30</v>
      </c>
      <c r="X2" s="7"/>
      <c r="Y2" s="7"/>
      <c r="Z2" s="61"/>
    </row>
    <row r="3" spans="1:26" ht="34" x14ac:dyDescent="0.2">
      <c r="A3" s="7" t="s">
        <v>0</v>
      </c>
      <c r="B3" s="7" t="s">
        <v>73</v>
      </c>
      <c r="C3" s="7" t="s">
        <v>104</v>
      </c>
      <c r="D3" s="7" t="s">
        <v>73</v>
      </c>
      <c r="E3" s="7" t="s">
        <v>104</v>
      </c>
      <c r="F3" s="7" t="s">
        <v>73</v>
      </c>
      <c r="G3" s="7" t="s">
        <v>104</v>
      </c>
      <c r="H3" s="7" t="s">
        <v>73</v>
      </c>
      <c r="I3" s="7" t="s">
        <v>104</v>
      </c>
      <c r="J3" s="59" t="s">
        <v>90</v>
      </c>
      <c r="K3" s="7" t="s">
        <v>87</v>
      </c>
      <c r="L3" s="61" t="s">
        <v>89</v>
      </c>
      <c r="M3" s="7" t="s">
        <v>88</v>
      </c>
      <c r="N3" s="61" t="s">
        <v>89</v>
      </c>
      <c r="O3" s="7" t="s">
        <v>87</v>
      </c>
      <c r="P3" s="61" t="s">
        <v>89</v>
      </c>
      <c r="Q3" s="7" t="s">
        <v>88</v>
      </c>
      <c r="R3" s="61" t="s">
        <v>89</v>
      </c>
      <c r="S3" s="7" t="s">
        <v>87</v>
      </c>
      <c r="T3" s="61" t="s">
        <v>89</v>
      </c>
      <c r="U3" s="7" t="s">
        <v>88</v>
      </c>
      <c r="V3" s="61" t="s">
        <v>89</v>
      </c>
      <c r="W3" s="7" t="s">
        <v>87</v>
      </c>
      <c r="X3" s="61" t="s">
        <v>89</v>
      </c>
      <c r="Y3" s="7" t="s">
        <v>88</v>
      </c>
      <c r="Z3" s="61" t="s">
        <v>89</v>
      </c>
    </row>
    <row r="4" spans="1:26" x14ac:dyDescent="0.2">
      <c r="A4" s="9">
        <v>50</v>
      </c>
      <c r="B4" s="5">
        <f>(Stage4to1!J2+Stage3to1!J2+Stage2to1!J2+Stage1to1!J2)/(Stage4to1!F2+Stage3to1!F2+Stage2to1!F2+Stage1to1!F2)</f>
        <v>5.4139755153646663</v>
      </c>
      <c r="C4" s="5">
        <f>Stage4to1!F2+Stage3to1!F2+Stage2to1!F2+Stage1to1!F2</f>
        <v>83.160968999999994</v>
      </c>
      <c r="D4" s="5">
        <f>(Stage4to1!K2+Stage3to1!K2+Stage2to1!K2+Stage1to1!K2+Stage4to2!K2+Stage3to2!K2+Stage2to2!K2)/(Stage4to1!G2+Stage3to1!G2+Stage2to1!G2+Stage1to1!G2+Stage4to2!G2+Stage3to2!G2+Stage2to2!G2)</f>
        <v>3.3643994024192465</v>
      </c>
      <c r="E4" s="80">
        <f>Stage4to1!G2+Stage3to1!G2+Stage2to1!G2+Stage1to1!G2+Stage4to2!G2+Stage3to2!G2+Stage2to2!G2</f>
        <v>67.108587</v>
      </c>
      <c r="F4" s="5">
        <f>(Stage4to1!L2+Stage3to1!L2+Stage2to1!L2+Stage1to1!L2+Stage4to2!L2+Stage3to2!L2+Stage2to2!L2+Stage4to3!L2+Stage3to3!L2)/(Stage4to1!H2+Stage3to1!H2+Stage2to1!H2+Stage1to1!H2+Stage4to2!H2+Stage3to2!H2+Stage2to2!H2+Stage4to3!H2+Stage3to3!H2)</f>
        <v>1.9314957049018051</v>
      </c>
      <c r="G4" s="81">
        <f>Stage4to1!H2+Stage3to1!H2+Stage2to1!H2+Stage1to1!H2+Stage4to2!H2+Stage3to2!H2+Stage2to2!H2+Stage4to3!H2+Stage3to3!H2</f>
        <v>74.421464999999998</v>
      </c>
      <c r="H4" s="5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0.77499480589087244</v>
      </c>
      <c r="I4" s="83">
        <f>Stage4to1!I2+Stage3to1!I2+Stage2to1!I2+Stage1to1!I2+Stage4to2!I2+Stage3to2!I2+Stage2to2!I2+Stage4to3!I2+Stage3to3!I2+Stage4to4!I2</f>
        <v>83.026750000000007</v>
      </c>
      <c r="J4" s="60">
        <v>15.926122000508569</v>
      </c>
      <c r="K4" s="58">
        <f t="shared" ref="K4:K33" si="0">J4-B4</f>
        <v>10.512146485143901</v>
      </c>
      <c r="L4" s="79">
        <f>IF(K4&lt;12,1,IF(K4&lt;18,1.2,1.7))</f>
        <v>1</v>
      </c>
      <c r="M4">
        <f t="shared" ref="M4:M33" si="1">K4/J4</f>
        <v>0.66005688546202379</v>
      </c>
      <c r="N4" s="62">
        <f>IF(M4&lt;0.85,1,IF(M4&lt;0.95,1.2,1.7))</f>
        <v>1</v>
      </c>
      <c r="O4" s="58">
        <f t="shared" ref="O4:O33" si="2">J4-D4</f>
        <v>12.561722598089322</v>
      </c>
      <c r="P4" s="80">
        <f>IF(O4&lt;12,1,IF(O4&lt;18,1.2,1.7))</f>
        <v>1.2</v>
      </c>
      <c r="Q4">
        <f t="shared" ref="Q4:Q33" si="3">O4/$J4</f>
        <v>0.78874961510957842</v>
      </c>
      <c r="R4" s="62">
        <f>IF(Q4&lt;0.85,1,IF(Q4&lt;0.95,1.2,1.7))</f>
        <v>1</v>
      </c>
      <c r="S4" s="58">
        <f t="shared" ref="S4:S33" si="4">J4-F4</f>
        <v>13.994626295606764</v>
      </c>
      <c r="T4" s="80">
        <f>IF(S4&lt;12,1,IF(S4&lt;18,1.2,1.7))</f>
        <v>1.2</v>
      </c>
      <c r="U4">
        <f t="shared" ref="U4:U33" si="5">S4/$J4</f>
        <v>0.87872153027333799</v>
      </c>
      <c r="V4" s="81">
        <f>IF(U4&lt;0.85,1,IF(U4&lt;0.95,1.2,1.7))</f>
        <v>1.2</v>
      </c>
      <c r="W4" s="58">
        <f t="shared" ref="W4:W33" si="6">J4-H4</f>
        <v>15.151127194617697</v>
      </c>
      <c r="X4" s="80">
        <f>IF(W4&lt;12,1,IF(W4&lt;18,1.2,1.7))</f>
        <v>1.2</v>
      </c>
      <c r="Y4">
        <f t="shared" ref="Y4:Y33" si="7">W4/J4</f>
        <v>0.95133813455239613</v>
      </c>
      <c r="Z4" s="83">
        <f>IF(Y4&lt;0.85,1,IF(Y4&lt;0.95,1.2,1.7))</f>
        <v>1.7</v>
      </c>
    </row>
    <row r="5" spans="1:26" x14ac:dyDescent="0.2">
      <c r="A5" s="9">
        <v>51</v>
      </c>
      <c r="B5" s="5">
        <f>(Stage4to1!J3+Stage3to1!J3+Stage2to1!J3+Stage1to1!J3)/(Stage4to1!F3+Stage3to1!F3+Stage2to1!F3+Stage1to1!F3)</f>
        <v>5.411536981224943</v>
      </c>
      <c r="C5" s="5">
        <f>Stage4to1!F3+Stage3to1!F3+Stage2to1!F3+Stage1to1!F3</f>
        <v>83.007363999999995</v>
      </c>
      <c r="D5" s="5">
        <f>(Stage4to1!K3+Stage3to1!K3+Stage2to1!K3+Stage1to1!K3+Stage4to2!K3+Stage3to2!K3+Stage2to2!K3)/(Stage4to1!G3+Stage3to1!G3+Stage2to1!G3+Stage1to1!G3+Stage4to2!G3+Stage3to2!G3+Stage2to2!G3)</f>
        <v>3.3638337369527136</v>
      </c>
      <c r="E5" s="80">
        <f>Stage4to1!G3+Stage3to1!G3+Stage2to1!G3+Stage1to1!G3+Stage4to2!G3+Stage3to2!G3+Stage2to2!G3</f>
        <v>67.052445999999989</v>
      </c>
      <c r="F5" s="5">
        <f>(Stage4to1!L3+Stage3to1!L3+Stage2to1!L3+Stage1to1!L3+Stage4to2!L3+Stage3to2!L3+Stage2to2!L3+Stage4to3!L3+Stage3to3!L3)/(Stage4to1!H3+Stage3to1!H3+Stage2to1!H3+Stage1to1!H3+Stage4to2!H3+Stage3to2!H3+Stage2to2!H3+Stage4to3!H3+Stage3to3!H3)</f>
        <v>1.9313138524572031</v>
      </c>
      <c r="G5" s="81">
        <f>Stage4to1!H3+Stage3to1!H3+Stage2to1!H3+Stage1to1!H3+Stage4to2!H3+Stage3to2!H3+Stage2to2!H3+Stage4to3!H3+Stage3to3!H3</f>
        <v>74.393574000000001</v>
      </c>
      <c r="H5" s="5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0.77499679300906099</v>
      </c>
      <c r="I5" s="83">
        <f>Stage4to1!I3+Stage3to1!I3+Stage2to1!I3+Stage1to1!I3+Stage4to2!I3+Stage3to2!I3+Stage2to2!I3+Stage4to3!I3+Stage3to3!I3+Stage4to4!I3</f>
        <v>83.021749999999997</v>
      </c>
      <c r="J5" s="60">
        <v>15.626546505635281</v>
      </c>
      <c r="K5" s="58">
        <f t="shared" si="0"/>
        <v>10.215009524410338</v>
      </c>
      <c r="L5" s="58">
        <f t="shared" ref="L5:L33" si="8">IF(K5&lt;12,1,IF(K5&lt;18,1.2,1.7))</f>
        <v>1</v>
      </c>
      <c r="M5">
        <f t="shared" si="1"/>
        <v>0.65369590912019993</v>
      </c>
      <c r="N5" s="62">
        <f t="shared" ref="N5:N33" si="9">IF(M5&lt;0.85,1,IF(M5&lt;0.95,1.2,1.7))</f>
        <v>1</v>
      </c>
      <c r="O5" s="58">
        <f t="shared" si="2"/>
        <v>12.262712768682567</v>
      </c>
      <c r="P5" s="80">
        <f>IF(O5&lt;12,1,IF(O5&lt;18,1.2,1.7))</f>
        <v>1.2</v>
      </c>
      <c r="Q5">
        <f t="shared" si="3"/>
        <v>0.78473594688758386</v>
      </c>
      <c r="R5" s="62">
        <f t="shared" ref="R5:R33" si="10">IF(Q5&lt;0.85,1,IF(Q5&lt;0.95,1.2,1.7))</f>
        <v>1</v>
      </c>
      <c r="S5" s="58">
        <f t="shared" si="4"/>
        <v>13.695232653178078</v>
      </c>
      <c r="T5" s="80">
        <f t="shared" ref="T5:T33" si="11">IF(S5&lt;12,1,IF(S5&lt;18,1.2,1.7))</f>
        <v>1.2</v>
      </c>
      <c r="U5">
        <f t="shared" si="5"/>
        <v>0.87640814611464357</v>
      </c>
      <c r="V5" s="81">
        <f t="shared" ref="V5:V33" si="12">IF(U5&lt;0.85,1,IF(U5&lt;0.95,1.2,1.7))</f>
        <v>1.2</v>
      </c>
      <c r="W5" s="58">
        <f t="shared" si="6"/>
        <v>14.85154971262622</v>
      </c>
      <c r="X5" s="80">
        <f t="shared" ref="X5:X33" si="13">IF(W5&lt;12,1,IF(W5&lt;18,1.2,1.7))</f>
        <v>1.2</v>
      </c>
      <c r="Y5">
        <f t="shared" si="7"/>
        <v>0.95040511396874672</v>
      </c>
      <c r="Z5" s="83">
        <f t="shared" ref="Z5:Z33" si="14">IF(Y5&lt;0.85,1,IF(Y5&lt;0.95,1.2,1.7))</f>
        <v>1.7</v>
      </c>
    </row>
    <row r="6" spans="1:26" x14ac:dyDescent="0.2">
      <c r="A6" s="9">
        <v>52</v>
      </c>
      <c r="B6" s="5">
        <f>(Stage4to1!J4+Stage3to1!J4+Stage2to1!J4+Stage1to1!J4)/(Stage4to1!F4+Stage3to1!F4+Stage2to1!F4+Stage1to1!F4)</f>
        <v>5.4088284992905571</v>
      </c>
      <c r="C6" s="5">
        <f>Stage4to1!F4+Stage3to1!F4+Stage2to1!F4+Stage1to1!F4</f>
        <v>82.843185000000005</v>
      </c>
      <c r="D6" s="5">
        <f>(Stage4to1!K4+Stage3to1!K4+Stage2to1!K4+Stage1to1!K4+Stage4to2!K4+Stage3to2!K4+Stage2to2!K4)/(Stage4to1!G4+Stage3to1!G4+Stage2to1!G4+Stage1to1!G4+Stage4to2!G4+Stage3to2!G4+Stage2to2!G4)</f>
        <v>3.363192111545998</v>
      </c>
      <c r="E6" s="58">
        <f>Stage4to1!G4+Stage3to1!G4+Stage2to1!G4+Stage1to1!G4+Stage4to2!G4+Stage3to2!G4+Stage2to2!G4</f>
        <v>66.994927000000004</v>
      </c>
      <c r="F6" s="5">
        <f>(Stage4to1!L4+Stage3to1!L4+Stage2to1!L4+Stage1to1!L4+Stage4to2!L4+Stage3to2!L4+Stage2to2!L4+Stage4to3!L4+Stage3to3!L4)/(Stage4to1!H4+Stage3to1!H4+Stage2to1!H4+Stage1to1!H4+Stage4to2!H4+Stage3to2!H4+Stage2to2!H4+Stage4to3!H4+Stage3to3!H4)</f>
        <v>1.9311247829695968</v>
      </c>
      <c r="G6" s="81">
        <f>Stage4to1!H4+Stage3to1!H4+Stage2to1!H4+Stage1to1!H4+Stage4to2!H4+Stage3to2!H4+Stage2to2!H4+Stage4to3!H4+Stage3to3!H4</f>
        <v>74.365733000000006</v>
      </c>
      <c r="H6" s="5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0.77499887372113141</v>
      </c>
      <c r="I6" s="82">
        <f>Stage4to1!I4+Stage3to1!I4+Stage2to1!I4+Stage1to1!I4+Stage4to2!I4+Stage3to2!I4+Stage2to2!I4+Stage4to3!I4+Stage3to3!I4+Stage4to4!I4</f>
        <v>83.016739999999999</v>
      </c>
      <c r="J6" s="60">
        <v>15.322131149663623</v>
      </c>
      <c r="K6" s="58">
        <f t="shared" si="0"/>
        <v>9.9133026503730655</v>
      </c>
      <c r="L6" s="58">
        <f t="shared" si="8"/>
        <v>1</v>
      </c>
      <c r="M6">
        <f t="shared" si="1"/>
        <v>0.64699241597280666</v>
      </c>
      <c r="N6" s="62">
        <f t="shared" si="9"/>
        <v>1</v>
      </c>
      <c r="O6" s="58">
        <f t="shared" si="2"/>
        <v>11.958939038117624</v>
      </c>
      <c r="P6" s="58">
        <f t="shared" ref="P6:P33" si="15">IF(O6&lt;12,1,IF(O6&lt;18,1.2,1.7))</f>
        <v>1</v>
      </c>
      <c r="Q6">
        <f t="shared" si="3"/>
        <v>0.78050102308256031</v>
      </c>
      <c r="R6" s="62">
        <f t="shared" si="10"/>
        <v>1</v>
      </c>
      <c r="S6" s="58">
        <f t="shared" si="4"/>
        <v>13.391006366694025</v>
      </c>
      <c r="T6" s="80">
        <f t="shared" si="11"/>
        <v>1.2</v>
      </c>
      <c r="U6">
        <f t="shared" si="5"/>
        <v>0.87396500107545472</v>
      </c>
      <c r="V6" s="81">
        <f t="shared" si="12"/>
        <v>1.2</v>
      </c>
      <c r="W6" s="58">
        <f t="shared" si="6"/>
        <v>14.547132275942491</v>
      </c>
      <c r="X6" s="80">
        <f t="shared" si="13"/>
        <v>1.2</v>
      </c>
      <c r="Y6">
        <f t="shared" si="7"/>
        <v>0.94941964233623299</v>
      </c>
      <c r="Z6" s="82">
        <f t="shared" si="14"/>
        <v>1.2</v>
      </c>
    </row>
    <row r="7" spans="1:26" x14ac:dyDescent="0.2">
      <c r="A7" s="9">
        <v>53</v>
      </c>
      <c r="B7" s="5">
        <f>(Stage4to1!J5+Stage3to1!J5+Stage2to1!J5+Stage1to1!J5)/(Stage4to1!F5+Stage3to1!F5+Stage2to1!F5+Stage1to1!F5)</f>
        <v>5.4058427348394238</v>
      </c>
      <c r="C7" s="5">
        <f>Stage4to1!F5+Stage3to1!F5+Stage2to1!F5+Stage1to1!F5</f>
        <v>82.665123999999992</v>
      </c>
      <c r="D7" s="5">
        <f>(Stage4to1!K5+Stage3to1!K5+Stage2to1!K5+Stage1to1!K5+Stage4to2!K5+Stage3to2!K5+Stage2to2!K5)/(Stage4to1!G5+Stage3to1!G5+Stage2to1!G5+Stage1to1!G5+Stage4to2!G5+Stage3to2!G5+Stage2to2!G5)</f>
        <v>3.3624476466973752</v>
      </c>
      <c r="E7" s="58">
        <f>Stage4to1!G5+Stage3to1!G5+Stage2to1!G5+Stage1to1!G5+Stage4to2!G5+Stage3to2!G5+Stage2to2!G5</f>
        <v>66.934888999999998</v>
      </c>
      <c r="F7" s="5">
        <f>(Stage4to1!L5+Stage3to1!L5+Stage2to1!L5+Stage1to1!L5+Stage4to2!L5+Stage3to2!L5+Stage2to2!L5+Stage4to3!L5+Stage3to3!L5)/(Stage4to1!H5+Stage3to1!H5+Stage2to1!H5+Stage1to1!H5+Stage4to2!H5+Stage3to2!H5+Stage2to2!H5+Stage4to3!H5+Stage3to3!H5)</f>
        <v>1.9308954547944936</v>
      </c>
      <c r="G7" s="81">
        <f>Stage4to1!H5+Stage3to1!H5+Stage2to1!H5+Stage1to1!H5+Stage4to2!H5+Stage3to2!H5+Stage2to2!H5+Stage4to3!H5+Stage3to3!H5</f>
        <v>74.340290999999993</v>
      </c>
      <c r="H7" s="5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0.7750005511193625</v>
      </c>
      <c r="I7" s="82">
        <f>Stage4to1!I5+Stage3to1!I5+Stage2to1!I5+Stage1to1!I5+Stage4to2!I5+Stage3to2!I5+Stage2to2!I5+Stage4to3!I5+Stage3to3!I5+Stage4to4!I5</f>
        <v>83.012870000000007</v>
      </c>
      <c r="J7" s="60">
        <v>15.012754432058637</v>
      </c>
      <c r="K7" s="58">
        <f t="shared" si="0"/>
        <v>9.6069116972192141</v>
      </c>
      <c r="L7" s="58">
        <f t="shared" si="8"/>
        <v>1</v>
      </c>
      <c r="M7">
        <f t="shared" si="1"/>
        <v>0.63991666157573046</v>
      </c>
      <c r="N7" s="62">
        <f t="shared" si="9"/>
        <v>1</v>
      </c>
      <c r="O7" s="58">
        <f t="shared" si="2"/>
        <v>11.650306785361263</v>
      </c>
      <c r="P7" s="58">
        <f t="shared" si="15"/>
        <v>1</v>
      </c>
      <c r="Q7">
        <f t="shared" si="3"/>
        <v>0.77602726655428977</v>
      </c>
      <c r="R7" s="62">
        <f t="shared" si="10"/>
        <v>1</v>
      </c>
      <c r="S7" s="58">
        <f t="shared" si="4"/>
        <v>13.081858977264144</v>
      </c>
      <c r="T7" s="80">
        <f>IF(S7&lt;12,1,IF(S7&lt;18,1.2,1.7))</f>
        <v>1.2</v>
      </c>
      <c r="U7">
        <f t="shared" si="5"/>
        <v>0.87138299880059267</v>
      </c>
      <c r="V7" s="81">
        <f t="shared" si="12"/>
        <v>1.2</v>
      </c>
      <c r="W7" s="58">
        <f t="shared" si="6"/>
        <v>14.237753880939275</v>
      </c>
      <c r="X7" s="80">
        <f t="shared" si="13"/>
        <v>1.2</v>
      </c>
      <c r="Y7">
        <f t="shared" si="7"/>
        <v>0.94837719123251596</v>
      </c>
      <c r="Z7" s="82">
        <f t="shared" si="14"/>
        <v>1.2</v>
      </c>
    </row>
    <row r="8" spans="1:26" x14ac:dyDescent="0.2">
      <c r="A8" s="9">
        <v>54</v>
      </c>
      <c r="B8" s="5">
        <f>(Stage4to1!J6+Stage3to1!J6+Stage2to1!J6+Stage1to1!J6)/(Stage4to1!F6+Stage3to1!F6+Stage2to1!F6+Stage1to1!F6)</f>
        <v>5.4026471649597179</v>
      </c>
      <c r="C8" s="5">
        <f>Stage4to1!F6+Stage3to1!F6+Stage2to1!F6+Stage1to1!F6</f>
        <v>82.457875999999999</v>
      </c>
      <c r="D8" s="5">
        <f>(Stage4to1!K6+Stage3to1!K6+Stage2to1!K6+Stage1to1!K6+Stage4to2!K6+Stage3to2!K6+Stage2to2!K6)/(Stage4to1!G6+Stage3to1!G6+Stage2to1!G6+Stage1to1!G6+Stage4to2!G6+Stage3to2!G6+Stage2to2!G6)</f>
        <v>3.3616484359569965</v>
      </c>
      <c r="E8" s="58">
        <f>Stage4to1!G6+Stage3to1!G6+Stage2to1!G6+Stage1to1!G6+Stage4to2!G6+Stage3to2!G6+Stage2to2!G6</f>
        <v>66.859255000000005</v>
      </c>
      <c r="F8" s="5">
        <f>(Stage4to1!L6+Stage3to1!L6+Stage2to1!L6+Stage1to1!L6+Stage4to2!L6+Stage3to2!L6+Stage2to2!L6+Stage4to3!L6+Stage3to3!L6)/(Stage4to1!H6+Stage3to1!H6+Stage2to1!H6+Stage1to1!H6+Stage4to2!H6+Stage3to2!H6+Stage2to2!H6+Stage4to3!H6+Stage3to3!H6)</f>
        <v>1.9306493222119485</v>
      </c>
      <c r="G8" s="81">
        <f>Stage4to1!H6+Stage3to1!H6+Stage2to1!H6+Stage1to1!H6+Stage4to2!H6+Stage3to2!H6+Stage2to2!H6+Stage4to3!H6+Stage3to3!H6</f>
        <v>74.303094999999999</v>
      </c>
      <c r="H8" s="5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0.77500340637246445</v>
      </c>
      <c r="I8" s="82">
        <f>Stage4to1!I6+Stage3to1!I6+Stage2to1!I6+Stage1to1!I6+Stage4to2!I6+Stage3to2!I6+Stage2to2!I6+Stage4to3!I6+Stage3to3!I6+Stage4to4!I6</f>
        <v>83.006190000000004</v>
      </c>
      <c r="J8" s="60">
        <v>14.697495065074159</v>
      </c>
      <c r="K8" s="58">
        <f t="shared" si="0"/>
        <v>9.2948479001144406</v>
      </c>
      <c r="L8" s="58">
        <f t="shared" si="8"/>
        <v>1</v>
      </c>
      <c r="M8">
        <f t="shared" si="1"/>
        <v>0.63241034332455082</v>
      </c>
      <c r="N8" s="62">
        <f t="shared" si="9"/>
        <v>1</v>
      </c>
      <c r="O8" s="58">
        <f t="shared" si="2"/>
        <v>11.335846629117164</v>
      </c>
      <c r="P8" s="58">
        <f t="shared" si="15"/>
        <v>1</v>
      </c>
      <c r="Q8">
        <f t="shared" si="3"/>
        <v>0.77127745775228573</v>
      </c>
      <c r="R8" s="62">
        <f t="shared" si="10"/>
        <v>1</v>
      </c>
      <c r="S8" s="58">
        <f t="shared" si="4"/>
        <v>12.766845742862211</v>
      </c>
      <c r="T8" s="80">
        <f t="shared" si="11"/>
        <v>1.2</v>
      </c>
      <c r="U8">
        <f t="shared" si="5"/>
        <v>0.86864092733735465</v>
      </c>
      <c r="V8" s="81">
        <f t="shared" si="12"/>
        <v>1.2</v>
      </c>
      <c r="W8" s="58">
        <f t="shared" si="6"/>
        <v>13.922491658701695</v>
      </c>
      <c r="X8" s="80">
        <f t="shared" si="13"/>
        <v>1.2</v>
      </c>
      <c r="Y8">
        <f t="shared" si="7"/>
        <v>0.94726969439750897</v>
      </c>
      <c r="Z8" s="82">
        <f t="shared" si="14"/>
        <v>1.2</v>
      </c>
    </row>
    <row r="9" spans="1:26" x14ac:dyDescent="0.2">
      <c r="A9" s="9">
        <v>55</v>
      </c>
      <c r="B9" s="5">
        <f>(Stage4to1!J7+Stage3to1!J7+Stage2to1!J7+Stage1to1!J7)/(Stage4to1!F7+Stage3to1!F7+Stage2to1!F7+Stage1to1!F7)</f>
        <v>4.889940110612395</v>
      </c>
      <c r="C9" s="5">
        <f>Stage4to1!F7+Stage3to1!F7+Stage2to1!F7+Stage1to1!F7</f>
        <v>160.10683</v>
      </c>
      <c r="D9" s="5">
        <f>(Stage4to1!K7+Stage3to1!K7+Stage2to1!K7+Stage1to1!K7+Stage4to2!K7+Stage3to2!K7+Stage2to2!K7)/(Stage4to1!G7+Stage3to1!G7+Stage2to1!G7+Stage1to1!G7+Stage4to2!G7+Stage3to2!G7+Stage2to2!G7)</f>
        <v>3.0963828584049953</v>
      </c>
      <c r="E9" s="58">
        <f>Stage4to1!G7+Stage3to1!G7+Stage2to1!G7+Stage1to1!G7+Stage4to2!G7+Stage3to2!G7+Stage2to2!G7</f>
        <v>137.36777699999999</v>
      </c>
      <c r="F9" s="5">
        <f>(Stage4to1!L7+Stage3to1!L7+Stage2to1!L7+Stage1to1!L7+Stage4to2!L7+Stage3to2!L7+Stage2to2!L7+Stage4to3!L7+Stage3to3!L7)/(Stage4to1!H7+Stage3to1!H7+Stage2to1!H7+Stage1to1!H7+Stage4to2!H7+Stage3to2!H7+Stage2to2!H7+Stage4to3!H7+Stage3to3!H7)</f>
        <v>1.6412506579799759</v>
      </c>
      <c r="G9" s="81">
        <f>Stage4to1!H7+Stage3to1!H7+Stage2to1!H7+Stage1to1!H7+Stage4to2!H7+Stage3to2!H7+Stage2to2!H7+Stage4to3!H7+Stage3to3!H7</f>
        <v>153.89336100000003</v>
      </c>
      <c r="H9" s="5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0.51606394701863612</v>
      </c>
      <c r="I9" s="83">
        <f>Stage4to1!I7+Stage3to1!I7+Stage2to1!I7+Stage1to1!I7+Stage4to2!I7+Stage3to2!I7+Stage2to2!I7+Stage4to3!I7+Stage3to3!I7+Stage4to4!I7</f>
        <v>168.21612999999999</v>
      </c>
      <c r="J9" s="60">
        <v>14.376846049254485</v>
      </c>
      <c r="K9" s="58">
        <f t="shared" si="0"/>
        <v>9.4869059386420904</v>
      </c>
      <c r="L9" s="58">
        <f t="shared" si="8"/>
        <v>1</v>
      </c>
      <c r="M9">
        <f t="shared" si="1"/>
        <v>0.65987393244250792</v>
      </c>
      <c r="N9" s="62">
        <f t="shared" si="9"/>
        <v>1</v>
      </c>
      <c r="O9" s="58">
        <f t="shared" si="2"/>
        <v>11.28046319084949</v>
      </c>
      <c r="P9" s="58">
        <f t="shared" si="15"/>
        <v>1</v>
      </c>
      <c r="Q9">
        <f t="shared" si="3"/>
        <v>0.78462711169077592</v>
      </c>
      <c r="R9" s="62">
        <f t="shared" si="10"/>
        <v>1</v>
      </c>
      <c r="S9" s="58">
        <f t="shared" si="4"/>
        <v>12.73559539127451</v>
      </c>
      <c r="T9" s="80">
        <f t="shared" si="11"/>
        <v>1.2</v>
      </c>
      <c r="U9">
        <f t="shared" si="5"/>
        <v>0.88584070161444883</v>
      </c>
      <c r="V9" s="81">
        <f t="shared" si="12"/>
        <v>1.2</v>
      </c>
      <c r="W9" s="58">
        <f t="shared" si="6"/>
        <v>13.860782102235849</v>
      </c>
      <c r="X9" s="80">
        <f t="shared" si="13"/>
        <v>1.2</v>
      </c>
      <c r="Y9">
        <f t="shared" si="7"/>
        <v>0.96410450906613154</v>
      </c>
      <c r="Z9" s="83">
        <f t="shared" si="14"/>
        <v>1.7</v>
      </c>
    </row>
    <row r="10" spans="1:26" x14ac:dyDescent="0.2">
      <c r="A10" s="9">
        <v>56</v>
      </c>
      <c r="B10" s="5">
        <f>(Stage4to1!J8+Stage3to1!J8+Stage2to1!J8+Stage1to1!J8)/(Stage4to1!F8+Stage3to1!F8+Stage2to1!F8+Stage1to1!F8)</f>
        <v>4.8863547688063083</v>
      </c>
      <c r="C10" s="5">
        <f>Stage4to1!F8+Stage3to1!F8+Stage2to1!F8+Stage1to1!F8</f>
        <v>159.67295600000003</v>
      </c>
      <c r="D10" s="5">
        <f>(Stage4to1!K8+Stage3to1!K8+Stage2to1!K8+Stage1to1!K8+Stage4to2!K8+Stage3to2!K8+Stage2to2!K8)/(Stage4to1!G8+Stage3to1!G8+Stage2to1!G8+Stage1to1!G8+Stage4to2!G8+Stage3to2!G8+Stage2to2!G8)</f>
        <v>3.0954621157050153</v>
      </c>
      <c r="E10" s="58">
        <f>Stage4to1!G8+Stage3to1!G8+Stage2to1!G8+Stage1to1!G8+Stage4to2!G8+Stage3to2!G8+Stage2to2!G8</f>
        <v>137.201537</v>
      </c>
      <c r="F10" s="5">
        <f>(Stage4to1!L8+Stage3to1!L8+Stage2to1!L8+Stage1to1!L8+Stage4to2!L8+Stage3to2!L8+Stage2to2!L8+Stage4to3!L8+Stage3to3!L8)/(Stage4to1!H8+Stage3to1!H8+Stage2to1!H8+Stage1to1!H8+Stage4to2!H8+Stage3to2!H8+Stage2to2!H8+Stage4to3!H8+Stage3to3!H8)</f>
        <v>1.6409388470774193</v>
      </c>
      <c r="G10" s="81">
        <f>Stage4to1!H8+Stage3to1!H8+Stage2to1!H8+Stage1to1!H8+Stage4to2!H8+Stage3to2!H8+Stage2to2!H8+Stage4to3!H8+Stage3to3!H8</f>
        <v>153.82143000000002</v>
      </c>
      <c r="H10" s="5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0.51606554979505659</v>
      </c>
      <c r="I10" s="83">
        <f>Stage4to1!I8+Stage3to1!I8+Stage2to1!I8+Stage1to1!I8+Stage4to2!I8+Stage3to2!I8+Stage2to2!I8+Stage4to3!I8+Stage3to3!I8+Stage4to4!I8</f>
        <v>168.20495</v>
      </c>
      <c r="J10" s="60">
        <v>14.051780177708862</v>
      </c>
      <c r="K10" s="58">
        <f t="shared" si="0"/>
        <v>9.1654254089025535</v>
      </c>
      <c r="L10" s="58">
        <f t="shared" si="8"/>
        <v>1</v>
      </c>
      <c r="M10">
        <f t="shared" si="1"/>
        <v>0.65226080204714487</v>
      </c>
      <c r="N10" s="62">
        <f t="shared" si="9"/>
        <v>1</v>
      </c>
      <c r="O10" s="58">
        <f t="shared" si="2"/>
        <v>10.956318062003847</v>
      </c>
      <c r="P10" s="58">
        <f t="shared" si="15"/>
        <v>1</v>
      </c>
      <c r="Q10">
        <f t="shared" si="3"/>
        <v>0.77971032306529231</v>
      </c>
      <c r="R10" s="62">
        <f t="shared" si="10"/>
        <v>1</v>
      </c>
      <c r="S10" s="58">
        <f t="shared" si="4"/>
        <v>12.410841330631442</v>
      </c>
      <c r="T10" s="80">
        <f t="shared" si="11"/>
        <v>1.2</v>
      </c>
      <c r="U10">
        <f t="shared" si="5"/>
        <v>0.88322199562440251</v>
      </c>
      <c r="V10" s="81">
        <f t="shared" si="12"/>
        <v>1.2</v>
      </c>
      <c r="W10" s="58">
        <f t="shared" si="6"/>
        <v>13.535714627913805</v>
      </c>
      <c r="X10" s="80">
        <f t="shared" si="13"/>
        <v>1.2</v>
      </c>
      <c r="Y10">
        <f t="shared" si="7"/>
        <v>0.96327400918114836</v>
      </c>
      <c r="Z10" s="83">
        <f t="shared" si="14"/>
        <v>1.7</v>
      </c>
    </row>
    <row r="11" spans="1:26" x14ac:dyDescent="0.2">
      <c r="A11" s="9">
        <v>57</v>
      </c>
      <c r="B11" s="5">
        <f>(Stage4to1!J9+Stage3to1!J9+Stage2to1!J9+Stage1to1!J9)/(Stage4to1!F9+Stage3to1!F9+Stage2to1!F9+Stage1to1!F9)</f>
        <v>4.8825314442416969</v>
      </c>
      <c r="C11" s="5">
        <f>Stage4to1!F9+Stage3to1!F9+Stage2to1!F9+Stage1to1!F9</f>
        <v>159.17604400000002</v>
      </c>
      <c r="D11" s="5">
        <f>(Stage4to1!K9+Stage3to1!K9+Stage2to1!K9+Stage1to1!K9+Stage4to2!K9+Stage3to2!K9+Stage2to2!K9)/(Stage4to1!G9+Stage3to1!G9+Stage2to1!G9+Stage1to1!G9+Stage4to2!G9+Stage3to2!G9+Stage2to2!G9)</f>
        <v>3.0945243714586925</v>
      </c>
      <c r="E11" s="58">
        <f>Stage4to1!G9+Stage3to1!G9+Stage2to1!G9+Stage1to1!G9+Stage4to2!G9+Stage3to2!G9+Stage2to2!G9</f>
        <v>136.994775</v>
      </c>
      <c r="F11" s="5">
        <f>(Stage4to1!L9+Stage3to1!L9+Stage2to1!L9+Stage1to1!L9+Stage4to2!L9+Stage3to2!L9+Stage2to2!L9+Stage4to3!L9+Stage3to3!L9)/(Stage4to1!H9+Stage3to1!H9+Stage2to1!H9+Stage1to1!H9+Stage4to2!H9+Stage3to2!H9+Stage2to2!H9+Stage4to3!H9+Stage3to3!H9)</f>
        <v>1.6405745915375971</v>
      </c>
      <c r="G11" s="81">
        <f>Stage4to1!H9+Stage3to1!H9+Stage2to1!H9+Stage1to1!H9+Stage4to2!H9+Stage3to2!H9+Stage2to2!H9+Stage4to3!H9+Stage3to3!H9</f>
        <v>153.72387900000001</v>
      </c>
      <c r="H11" s="5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0.51606778779038986</v>
      </c>
      <c r="I11" s="83">
        <f>Stage4to1!I9+Stage3to1!I9+Stage2to1!I9+Stage1to1!I9+Stage4to2!I9+Stage3to2!I9+Stage2to2!I9+Stage4to3!I9+Stage3to3!I9+Stage4to4!I9</f>
        <v>168.18898999999999</v>
      </c>
      <c r="J11" s="60">
        <v>13.723301505379617</v>
      </c>
      <c r="K11" s="58">
        <f t="shared" si="0"/>
        <v>8.8407700611379205</v>
      </c>
      <c r="L11" s="58">
        <f t="shared" si="8"/>
        <v>1</v>
      </c>
      <c r="M11">
        <f t="shared" si="1"/>
        <v>0.6442159751188361</v>
      </c>
      <c r="N11" s="62">
        <f t="shared" si="9"/>
        <v>1</v>
      </c>
      <c r="O11" s="58">
        <f t="shared" si="2"/>
        <v>10.628777133920924</v>
      </c>
      <c r="P11" s="58">
        <f t="shared" si="15"/>
        <v>1</v>
      </c>
      <c r="Q11">
        <f t="shared" si="3"/>
        <v>0.77450583809984641</v>
      </c>
      <c r="R11" s="62">
        <f t="shared" si="10"/>
        <v>1</v>
      </c>
      <c r="S11" s="58">
        <f t="shared" si="4"/>
        <v>12.08272691384202</v>
      </c>
      <c r="T11" s="80">
        <f t="shared" si="11"/>
        <v>1.2</v>
      </c>
      <c r="U11">
        <f t="shared" si="5"/>
        <v>0.88045335949993653</v>
      </c>
      <c r="V11" s="81">
        <f t="shared" si="12"/>
        <v>1.2</v>
      </c>
      <c r="W11" s="58">
        <f t="shared" si="6"/>
        <v>13.207233717589226</v>
      </c>
      <c r="X11" s="80">
        <f t="shared" si="13"/>
        <v>1.2</v>
      </c>
      <c r="Y11">
        <f t="shared" si="7"/>
        <v>0.96239477886658042</v>
      </c>
      <c r="Z11" s="83">
        <f t="shared" si="14"/>
        <v>1.7</v>
      </c>
    </row>
    <row r="12" spans="1:26" x14ac:dyDescent="0.2">
      <c r="A12" s="9">
        <v>58</v>
      </c>
      <c r="B12" s="5">
        <f>(Stage4to1!J10+Stage3to1!J10+Stage2to1!J10+Stage1to1!J10)/(Stage4to1!F10+Stage3to1!F10+Stage2to1!F10+Stage1to1!F10)</f>
        <v>4.8784032222404896</v>
      </c>
      <c r="C12" s="5">
        <f>Stage4to1!F10+Stage3to1!F10+Stage2to1!F10+Stage1to1!F10</f>
        <v>158.62801100000001</v>
      </c>
      <c r="D12" s="5">
        <f>(Stage4to1!K10+Stage3to1!K10+Stage2to1!K10+Stage1to1!K10+Stage4to2!K10+Stage3to2!K10+Stage2to2!K10)/(Stage4to1!G10+Stage3to1!G10+Stage2to1!G10+Stage1to1!G10+Stage4to2!G10+Stage3to2!G10+Stage2to2!G10)</f>
        <v>3.0936070263796211</v>
      </c>
      <c r="E12" s="58">
        <f>Stage4to1!G10+Stage3to1!G10+Stage2to1!G10+Stage1to1!G10+Stage4to2!G10+Stage3to2!G10+Stage2to2!G10</f>
        <v>136.75446699999998</v>
      </c>
      <c r="F12" s="5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1.6401895940116509</v>
      </c>
      <c r="G12" s="81">
        <f>Stage4to1!H10+Stage3to1!H10+Stage2to1!H10+Stage1to1!H10+Stage4to2!H10+Stage3to2!H10+Stage2to2!H10+Stage4to3!H10+Stage3to3!H10</f>
        <v>153.599999</v>
      </c>
      <c r="H12" s="5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0.51607066869861218</v>
      </c>
      <c r="I12" s="83">
        <f>Stage4to1!I10+Stage3to1!I10+Stage2to1!I10+Stage1to1!I10+Stage4to2!I10+Stage3to2!I10+Stage2to2!I10+Stage4to3!I10+Stage3to3!I10+Stage4to4!I10</f>
        <v>168.16723999999999</v>
      </c>
      <c r="J12" s="60">
        <v>13.390654143540313</v>
      </c>
      <c r="K12" s="58">
        <f t="shared" si="0"/>
        <v>8.5122509212998239</v>
      </c>
      <c r="L12" s="58">
        <f t="shared" si="8"/>
        <v>1</v>
      </c>
      <c r="M12">
        <f t="shared" si="1"/>
        <v>0.63568596649971398</v>
      </c>
      <c r="N12" s="62">
        <f t="shared" si="9"/>
        <v>1</v>
      </c>
      <c r="O12" s="58">
        <f t="shared" si="2"/>
        <v>10.297047117160693</v>
      </c>
      <c r="P12" s="58">
        <f t="shared" si="15"/>
        <v>1</v>
      </c>
      <c r="Q12">
        <f t="shared" si="3"/>
        <v>0.76897267353649146</v>
      </c>
      <c r="R12" s="62">
        <f t="shared" si="10"/>
        <v>1</v>
      </c>
      <c r="S12" s="58">
        <f t="shared" si="4"/>
        <v>11.750464549528662</v>
      </c>
      <c r="T12" s="58">
        <f t="shared" si="11"/>
        <v>1</v>
      </c>
      <c r="U12">
        <f t="shared" si="5"/>
        <v>0.87751236224685236</v>
      </c>
      <c r="V12" s="81">
        <f t="shared" si="12"/>
        <v>1.2</v>
      </c>
      <c r="W12" s="58">
        <f t="shared" si="6"/>
        <v>12.874583474841701</v>
      </c>
      <c r="X12" s="80">
        <f t="shared" si="13"/>
        <v>1.2</v>
      </c>
      <c r="Y12">
        <f t="shared" si="7"/>
        <v>0.96146038399867373</v>
      </c>
      <c r="Z12" s="83">
        <f t="shared" si="14"/>
        <v>1.7</v>
      </c>
    </row>
    <row r="13" spans="1:26" x14ac:dyDescent="0.2">
      <c r="A13" s="9">
        <v>59</v>
      </c>
      <c r="B13" s="5">
        <f>(Stage4to1!J11+Stage3to1!J11+Stage2to1!J11+Stage1to1!J11)/(Stage4to1!F11+Stage3to1!F11+Stage2to1!F11+Stage1to1!F11)</f>
        <v>4.8738860934130006</v>
      </c>
      <c r="C13" s="5">
        <f>Stage4to1!F11+Stage3to1!F11+Stage2to1!F11+Stage1to1!F11</f>
        <v>158.05140400000002</v>
      </c>
      <c r="D13" s="5">
        <f>(Stage4to1!K11+Stage3to1!K11+Stage2to1!K11+Stage1to1!K11+Stage4to2!K11+Stage3to2!K11+Stage2to2!K11)/(Stage4to1!G11+Stage3to1!G11+Stage2to1!G11+Stage1to1!G11+Stage4to2!G11+Stage3to2!G11+Stage2to2!G11)</f>
        <v>3.0926566331020076</v>
      </c>
      <c r="E13" s="58">
        <f>Stage4to1!G11+Stage3to1!G11+Stage2to1!G11+Stage1to1!G11+Stage4to2!G11+Stage3to2!G11+Stage2to2!G11</f>
        <v>136.503298</v>
      </c>
      <c r="F13" s="5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1.6398207592652305</v>
      </c>
      <c r="G13" s="81">
        <f>Stage4to1!H11+Stage3to1!H11+Stage2to1!H11+Stage1to1!H11+Stage4to2!H11+Stage3to2!H11+Stage2to2!H11+Stage4to3!H11+Stage3to3!H11</f>
        <v>153.46355300000002</v>
      </c>
      <c r="H13" s="5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0.51607408046199188</v>
      </c>
      <c r="I13" s="83">
        <f>Stage4to1!I11+Stage3to1!I11+Stage2to1!I11+Stage1to1!I11+Stage4to2!I11+Stage3to2!I11+Stage2to2!I11+Stage4to3!I11+Stage3to3!I11+Stage4to4!I11</f>
        <v>168.14149999999998</v>
      </c>
      <c r="J13" s="60">
        <v>13.054301269697056</v>
      </c>
      <c r="K13" s="58">
        <f t="shared" si="0"/>
        <v>8.1804151762840558</v>
      </c>
      <c r="L13" s="58">
        <f t="shared" si="8"/>
        <v>1</v>
      </c>
      <c r="M13">
        <f t="shared" si="1"/>
        <v>0.62664519588445911</v>
      </c>
      <c r="N13" s="62">
        <f t="shared" si="9"/>
        <v>1</v>
      </c>
      <c r="O13" s="58">
        <f t="shared" si="2"/>
        <v>9.9616446365950484</v>
      </c>
      <c r="P13" s="58">
        <f t="shared" si="15"/>
        <v>1</v>
      </c>
      <c r="Q13">
        <f t="shared" si="3"/>
        <v>0.76309290177935529</v>
      </c>
      <c r="R13" s="62">
        <f t="shared" si="10"/>
        <v>1</v>
      </c>
      <c r="S13" s="58">
        <f t="shared" si="4"/>
        <v>11.414480510431826</v>
      </c>
      <c r="T13" s="58">
        <f t="shared" si="11"/>
        <v>1</v>
      </c>
      <c r="U13">
        <f t="shared" si="5"/>
        <v>0.87438463956154089</v>
      </c>
      <c r="V13" s="81">
        <f t="shared" si="12"/>
        <v>1.2</v>
      </c>
      <c r="W13" s="58">
        <f t="shared" si="6"/>
        <v>12.538227189235064</v>
      </c>
      <c r="X13" s="80">
        <f t="shared" si="13"/>
        <v>1.2</v>
      </c>
      <c r="Y13">
        <f t="shared" si="7"/>
        <v>0.96046712345608609</v>
      </c>
      <c r="Z13" s="83">
        <f t="shared" si="14"/>
        <v>1.7</v>
      </c>
    </row>
    <row r="14" spans="1:26" x14ac:dyDescent="0.2">
      <c r="A14" s="9">
        <v>60</v>
      </c>
      <c r="B14" s="5">
        <f>(Stage4to1!J12+Stage3to1!J12+Stage2to1!J12+Stage1to1!J12)/(Stage4to1!F12+Stage3to1!F12+Stage2to1!F12+Stage1to1!F12)</f>
        <v>4.5401202467026573</v>
      </c>
      <c r="C14" s="5">
        <f>Stage4to1!F12+Stage3to1!F12+Stage2to1!F12+Stage1to1!F12</f>
        <v>269.275575</v>
      </c>
      <c r="D14" s="5">
        <f>(Stage4to1!K12+Stage3to1!K12+Stage2to1!K12+Stage1to1!K12+Stage4to2!K12+Stage3to2!K12+Stage2to2!K12)/(Stage4to1!G12+Stage3to1!G12+Stage2to1!G12+Stage1to1!G12+Stage4to2!G12+Stage3to2!G12+Stage2to2!G12)</f>
        <v>2.8277609181350285</v>
      </c>
      <c r="E14" s="5">
        <f>Stage4to1!G12+Stage3to1!G12+Stage2to1!G12+Stage1to1!G12+Stage4to2!G12+Stage3to2!G12+Stage2to2!G12</f>
        <v>248.86187000000001</v>
      </c>
      <c r="F14" s="5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1.5759347104859442</v>
      </c>
      <c r="G14" s="81">
        <f>Stage4to1!H12+Stage3to1!H12+Stage2to1!H12+Stage1to1!H12+Stage4to2!H12+Stage3to2!H12+Stage2to2!H12+Stage4to3!H12+Stage3to3!H12</f>
        <v>281.88747100000001</v>
      </c>
      <c r="H14" s="5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0.47441214080536015</v>
      </c>
      <c r="I14" s="83">
        <f>Stage4to1!I12+Stage3to1!I12+Stage2to1!I12+Stage1to1!I12+Stage4to2!I12+Stage3to2!I12+Stage2to2!I12+Stage4to3!I12+Stage3to3!I12+Stage4to4!I12</f>
        <v>308.13968999999997</v>
      </c>
      <c r="J14" s="60">
        <v>12.71338456</v>
      </c>
      <c r="K14" s="58">
        <f t="shared" si="0"/>
        <v>8.1732643132973415</v>
      </c>
      <c r="L14" s="58">
        <f t="shared" si="8"/>
        <v>1</v>
      </c>
      <c r="M14">
        <f t="shared" si="1"/>
        <v>0.64288657947253514</v>
      </c>
      <c r="N14" s="62">
        <f t="shared" si="9"/>
        <v>1</v>
      </c>
      <c r="O14" s="58">
        <f t="shared" si="2"/>
        <v>9.8856236418649708</v>
      </c>
      <c r="P14" s="58">
        <f t="shared" si="15"/>
        <v>1</v>
      </c>
      <c r="Q14">
        <f t="shared" si="3"/>
        <v>0.77757607309134769</v>
      </c>
      <c r="R14" s="62">
        <f t="shared" si="10"/>
        <v>1</v>
      </c>
      <c r="S14" s="58">
        <f t="shared" si="4"/>
        <v>11.137449849514056</v>
      </c>
      <c r="T14" s="58">
        <f t="shared" si="11"/>
        <v>1</v>
      </c>
      <c r="U14">
        <f t="shared" si="5"/>
        <v>0.87604129309166878</v>
      </c>
      <c r="V14" s="81">
        <f t="shared" si="12"/>
        <v>1.2</v>
      </c>
      <c r="W14" s="58">
        <f t="shared" si="6"/>
        <v>12.23897241919464</v>
      </c>
      <c r="X14" s="80">
        <f t="shared" si="13"/>
        <v>1.2</v>
      </c>
      <c r="Y14">
        <f t="shared" si="7"/>
        <v>0.96268404070006675</v>
      </c>
      <c r="Z14" s="83">
        <f t="shared" si="14"/>
        <v>1.7</v>
      </c>
    </row>
    <row r="15" spans="1:26" x14ac:dyDescent="0.2">
      <c r="A15" s="9">
        <v>61</v>
      </c>
      <c r="B15" s="5">
        <f>(Stage4to1!J13+Stage3to1!J13+Stage2to1!J13+Stage1to1!J13)/(Stage4to1!F13+Stage3to1!F13+Stage2to1!F13+Stage1to1!F13)</f>
        <v>4.5355353714457749</v>
      </c>
      <c r="C15" s="5">
        <f>Stage4to1!F13+Stage3to1!F13+Stage2to1!F13+Stage1to1!F13</f>
        <v>268.28012799999999</v>
      </c>
      <c r="D15" s="5">
        <f>(Stage4to1!K13+Stage3to1!K13+Stage2to1!K13+Stage1to1!K13+Stage4to2!K13+Stage3to2!K13+Stage2to2!K13)/(Stage4to1!G13+Stage3to1!G13+Stage2to1!G13+Stage1to1!G13+Stage4to2!G13+Stage3to2!G13+Stage2to2!G13)</f>
        <v>2.826654626317763</v>
      </c>
      <c r="E15" s="5">
        <f>Stage4to1!G13+Stage3to1!G13+Stage2to1!G13+Stage1to1!G13+Stage4to2!G13+Stage3to2!G13+Stage2to2!G13</f>
        <v>248.411406</v>
      </c>
      <c r="F15" s="5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1.5755451038870802</v>
      </c>
      <c r="G15" s="81">
        <f>Stage4to1!H13+Stage3to1!H13+Stage2to1!H13+Stage1to1!H13+Stage4to2!H13+Stage3to2!H13+Stage2to2!H13+Stage4to3!H13+Stage3to3!H13</f>
        <v>281.65667800000006</v>
      </c>
      <c r="H15" s="5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0.47441485790046023</v>
      </c>
      <c r="I15" s="83">
        <f>Stage4to1!I13+Stage3to1!I13+Stage2to1!I13+Stage1to1!I13+Stage4to2!I13+Stage3to2!I13+Stage2to2!I13+Stage4to3!I13+Stage3to3!I13+Stage4to4!I13</f>
        <v>308.09951999999998</v>
      </c>
      <c r="J15" s="60">
        <v>12.369370774719757</v>
      </c>
      <c r="K15" s="58">
        <f t="shared" si="0"/>
        <v>7.8338354032739819</v>
      </c>
      <c r="L15" s="58">
        <f t="shared" si="8"/>
        <v>1</v>
      </c>
      <c r="M15">
        <f t="shared" si="1"/>
        <v>0.63332529567992246</v>
      </c>
      <c r="N15" s="62">
        <f t="shared" si="9"/>
        <v>1</v>
      </c>
      <c r="O15" s="58">
        <f t="shared" si="2"/>
        <v>9.5427161484019933</v>
      </c>
      <c r="P15" s="58">
        <f t="shared" si="15"/>
        <v>1</v>
      </c>
      <c r="Q15">
        <f t="shared" si="3"/>
        <v>0.77147951356629907</v>
      </c>
      <c r="R15" s="62">
        <f t="shared" si="10"/>
        <v>1</v>
      </c>
      <c r="S15" s="58">
        <f t="shared" si="4"/>
        <v>10.793825670832677</v>
      </c>
      <c r="T15" s="58">
        <f t="shared" si="11"/>
        <v>1</v>
      </c>
      <c r="U15">
        <f t="shared" si="5"/>
        <v>0.87262528283919305</v>
      </c>
      <c r="V15" s="81">
        <f t="shared" si="12"/>
        <v>1.2</v>
      </c>
      <c r="W15" s="58">
        <f t="shared" si="6"/>
        <v>11.894955916819297</v>
      </c>
      <c r="X15" s="58">
        <f t="shared" si="13"/>
        <v>1</v>
      </c>
      <c r="Y15">
        <f t="shared" si="7"/>
        <v>0.96164599909398318</v>
      </c>
      <c r="Z15" s="83">
        <f t="shared" si="14"/>
        <v>1.7</v>
      </c>
    </row>
    <row r="16" spans="1:26" x14ac:dyDescent="0.2">
      <c r="A16" s="9">
        <v>62</v>
      </c>
      <c r="B16" s="5">
        <f>(Stage4to1!J14+Stage3to1!J14+Stage2to1!J14+Stage1to1!J14)/(Stage4to1!F14+Stage3to1!F14+Stage2to1!F14+Stage1to1!F14)</f>
        <v>4.5304877344755292</v>
      </c>
      <c r="C16" s="5">
        <f>Stage4to1!F14+Stage3to1!F14+Stage2to1!F14+Stage1to1!F14</f>
        <v>267.19179500000001</v>
      </c>
      <c r="D16" s="5">
        <f>(Stage4to1!K14+Stage3to1!K14+Stage2to1!K14+Stage1to1!K14+Stage4to2!K14+Stage3to2!K14+Stage2to2!K14)/(Stage4to1!G14+Stage3to1!G14+Stage2to1!G14+Stage1to1!G14+Stage4to2!G14+Stage3to2!G14+Stage2to2!G14)</f>
        <v>2.8254764034472863</v>
      </c>
      <c r="E16" s="5">
        <f>Stage4to1!G14+Stage3to1!G14+Stage2to1!G14+Stage1to1!G14+Stage4to2!G14+Stage3to2!G14+Stage2to2!G14</f>
        <v>247.913141</v>
      </c>
      <c r="F16" s="5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1.5751290951146977</v>
      </c>
      <c r="G16" s="81">
        <f>Stage4to1!H14+Stage3to1!H14+Stage2to1!H14+Stage1to1!H14+Stage4to2!H14+Stage3to2!H14+Stage2to2!H14+Stage4to3!H14+Stage3to3!H14</f>
        <v>281.39407199999994</v>
      </c>
      <c r="H16" s="5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0.47441805476019178</v>
      </c>
      <c r="I16" s="83">
        <f>Stage4to1!I14+Stage3to1!I14+Stage2to1!I14+Stage1to1!I14+Stage4to2!I14+Stage3to2!I14+Stage2to2!I14+Stage4to3!I14+Stage3to3!I14+Stage4to4!I14</f>
        <v>308.05260999999996</v>
      </c>
      <c r="J16" s="60">
        <v>12.021492932772711</v>
      </c>
      <c r="K16" s="58">
        <f t="shared" si="0"/>
        <v>7.4910051982971817</v>
      </c>
      <c r="L16" s="58">
        <f t="shared" si="8"/>
        <v>1</v>
      </c>
      <c r="M16">
        <f t="shared" si="1"/>
        <v>0.62313435113166182</v>
      </c>
      <c r="N16" s="62">
        <f t="shared" si="9"/>
        <v>1</v>
      </c>
      <c r="O16" s="58">
        <f t="shared" si="2"/>
        <v>9.1960165293254246</v>
      </c>
      <c r="P16" s="58">
        <f t="shared" si="15"/>
        <v>1</v>
      </c>
      <c r="Q16">
        <f t="shared" si="3"/>
        <v>0.76496459971751607</v>
      </c>
      <c r="R16" s="62">
        <f t="shared" si="10"/>
        <v>1</v>
      </c>
      <c r="S16" s="58">
        <f t="shared" si="4"/>
        <v>10.446363837658014</v>
      </c>
      <c r="T16" s="58">
        <f t="shared" si="11"/>
        <v>1</v>
      </c>
      <c r="U16">
        <f t="shared" si="5"/>
        <v>0.86897391996790874</v>
      </c>
      <c r="V16" s="81">
        <f t="shared" si="12"/>
        <v>1.2</v>
      </c>
      <c r="W16" s="58">
        <f t="shared" si="6"/>
        <v>11.54707487801252</v>
      </c>
      <c r="X16" s="58">
        <f t="shared" si="13"/>
        <v>1</v>
      </c>
      <c r="Y16">
        <f t="shared" si="7"/>
        <v>0.96053584547166815</v>
      </c>
      <c r="Z16" s="83">
        <f t="shared" si="14"/>
        <v>1.7</v>
      </c>
    </row>
    <row r="17" spans="1:26" x14ac:dyDescent="0.2">
      <c r="A17" s="9">
        <v>63</v>
      </c>
      <c r="B17" s="5">
        <f>(Stage4to1!J15+Stage3to1!J15+Stage2to1!J15+Stage1to1!J15)/(Stage4to1!F15+Stage3to1!F15+Stage2to1!F15+Stage1to1!F15)</f>
        <v>4.5247700525961863</v>
      </c>
      <c r="C17" s="5">
        <f>Stage4to1!F15+Stage3to1!F15+Stage2to1!F15+Stage1to1!F15</f>
        <v>266.02137700000003</v>
      </c>
      <c r="D17" s="5">
        <f>(Stage4to1!K15+Stage3to1!K15+Stage2to1!K15+Stage1to1!K15+Stage4to2!K15+Stage3to2!K15+Stage2to2!K15)/(Stage4to1!G15+Stage3to1!G15+Stage2to1!G15+Stage1to1!G15+Stage4to2!G15+Stage3to2!G15+Stage2to2!G15)</f>
        <v>2.8241920681829549</v>
      </c>
      <c r="E17" s="5">
        <f>Stage4to1!G15+Stage3to1!G15+Stage2to1!G15+Stage1to1!G15+Stage4to2!G15+Stage3to2!G15+Stage2to2!G15</f>
        <v>247.385232</v>
      </c>
      <c r="F17" s="5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1.5746866523382352</v>
      </c>
      <c r="G17" s="81">
        <f>Stage4to1!H15+Stage3to1!H15+Stage2to1!H15+Stage1to1!H15+Stage4to2!H15+Stage3to2!H15+Stage2to2!H15+Stage4to3!H15+Stage3to3!H15</f>
        <v>281.11706499999997</v>
      </c>
      <c r="H17" s="5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0.47442136300437487</v>
      </c>
      <c r="I17" s="83">
        <f>Stage4to1!I15+Stage3to1!I15+Stage2to1!I15+Stage1to1!I15+Stage4to2!I15+Stage3to2!I15+Stage2to2!I15+Stage4to3!I15+Stage3to3!I15+Stage4to4!I15</f>
        <v>308.00311999999997</v>
      </c>
      <c r="J17" s="60">
        <v>11.673321209999999</v>
      </c>
      <c r="K17" s="58">
        <f t="shared" si="0"/>
        <v>7.148551157403813</v>
      </c>
      <c r="L17" s="58">
        <f t="shared" si="8"/>
        <v>1</v>
      </c>
      <c r="M17">
        <f t="shared" si="1"/>
        <v>0.61238365918347015</v>
      </c>
      <c r="N17" s="62">
        <f t="shared" si="9"/>
        <v>1</v>
      </c>
      <c r="O17" s="58">
        <f t="shared" si="2"/>
        <v>8.8491291418170448</v>
      </c>
      <c r="P17" s="58">
        <f t="shared" si="15"/>
        <v>1</v>
      </c>
      <c r="Q17">
        <f t="shared" si="3"/>
        <v>0.75806439166913364</v>
      </c>
      <c r="R17" s="62">
        <f t="shared" si="10"/>
        <v>1</v>
      </c>
      <c r="S17" s="58">
        <f t="shared" si="4"/>
        <v>10.098634557661764</v>
      </c>
      <c r="T17" s="58">
        <f t="shared" si="11"/>
        <v>1</v>
      </c>
      <c r="U17">
        <f t="shared" si="5"/>
        <v>0.8651038017364524</v>
      </c>
      <c r="V17" s="81">
        <f t="shared" si="12"/>
        <v>1.2</v>
      </c>
      <c r="W17" s="58">
        <f t="shared" si="6"/>
        <v>11.198899846995625</v>
      </c>
      <c r="X17" s="58">
        <f t="shared" si="13"/>
        <v>1</v>
      </c>
      <c r="Y17">
        <f t="shared" si="7"/>
        <v>0.95935849322830602</v>
      </c>
      <c r="Z17" s="83">
        <f t="shared" si="14"/>
        <v>1.7</v>
      </c>
    </row>
    <row r="18" spans="1:26" x14ac:dyDescent="0.2">
      <c r="A18" s="9">
        <v>64</v>
      </c>
      <c r="B18" s="5">
        <f>(Stage4to1!J16+Stage3to1!J16+Stage2to1!J16+Stage1to1!J16)/(Stage4to1!F16+Stage3to1!F16+Stage2to1!F16+Stage1to1!F16)</f>
        <v>4.518237731918382</v>
      </c>
      <c r="C18" s="5">
        <f>Stage4to1!F16+Stage3to1!F16+Stage2to1!F16+Stage1to1!F16</f>
        <v>264.75068399999998</v>
      </c>
      <c r="D18" s="5">
        <f>(Stage4to1!K16+Stage3to1!K16+Stage2to1!K16+Stage1to1!K16+Stage4to2!K16+Stage3to2!K16+Stage2to2!K16)/(Stage4to1!G16+Stage3to1!G16+Stage2to1!G16+Stage1to1!G16+Stage4to2!G16+Stage3to2!G16+Stage2to2!G16)</f>
        <v>2.8227622948397415</v>
      </c>
      <c r="E18" s="5">
        <f>Stage4to1!G16+Stage3to1!G16+Stage2to1!G16+Stage1to1!G16+Stage4to2!G16+Stage3to2!G16+Stage2to2!G16</f>
        <v>246.82302200000001</v>
      </c>
      <c r="F18" s="5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1.5742143287717938</v>
      </c>
      <c r="G18" s="81">
        <f>Stage4to1!H16+Stage3to1!H16+Stage2to1!H16+Stage1to1!H16+Stage4to2!H16+Stage3to2!H16+Stage2to2!H16+Stage4to3!H16+Stage3to3!H16</f>
        <v>280.82376199999999</v>
      </c>
      <c r="H18" s="5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0.47442486162699538</v>
      </c>
      <c r="I18" s="83">
        <f>Stage4to1!I16+Stage3to1!I16+Stage2to1!I16+Stage1to1!I16+Stage4to2!I16+Stage3to2!I16+Stage2to2!I16+Stage4to3!I16+Stage3to3!I16+Stage4to4!I16</f>
        <v>307.95024000000001</v>
      </c>
      <c r="J18" s="60">
        <v>11.321559175838875</v>
      </c>
      <c r="K18" s="58">
        <f t="shared" si="0"/>
        <v>6.8033214439204928</v>
      </c>
      <c r="L18" s="58">
        <f t="shared" si="8"/>
        <v>1</v>
      </c>
      <c r="M18">
        <f t="shared" si="1"/>
        <v>0.60091735937213775</v>
      </c>
      <c r="N18" s="62">
        <f t="shared" si="9"/>
        <v>1</v>
      </c>
      <c r="O18" s="58">
        <f t="shared" si="2"/>
        <v>8.4987968809991337</v>
      </c>
      <c r="P18" s="58">
        <f t="shared" si="15"/>
        <v>1</v>
      </c>
      <c r="Q18">
        <f t="shared" si="3"/>
        <v>0.75067371454775023</v>
      </c>
      <c r="R18" s="62">
        <f t="shared" si="10"/>
        <v>1</v>
      </c>
      <c r="S18" s="58">
        <f t="shared" si="4"/>
        <v>9.7473448470670814</v>
      </c>
      <c r="T18" s="58">
        <f t="shared" si="11"/>
        <v>1</v>
      </c>
      <c r="U18">
        <f t="shared" si="5"/>
        <v>0.86095428162127219</v>
      </c>
      <c r="V18" s="81">
        <f t="shared" si="12"/>
        <v>1.2</v>
      </c>
      <c r="W18" s="58">
        <f t="shared" si="6"/>
        <v>10.84713431421188</v>
      </c>
      <c r="X18" s="58">
        <f t="shared" si="13"/>
        <v>1</v>
      </c>
      <c r="Y18">
        <f t="shared" si="7"/>
        <v>0.95809544831603621</v>
      </c>
      <c r="Z18" s="83">
        <f t="shared" si="14"/>
        <v>1.7</v>
      </c>
    </row>
    <row r="19" spans="1:26" x14ac:dyDescent="0.2">
      <c r="A19" s="9">
        <v>65</v>
      </c>
      <c r="B19" s="5">
        <f>(Stage4to1!J17+Stage3to1!J17+Stage2to1!J17+Stage1to1!J17)/(Stage4to1!F17+Stage3to1!F17+Stage2to1!F17+Stage1to1!F17)</f>
        <v>4.2227364357099839</v>
      </c>
      <c r="C19" s="5">
        <f>Stage4to1!F17+Stage3to1!F17+Stage2to1!F17+Stage1to1!F17</f>
        <v>390.86964700000004</v>
      </c>
      <c r="D19" s="5">
        <f>(Stage4to1!K17+Stage3to1!K17+Stage2to1!K17+Stage1to1!K17+Stage4to2!K17+Stage3to2!K17+Stage2to2!K17)/(Stage4to1!G17+Stage3to1!G17+Stage2to1!G17+Stage1to1!G17+Stage4to2!G17+Stage3to2!G17+Stage2to2!G17)</f>
        <v>2.4957974158528704</v>
      </c>
      <c r="E19" s="5">
        <f>Stage4to1!G17+Stage3to1!G17+Stage2to1!G17+Stage1to1!G17+Stage4to2!G17+Stage3to2!G17+Stage2to2!G17</f>
        <v>374.52968100000004</v>
      </c>
      <c r="F19" s="5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1.4492438153139839</v>
      </c>
      <c r="G19" s="81">
        <f>Stage4to1!H17+Stage3to1!H17+Stage2to1!H17+Stage1to1!H17+Stage4to2!H17+Stage3to2!H17+Stage2to2!H17+Stage4to3!H17+Stage3to3!H17</f>
        <v>429.00326600000005</v>
      </c>
      <c r="H19" s="5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0.39874340406616104</v>
      </c>
      <c r="I19" s="83">
        <f>Stage4to1!I17+Stage3to1!I17+Stage2to1!I17+Stage1to1!I17+Stage4to2!I17+Stage3to2!I17+Stage2to2!I17+Stage4to3!I17+Stage3to3!I17+Stage4to4!I17</f>
        <v>471.20317999999997</v>
      </c>
      <c r="J19" s="60">
        <v>10.965912530000001</v>
      </c>
      <c r="K19" s="58">
        <f t="shared" si="0"/>
        <v>6.7431760942900167</v>
      </c>
      <c r="L19" s="58">
        <f t="shared" si="8"/>
        <v>1</v>
      </c>
      <c r="M19">
        <f t="shared" si="1"/>
        <v>0.61492156497166739</v>
      </c>
      <c r="N19" s="62">
        <f t="shared" si="9"/>
        <v>1</v>
      </c>
      <c r="O19" s="58">
        <f t="shared" si="2"/>
        <v>8.4701151141471307</v>
      </c>
      <c r="P19" s="58">
        <f t="shared" si="15"/>
        <v>1</v>
      </c>
      <c r="Q19">
        <f t="shared" si="3"/>
        <v>0.77240403760061094</v>
      </c>
      <c r="R19" s="62">
        <f t="shared" si="10"/>
        <v>1</v>
      </c>
      <c r="S19" s="58">
        <f t="shared" si="4"/>
        <v>9.5166687146860163</v>
      </c>
      <c r="T19" s="58">
        <f t="shared" si="11"/>
        <v>1</v>
      </c>
      <c r="U19">
        <f t="shared" si="5"/>
        <v>0.86784101994711205</v>
      </c>
      <c r="V19" s="81">
        <f t="shared" si="12"/>
        <v>1.2</v>
      </c>
      <c r="W19" s="58">
        <f t="shared" si="6"/>
        <v>10.567169125933839</v>
      </c>
      <c r="X19" s="58">
        <f t="shared" si="13"/>
        <v>1</v>
      </c>
      <c r="Y19">
        <f t="shared" si="7"/>
        <v>0.96363791859771819</v>
      </c>
      <c r="Z19" s="83">
        <f t="shared" si="14"/>
        <v>1.7</v>
      </c>
    </row>
    <row r="20" spans="1:26" x14ac:dyDescent="0.2">
      <c r="A20" s="9">
        <v>66</v>
      </c>
      <c r="B20" s="5">
        <f>(Stage4to1!J18+Stage3to1!J18+Stage2to1!J18+Stage1to1!J18)/(Stage4to1!F18+Stage3to1!F18+Stage2to1!F18+Stage1to1!F18)</f>
        <v>4.2153413325451767</v>
      </c>
      <c r="C20" s="5">
        <f>Stage4to1!F18+Stage3to1!F18+Stage2to1!F18+Stage1to1!F18</f>
        <v>388.71187900000001</v>
      </c>
      <c r="D20" s="5">
        <f>(Stage4to1!K18+Stage3to1!K18+Stage2to1!K18+Stage1to1!K18+Stage4to2!K18+Stage3to2!K18+Stage2to2!K18)/(Stage4to1!G18+Stage3to1!G18+Stage2to1!G18+Stage1to1!G18+Stage4to2!G18+Stage3to2!G18+Stage2to2!G18)</f>
        <v>2.4938854581981293</v>
      </c>
      <c r="E20" s="5">
        <f>Stage4to1!G18+Stage3to1!G18+Stage2to1!G18+Stage1to1!G18+Stage4to2!G18+Stage3to2!G18+Stage2to2!G18</f>
        <v>373.49119100000001</v>
      </c>
      <c r="F20" s="5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1.4486524559335943</v>
      </c>
      <c r="G20" s="81">
        <f>Stage4to1!H18+Stage3to1!H18+Stage2to1!H18+Stage1to1!H18+Stage4to2!H18+Stage3to2!H18+Stage2to2!H18+Stage4to3!H18+Stage3to3!H18</f>
        <v>428.44179600000007</v>
      </c>
      <c r="H20" s="5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0.3987470918475744</v>
      </c>
      <c r="I20" s="83">
        <f>Stage4to1!I18+Stage3to1!I18+Stage2to1!I18+Stage1to1!I18+Stage4to2!I18+Stage3to2!I18+Stage2to2!I18+Stage4to3!I18+Stage3to3!I18+Stage4to4!I18</f>
        <v>471.10237000000001</v>
      </c>
      <c r="J20" s="60">
        <v>10.608452959999999</v>
      </c>
      <c r="K20" s="58">
        <f t="shared" si="0"/>
        <v>6.3931116274548225</v>
      </c>
      <c r="L20" s="58">
        <f>IF(K20&lt;12,1,IF(K20&lt;18,1.2,1.7))</f>
        <v>1</v>
      </c>
      <c r="M20">
        <f t="shared" si="1"/>
        <v>0.60264316121875161</v>
      </c>
      <c r="N20" s="62">
        <f>IF(M20&lt;0.85,1,IF(M20&lt;0.95,1.2,1.7))</f>
        <v>1</v>
      </c>
      <c r="O20" s="58">
        <f t="shared" si="2"/>
        <v>8.1145675018018704</v>
      </c>
      <c r="P20" s="58">
        <f t="shared" si="15"/>
        <v>1</v>
      </c>
      <c r="Q20">
        <f t="shared" si="3"/>
        <v>0.76491525507050662</v>
      </c>
      <c r="R20" s="62">
        <f t="shared" si="10"/>
        <v>1</v>
      </c>
      <c r="S20" s="58">
        <f t="shared" si="4"/>
        <v>9.1598005040664052</v>
      </c>
      <c r="T20" s="58">
        <f t="shared" si="11"/>
        <v>1</v>
      </c>
      <c r="U20">
        <f t="shared" si="5"/>
        <v>0.86344357076419609</v>
      </c>
      <c r="V20" s="81">
        <f t="shared" si="12"/>
        <v>1.2</v>
      </c>
      <c r="W20" s="58">
        <f t="shared" si="6"/>
        <v>10.209705868152424</v>
      </c>
      <c r="X20" s="58">
        <f t="shared" si="13"/>
        <v>1</v>
      </c>
      <c r="Y20">
        <f t="shared" si="7"/>
        <v>0.96241232408240085</v>
      </c>
      <c r="Z20" s="83">
        <f t="shared" si="14"/>
        <v>1.7</v>
      </c>
    </row>
    <row r="21" spans="1:26" x14ac:dyDescent="0.2">
      <c r="A21" s="9">
        <v>67</v>
      </c>
      <c r="B21" s="5">
        <f>(Stage4to1!J19+Stage3to1!J19+Stage2to1!J19+Stage1to1!J19)/(Stage4to1!F19+Stage3to1!F19+Stage2to1!F19+Stage1to1!F19)</f>
        <v>4.2066643506802386</v>
      </c>
      <c r="C21" s="5">
        <f>Stage4to1!F19+Stage3to1!F19+Stage2to1!F19+Stage1to1!F19</f>
        <v>386.34653600000007</v>
      </c>
      <c r="D21" s="5">
        <f>(Stage4to1!K19+Stage3to1!K19+Stage2to1!K19+Stage1to1!K19+Stage4to2!K19+Stage3to2!K19+Stage2to2!K19)/(Stage4to1!G19+Stage3to1!G19+Stage2to1!G19+Stage1to1!G19+Stage4to2!G19+Stage3to2!G19+Stage2to2!G19)</f>
        <v>2.4917687036548961</v>
      </c>
      <c r="E21" s="5">
        <f>Stage4to1!G19+Stage3to1!G19+Stage2to1!G19+Stage1to1!G19+Stage4to2!G19+Stage3to2!G19+Stage2to2!G19</f>
        <v>372.38089500000001</v>
      </c>
      <c r="F21" s="5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1.4480312245324409</v>
      </c>
      <c r="G21" s="81">
        <f>Stage4to1!H19+Stage3to1!H19+Stage2to1!H19+Stage1to1!H19+Stage4to2!H19+Stage3to2!H19+Stage2to2!H19+Stage4to3!H19+Stage3to3!H19</f>
        <v>427.83718299999998</v>
      </c>
      <c r="H21" s="5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0.39875111410988445</v>
      </c>
      <c r="I21" s="83">
        <f>Stage4to1!I19+Stage3to1!I19+Stage2to1!I19+Stage1to1!I19+Stage4to2!I19+Stage3to2!I19+Stage2to2!I19+Stage4to3!I19+Stage3to3!I19+Stage4to4!I19</f>
        <v>470.99258999999995</v>
      </c>
      <c r="J21" s="60">
        <v>10.24776249</v>
      </c>
      <c r="K21" s="58">
        <f t="shared" si="0"/>
        <v>6.0410981393197609</v>
      </c>
      <c r="L21" s="58">
        <f t="shared" si="8"/>
        <v>1</v>
      </c>
      <c r="M21">
        <f t="shared" si="1"/>
        <v>0.58950411323591878</v>
      </c>
      <c r="N21" s="62">
        <f t="shared" si="9"/>
        <v>1</v>
      </c>
      <c r="O21" s="58">
        <f t="shared" si="2"/>
        <v>7.7559937863451029</v>
      </c>
      <c r="P21" s="58">
        <f t="shared" si="15"/>
        <v>1</v>
      </c>
      <c r="Q21">
        <f t="shared" si="3"/>
        <v>0.75684753563654295</v>
      </c>
      <c r="R21" s="62">
        <f t="shared" si="10"/>
        <v>1</v>
      </c>
      <c r="S21" s="58">
        <f t="shared" si="4"/>
        <v>8.7997312654675586</v>
      </c>
      <c r="T21" s="58">
        <f t="shared" si="11"/>
        <v>1</v>
      </c>
      <c r="U21">
        <f t="shared" si="5"/>
        <v>0.85869781565044434</v>
      </c>
      <c r="V21" s="81">
        <f t="shared" si="12"/>
        <v>1.2</v>
      </c>
      <c r="W21" s="58">
        <f t="shared" si="6"/>
        <v>9.8490113758901146</v>
      </c>
      <c r="X21" s="58">
        <f t="shared" si="13"/>
        <v>1</v>
      </c>
      <c r="Y21">
        <f t="shared" si="7"/>
        <v>0.96108895824830098</v>
      </c>
      <c r="Z21" s="83">
        <f t="shared" si="14"/>
        <v>1.7</v>
      </c>
    </row>
    <row r="22" spans="1:26" x14ac:dyDescent="0.2">
      <c r="A22" s="9">
        <v>68</v>
      </c>
      <c r="B22" s="5">
        <f>(Stage4to1!J20+Stage3to1!J20+Stage2to1!J20+Stage1to1!J20)/(Stage4to1!F20+Stage3to1!F20+Stage2to1!F20+Stage1to1!F20)</f>
        <v>4.1964250388403759</v>
      </c>
      <c r="C22" s="5">
        <f>Stage4to1!F20+Stage3to1!F20+Stage2to1!F20+Stage1to1!F20</f>
        <v>383.72310600000003</v>
      </c>
      <c r="D22" s="5">
        <f>(Stage4to1!K20+Stage3to1!K20+Stage2to1!K20+Stage1to1!K20+Stage4to2!K20+Stage3to2!K20+Stage2to2!K20)/(Stage4to1!G20+Stage3to1!G20+Stage2to1!G20+Stage1to1!G20+Stage4to2!G20+Stage3to2!G20+Stage2to2!G20)</f>
        <v>2.4892859807340568</v>
      </c>
      <c r="E22" s="5">
        <f>Stage4to1!G20+Stage3to1!G20+Stage2to1!G20+Stage1to1!G20+Stage4to2!G20+Stage3to2!G20+Stage2to2!G20</f>
        <v>371.20569800000004</v>
      </c>
      <c r="F22" s="5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1.4473938402258617</v>
      </c>
      <c r="G22" s="81">
        <f>Stage4to1!H20+Stage3to1!H20+Stage2to1!H20+Stage1to1!H20+Stage4to2!H20+Stage3to2!H20+Stage2to2!H20+Stage4to3!H20+Stage3to3!H20</f>
        <v>427.19514400000003</v>
      </c>
      <c r="H22" s="5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0.39875537063115574</v>
      </c>
      <c r="I22" s="83">
        <f>Stage4to1!I20+Stage3to1!I20+Stage2to1!I20+Stage1to1!I20+Stage4to2!I20+Stage3to2!I20+Stage2to2!I20+Stage4to3!I20+Stage3to3!I20+Stage4to4!I20</f>
        <v>470.87109999999996</v>
      </c>
      <c r="J22" s="60">
        <v>9.8845251422827083</v>
      </c>
      <c r="K22" s="58">
        <f t="shared" si="0"/>
        <v>5.6881001034423324</v>
      </c>
      <c r="L22" s="58">
        <f t="shared" si="8"/>
        <v>1</v>
      </c>
      <c r="M22">
        <f t="shared" si="1"/>
        <v>0.57545506957238979</v>
      </c>
      <c r="N22" s="62">
        <f t="shared" si="9"/>
        <v>1</v>
      </c>
      <c r="O22" s="58">
        <f t="shared" si="2"/>
        <v>7.3952391615486519</v>
      </c>
      <c r="P22" s="58">
        <f t="shared" si="15"/>
        <v>1</v>
      </c>
      <c r="Q22">
        <f t="shared" si="3"/>
        <v>0.74816332146440501</v>
      </c>
      <c r="R22" s="62">
        <f t="shared" si="10"/>
        <v>1</v>
      </c>
      <c r="S22" s="58">
        <f t="shared" si="4"/>
        <v>8.4371313020568461</v>
      </c>
      <c r="T22" s="58">
        <f t="shared" si="11"/>
        <v>1</v>
      </c>
      <c r="U22">
        <f t="shared" si="5"/>
        <v>0.85356971433717199</v>
      </c>
      <c r="V22" s="81">
        <f t="shared" si="12"/>
        <v>1.2</v>
      </c>
      <c r="W22" s="58">
        <f t="shared" si="6"/>
        <v>9.4857697716515528</v>
      </c>
      <c r="X22" s="58">
        <f t="shared" si="13"/>
        <v>1</v>
      </c>
      <c r="Y22">
        <f t="shared" si="7"/>
        <v>0.95965862144197367</v>
      </c>
      <c r="Z22" s="83">
        <f t="shared" si="14"/>
        <v>1.7</v>
      </c>
    </row>
    <row r="23" spans="1:26" x14ac:dyDescent="0.2">
      <c r="A23" s="9">
        <v>69</v>
      </c>
      <c r="B23" s="5">
        <f>(Stage4to1!J21+Stage3to1!J21+Stage2to1!J21+Stage1to1!J21)/(Stage4to1!F21+Stage3to1!F21+Stage2to1!F21+Stage1to1!F21)</f>
        <v>4.1844271547183345</v>
      </c>
      <c r="C23" s="5">
        <f>Stage4to1!F21+Stage3to1!F21+Stage2to1!F21+Stage1to1!F21</f>
        <v>380.80405300000001</v>
      </c>
      <c r="D23" s="5">
        <f>(Stage4to1!K21+Stage3to1!K21+Stage2to1!K21+Stage1to1!K21+Stage4to2!K21+Stage3to2!K21+Stage2to2!K21)/(Stage4to1!G21+Stage3to1!G21+Stage2to1!G21+Stage1to1!G21+Stage4to2!G21+Stage3to2!G21+Stage2to2!G21)</f>
        <v>2.4861210163044283</v>
      </c>
      <c r="E23" s="5">
        <f>Stage4to1!G21+Stage3to1!G21+Stage2to1!G21+Stage1to1!G21+Stage4to2!G21+Stage3to2!G21+Stage2to2!G21</f>
        <v>370.00511799999998</v>
      </c>
      <c r="F23" s="5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1.446623128529287</v>
      </c>
      <c r="G23">
        <f>Stage4to1!H21+Stage3to1!H21+Stage2to1!H21+Stage1to1!H21+Stage4to2!H21+Stage3to2!H21+Stage2to2!H21+Stage4to3!H21+Stage3to3!H21</f>
        <v>426.63484900000003</v>
      </c>
      <c r="H23" s="5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0.39875891349734938</v>
      </c>
      <c r="I23" s="83">
        <f>Stage4to1!I21+Stage3to1!I21+Stage2to1!I21+Stage1to1!I21+Stage4to2!I21+Stage3to2!I21+Stage2to2!I21+Stage4to3!I21+Stage3to3!I21+Stage4to4!I21</f>
        <v>470.77620999999999</v>
      </c>
      <c r="J23" s="60">
        <v>9.5200574865054612</v>
      </c>
      <c r="K23" s="58">
        <f t="shared" si="0"/>
        <v>5.3356303317871268</v>
      </c>
      <c r="L23" s="58">
        <f t="shared" si="8"/>
        <v>1</v>
      </c>
      <c r="M23">
        <f t="shared" si="1"/>
        <v>0.56046198663719238</v>
      </c>
      <c r="N23" s="62">
        <f t="shared" si="9"/>
        <v>1</v>
      </c>
      <c r="O23" s="58">
        <f t="shared" si="2"/>
        <v>7.0339364702010325</v>
      </c>
      <c r="P23" s="58">
        <f t="shared" si="15"/>
        <v>1</v>
      </c>
      <c r="Q23">
        <f t="shared" si="3"/>
        <v>0.73885441134904195</v>
      </c>
      <c r="R23" s="62">
        <f t="shared" si="10"/>
        <v>1</v>
      </c>
      <c r="S23" s="58">
        <f t="shared" si="4"/>
        <v>8.0734343579761738</v>
      </c>
      <c r="T23" s="58">
        <f t="shared" si="11"/>
        <v>1</v>
      </c>
      <c r="U23">
        <f t="shared" si="5"/>
        <v>0.84804470660183995</v>
      </c>
      <c r="V23">
        <f t="shared" si="12"/>
        <v>1</v>
      </c>
      <c r="W23" s="58">
        <f t="shared" si="6"/>
        <v>9.1212985730081115</v>
      </c>
      <c r="X23" s="58">
        <f t="shared" si="13"/>
        <v>1</v>
      </c>
      <c r="Y23">
        <f t="shared" si="7"/>
        <v>0.95811381243626059</v>
      </c>
      <c r="Z23" s="83">
        <f t="shared" si="14"/>
        <v>1.7</v>
      </c>
    </row>
    <row r="24" spans="1:26" x14ac:dyDescent="0.2">
      <c r="A24" s="9">
        <v>70</v>
      </c>
      <c r="B24" s="5">
        <f>(Stage4to1!J22+Stage3to1!J22+Stage2to1!J22+Stage1to1!J22)/(Stage4to1!F22+Stage3to1!F22+Stage2to1!F22+Stage1to1!F22)</f>
        <v>3.8725819146807732</v>
      </c>
      <c r="C24" s="5">
        <f>Stage4to1!F22+Stage3to1!F22+Stage2to1!F22+Stage1to1!F22</f>
        <v>510.27815900000002</v>
      </c>
      <c r="D24" s="5">
        <f>(Stage4to1!K22+Stage3to1!K22+Stage2to1!K22+Stage1to1!K22+Stage4to2!K22+Stage3to2!K22+Stage2to2!K22)/(Stage4to1!G22+Stage3to1!G22+Stage2to1!G22+Stage1to1!G22+Stage4to2!G22+Stage3to2!G22+Stage2to2!G22)</f>
        <v>2.348547190180482</v>
      </c>
      <c r="E24" s="5">
        <f>Stage4to1!G22+Stage3to1!G22+Stage2to1!G22+Stage1to1!G22+Stage4to2!G22+Stage3to2!G22+Stage2to2!G22</f>
        <v>514.17628100000002</v>
      </c>
      <c r="F24" s="5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1.3521650588208372</v>
      </c>
      <c r="G24" s="81">
        <f>Stage4to1!H22+Stage3to1!H22+Stage2to1!H22+Stage1to1!H22+Stage4to2!H22+Stage3to2!H22+Stage2to2!H22+Stage4to3!H22+Stage3to3!H22</f>
        <v>594.79407099999992</v>
      </c>
      <c r="H24" s="5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0.36895572911514646</v>
      </c>
      <c r="I24" s="83">
        <f>Stage4to1!I22+Stage3to1!I22+Stage2to1!I22+Stage1to1!I22+Stage4to2!I22+Stage3to2!I22+Stage2to2!I22+Stage4to3!I22+Stage3to3!I22+Stage4to4!I22</f>
        <v>654.07186000000002</v>
      </c>
      <c r="J24" s="60">
        <v>9.1530410752475895</v>
      </c>
      <c r="K24" s="58">
        <f t="shared" si="0"/>
        <v>5.2804591605668163</v>
      </c>
      <c r="L24" s="58">
        <f t="shared" si="8"/>
        <v>1</v>
      </c>
      <c r="M24">
        <f t="shared" si="1"/>
        <v>0.57690762197568091</v>
      </c>
      <c r="N24" s="62">
        <f t="shared" si="9"/>
        <v>1</v>
      </c>
      <c r="O24" s="58">
        <f t="shared" si="2"/>
        <v>6.8044938850671075</v>
      </c>
      <c r="P24" s="58">
        <f t="shared" si="15"/>
        <v>1</v>
      </c>
      <c r="Q24">
        <f t="shared" si="3"/>
        <v>0.74341345451495711</v>
      </c>
      <c r="R24" s="62">
        <f t="shared" si="10"/>
        <v>1</v>
      </c>
      <c r="S24" s="58">
        <f t="shared" si="4"/>
        <v>7.8008760164267521</v>
      </c>
      <c r="T24" s="58">
        <f t="shared" si="11"/>
        <v>1</v>
      </c>
      <c r="U24">
        <f t="shared" si="5"/>
        <v>0.85227149668567814</v>
      </c>
      <c r="V24" s="81">
        <f t="shared" si="12"/>
        <v>1.2</v>
      </c>
      <c r="W24" s="58">
        <f t="shared" si="6"/>
        <v>8.7840853461324429</v>
      </c>
      <c r="X24" s="58">
        <f t="shared" si="13"/>
        <v>1</v>
      </c>
      <c r="Y24">
        <f t="shared" si="7"/>
        <v>0.95969036672271613</v>
      </c>
      <c r="Z24" s="83">
        <f t="shared" si="14"/>
        <v>1.7</v>
      </c>
    </row>
    <row r="25" spans="1:26" x14ac:dyDescent="0.2">
      <c r="A25" s="9">
        <v>71</v>
      </c>
      <c r="B25" s="5">
        <f>(Stage4to1!J23+Stage3to1!J23+Stage2to1!J23+Stage1to1!J23)/(Stage4to1!F23+Stage3to1!F23+Stage2to1!F23+Stage1to1!F23)</f>
        <v>3.8595634338069225</v>
      </c>
      <c r="C25" s="5">
        <f>Stage4to1!F23+Stage3to1!F23+Stage2to1!F23+Stage1to1!F23</f>
        <v>505.09256900000003</v>
      </c>
      <c r="D25" s="5">
        <f>(Stage4to1!K23+Stage3to1!K23+Stage2to1!K23+Stage1to1!K23+Stage4to2!K23+Stage3to2!K23+Stage2to2!K23)/(Stage4to1!G23+Stage3to1!G23+Stage2to1!G23+Stage1to1!G23+Stage4to2!G23+Stage3to2!G23+Stage2to2!G23)</f>
        <v>2.3444542472729282</v>
      </c>
      <c r="E25" s="5">
        <f>Stage4to1!G23+Stage3to1!G23+Stage2to1!G23+Stage1to1!G23+Stage4to2!G23+Stage3to2!G23+Stage2to2!G23</f>
        <v>511.56437000000005</v>
      </c>
      <c r="F25" s="5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1.3508561935930543</v>
      </c>
      <c r="G25">
        <f>Stage4to1!H23+Stage3to1!H23+Stage2to1!H23+Stage1to1!H23+Stage4to2!H23+Stage3to2!H23+Stage2to2!H23+Stage4to3!H23+Stage3to3!H23</f>
        <v>593.51600399999995</v>
      </c>
      <c r="H25" s="5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0.36896117091436698</v>
      </c>
      <c r="I25" s="83">
        <f>Stage4to1!I23+Stage3to1!I23+Stage2to1!I23+Stage1to1!I23+Stage4to2!I23+Stage3to2!I23+Stage2to2!I23+Stage4to3!I23+Stage3to3!I23+Stage4to4!I23</f>
        <v>653.86165000000005</v>
      </c>
      <c r="J25" s="60">
        <v>8.7820776504988061</v>
      </c>
      <c r="K25" s="58">
        <f t="shared" si="0"/>
        <v>4.9225142166918836</v>
      </c>
      <c r="L25" s="58">
        <f t="shared" si="8"/>
        <v>1</v>
      </c>
      <c r="M25">
        <f t="shared" si="1"/>
        <v>0.56051818403271503</v>
      </c>
      <c r="N25" s="62">
        <f t="shared" si="9"/>
        <v>1</v>
      </c>
      <c r="O25" s="58">
        <f t="shared" si="2"/>
        <v>6.4376234032258779</v>
      </c>
      <c r="P25" s="58">
        <f t="shared" si="15"/>
        <v>1</v>
      </c>
      <c r="Q25">
        <f t="shared" si="3"/>
        <v>0.73304104785047453</v>
      </c>
      <c r="R25" s="62">
        <f t="shared" si="10"/>
        <v>1</v>
      </c>
      <c r="S25" s="58">
        <f t="shared" si="4"/>
        <v>7.4312214569057513</v>
      </c>
      <c r="T25" s="58">
        <f t="shared" si="11"/>
        <v>1</v>
      </c>
      <c r="U25">
        <f t="shared" si="5"/>
        <v>0.84618034053521163</v>
      </c>
      <c r="V25">
        <f t="shared" si="12"/>
        <v>1</v>
      </c>
      <c r="W25" s="58">
        <f t="shared" si="6"/>
        <v>8.4131164795844384</v>
      </c>
      <c r="X25" s="58">
        <f t="shared" si="13"/>
        <v>1</v>
      </c>
      <c r="Y25">
        <f t="shared" si="7"/>
        <v>0.95798702931151936</v>
      </c>
      <c r="Z25" s="83">
        <f t="shared" si="14"/>
        <v>1.7</v>
      </c>
    </row>
    <row r="26" spans="1:26" x14ac:dyDescent="0.2">
      <c r="A26" s="9">
        <v>72</v>
      </c>
      <c r="B26" s="5">
        <f>(Stage4to1!J24+Stage3to1!J24+Stage2to1!J24+Stage1to1!J24)/(Stage4to1!F24+Stage3to1!F24+Stage2to1!F24+Stage1to1!F24)</f>
        <v>3.8456671213386664</v>
      </c>
      <c r="C26" s="5">
        <f>Stage4to1!F24+Stage3to1!F24+Stage2to1!F24+Stage1to1!F24</f>
        <v>499.06892600000003</v>
      </c>
      <c r="D26" s="5">
        <f>(Stage4to1!K24+Stage3to1!K24+Stage2to1!K24+Stage1to1!K24+Stage4to2!K24+Stage3to2!K24+Stage2to2!K24)/(Stage4to1!G24+Stage3to1!G24+Stage2to1!G24+Stage1to1!G24+Stage4to2!G24+Stage3to2!G24+Stage2to2!G24)</f>
        <v>2.3399955384599473</v>
      </c>
      <c r="E26" s="5">
        <f>Stage4to1!G24+Stage3to1!G24+Stage2to1!G24+Stage1to1!G24+Stage4to2!G24+Stage3to2!G24+Stage2to2!G24</f>
        <v>508.27740500000004</v>
      </c>
      <c r="F26" s="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1.349227079207171</v>
      </c>
      <c r="G26">
        <f>Stage4to1!H24+Stage3to1!H24+Stage2to1!H24+Stage1to1!H24+Stage4to2!H24+Stage3to2!H24+Stage2to2!H24+Stage4to3!H24+Stage3to3!H24</f>
        <v>591.83069499999999</v>
      </c>
      <c r="H26" s="5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0.36896859389292508</v>
      </c>
      <c r="I26" s="83">
        <f>Stage4to1!I24+Stage3to1!I24+Stage2to1!I24+Stage1to1!I24+Stage4to2!I24+Stage3to2!I24+Stage2to2!I24+Stage4to3!I24+Stage3to3!I24+Stage4to4!I24</f>
        <v>653.58784999999989</v>
      </c>
      <c r="J26" s="60">
        <v>8.4096590310481645</v>
      </c>
      <c r="K26" s="58">
        <f t="shared" si="0"/>
        <v>4.5639919097094985</v>
      </c>
      <c r="L26" s="58">
        <f t="shared" si="8"/>
        <v>1</v>
      </c>
      <c r="M26">
        <f t="shared" si="1"/>
        <v>0.54270831823970522</v>
      </c>
      <c r="N26" s="62">
        <f t="shared" si="9"/>
        <v>1</v>
      </c>
      <c r="O26" s="58">
        <f t="shared" si="2"/>
        <v>6.0696634925882176</v>
      </c>
      <c r="P26" s="58">
        <f t="shared" si="15"/>
        <v>1</v>
      </c>
      <c r="Q26">
        <f t="shared" si="3"/>
        <v>0.72174905904974673</v>
      </c>
      <c r="R26" s="62">
        <f t="shared" si="10"/>
        <v>1</v>
      </c>
      <c r="S26" s="58">
        <f t="shared" si="4"/>
        <v>7.060431951840993</v>
      </c>
      <c r="T26" s="58">
        <f t="shared" si="11"/>
        <v>1</v>
      </c>
      <c r="U26">
        <f t="shared" si="5"/>
        <v>0.83956221361343275</v>
      </c>
      <c r="V26">
        <f t="shared" si="12"/>
        <v>1</v>
      </c>
      <c r="W26" s="58">
        <f t="shared" si="6"/>
        <v>8.0406904371552397</v>
      </c>
      <c r="X26" s="58">
        <f t="shared" si="13"/>
        <v>1</v>
      </c>
      <c r="Y26">
        <f t="shared" si="7"/>
        <v>0.95612561787217465</v>
      </c>
      <c r="Z26" s="83">
        <f t="shared" si="14"/>
        <v>1.7</v>
      </c>
    </row>
    <row r="27" spans="1:26" x14ac:dyDescent="0.2">
      <c r="A27" s="9">
        <v>73</v>
      </c>
      <c r="B27" s="5">
        <f>(Stage4to1!J25+Stage3to1!J25+Stage2to1!J25+Stage1to1!J25)/(Stage4to1!F25+Stage3to1!F25+Stage2to1!F25+Stage1to1!F25)</f>
        <v>3.8308378424121656</v>
      </c>
      <c r="C27" s="5">
        <f>Stage4to1!F25+Stage3to1!F25+Stage2to1!F25+Stage1to1!F25</f>
        <v>492.17683900000003</v>
      </c>
      <c r="D27" s="5">
        <f>(Stage4to1!K25+Stage3to1!K25+Stage2to1!K25+Stage1to1!K25+Stage4to2!K25+Stage3to2!K25+Stage2to2!K25)/(Stage4to1!G25+Stage3to1!G25+Stage2to1!G25+Stage1to1!G25+Stage4to2!G25+Stage3to2!G25+Stage2to2!G25)</f>
        <v>2.3354656663209146</v>
      </c>
      <c r="E27" s="5">
        <f>Stage4to1!G25+Stage3to1!G25+Stage2to1!G25+Stage1to1!G25+Stage4to2!G25+Stage3to2!G25+Stage2to2!G25</f>
        <v>504.19314100000003</v>
      </c>
      <c r="F27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1.3475927120479403</v>
      </c>
      <c r="G27" s="5">
        <f>Stage4to1!H25+Stage3to1!H25+Stage2to1!H25+Stage1to1!H25+Stage4to2!H25+Stage3to2!H25+Stage2to2!H25+Stage4to3!H25+Stage3to3!H25</f>
        <v>589.32605000000001</v>
      </c>
      <c r="H27" s="5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0.36897998789060232</v>
      </c>
      <c r="I27" s="83">
        <f>Stage4to1!I25+Stage3to1!I25+Stage2to1!I25+Stage1to1!I25+Stage4to2!I25+Stage3to2!I25+Stage2to2!I25+Stage4to3!I25+Stage3to3!I25+Stage4to4!I25</f>
        <v>653.09607000000005</v>
      </c>
      <c r="J27" s="60">
        <v>8.0383277353736702</v>
      </c>
      <c r="K27" s="58">
        <f t="shared" si="0"/>
        <v>4.2074898929615046</v>
      </c>
      <c r="L27" s="58">
        <f t="shared" si="8"/>
        <v>1</v>
      </c>
      <c r="M27">
        <f t="shared" si="1"/>
        <v>0.52342850795270723</v>
      </c>
      <c r="N27" s="62">
        <f t="shared" si="9"/>
        <v>1</v>
      </c>
      <c r="O27" s="58">
        <f t="shared" si="2"/>
        <v>5.7028620690527561</v>
      </c>
      <c r="P27" s="58">
        <f t="shared" si="15"/>
        <v>1</v>
      </c>
      <c r="Q27">
        <f t="shared" si="3"/>
        <v>0.7094587651554185</v>
      </c>
      <c r="R27" s="62">
        <f t="shared" si="10"/>
        <v>1</v>
      </c>
      <c r="S27" s="58">
        <f t="shared" si="4"/>
        <v>6.6907350233257299</v>
      </c>
      <c r="T27" s="58">
        <f t="shared" si="11"/>
        <v>1</v>
      </c>
      <c r="U27">
        <f t="shared" si="5"/>
        <v>0.8323540969699843</v>
      </c>
      <c r="V27">
        <f t="shared" si="12"/>
        <v>1</v>
      </c>
      <c r="W27" s="58">
        <f t="shared" si="6"/>
        <v>7.6693477474830676</v>
      </c>
      <c r="X27" s="58">
        <f t="shared" si="13"/>
        <v>1</v>
      </c>
      <c r="Y27">
        <f t="shared" si="7"/>
        <v>0.95409741925962288</v>
      </c>
      <c r="Z27" s="83">
        <f t="shared" si="14"/>
        <v>1.7</v>
      </c>
    </row>
    <row r="28" spans="1:26" x14ac:dyDescent="0.2">
      <c r="A28" s="9">
        <v>74</v>
      </c>
      <c r="B28" s="5">
        <f>(Stage4to1!J26+Stage3to1!J26+Stage2to1!J26+Stage1to1!J26)/(Stage4to1!F26+Stage3to1!F26+Stage2to1!F26+Stage1to1!F26)</f>
        <v>3.8143884319881112</v>
      </c>
      <c r="C28" s="5">
        <f>Stage4to1!F26+Stage3to1!F26+Stage2to1!F26+Stage1to1!F26</f>
        <v>485.38705299999998</v>
      </c>
      <c r="D28" s="5">
        <f>(Stage4to1!K26+Stage3to1!K26+Stage2to1!K26+Stage1to1!K26+Stage4to2!K26+Stage3to2!K26+Stage2to2!K26)/(Stage4to1!G26+Stage3to1!G26+Stage2to1!G26+Stage1to1!G26+Stage4to2!G26+Stage3to2!G26+Stage2to2!G26)</f>
        <v>2.3302480951318341</v>
      </c>
      <c r="E28" s="5">
        <f>Stage4to1!G26+Stage3to1!G26+Stage2to1!G26+Stage1to1!G26+Stage4to2!G26+Stage3to2!G26+Stage2to2!G26</f>
        <v>500.51888999999994</v>
      </c>
      <c r="F28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1.3459401829117148</v>
      </c>
      <c r="G28" s="5">
        <f>Stage4to1!H26+Stage3to1!H26+Stage2to1!H26+Stage1to1!H26+Stage4to2!H26+Stage3to2!H26+Stage2to2!H26+Stage4to3!H26+Stage3to3!H26</f>
        <v>587.29010400000004</v>
      </c>
      <c r="H28" s="5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0.36898899244908001</v>
      </c>
      <c r="I28" s="83">
        <f>Stage4to1!I26+Stage3to1!I26+Stage2to1!I26+Stage1to1!I26+Stage4to2!I26+Stage3to2!I26+Stage2to2!I26+Stage4to3!I26+Stage3to3!I26+Stage4to4!I26</f>
        <v>652.71649000000002</v>
      </c>
      <c r="J28" s="60">
        <v>7.6737154870642286</v>
      </c>
      <c r="K28" s="58">
        <f t="shared" si="0"/>
        <v>3.8593270550761174</v>
      </c>
      <c r="L28" s="58">
        <f t="shared" si="8"/>
        <v>1</v>
      </c>
      <c r="M28">
        <f t="shared" si="1"/>
        <v>0.50292808764957209</v>
      </c>
      <c r="N28" s="62">
        <f t="shared" si="9"/>
        <v>1</v>
      </c>
      <c r="O28" s="58">
        <f t="shared" si="2"/>
        <v>5.3434673919323945</v>
      </c>
      <c r="P28" s="58">
        <f t="shared" si="15"/>
        <v>1</v>
      </c>
      <c r="Q28">
        <f t="shared" si="3"/>
        <v>0.69633379044870891</v>
      </c>
      <c r="R28" s="62">
        <f t="shared" si="10"/>
        <v>1</v>
      </c>
      <c r="S28" s="58">
        <f t="shared" si="4"/>
        <v>6.3277753041525138</v>
      </c>
      <c r="T28" s="58">
        <f t="shared" si="11"/>
        <v>1</v>
      </c>
      <c r="U28">
        <f t="shared" si="5"/>
        <v>0.82460384605337544</v>
      </c>
      <c r="V28">
        <f t="shared" si="12"/>
        <v>1</v>
      </c>
      <c r="W28" s="58">
        <f t="shared" si="6"/>
        <v>7.3047264946151484</v>
      </c>
      <c r="X28" s="58">
        <f t="shared" si="13"/>
        <v>1</v>
      </c>
      <c r="Y28">
        <f t="shared" si="7"/>
        <v>0.95191521068625828</v>
      </c>
      <c r="Z28" s="83">
        <f t="shared" si="14"/>
        <v>1.7</v>
      </c>
    </row>
    <row r="29" spans="1:26" x14ac:dyDescent="0.2">
      <c r="A29" s="9">
        <v>75</v>
      </c>
      <c r="B29" s="5">
        <f>(Stage4to1!J27+Stage3to1!J27+Stage2to1!J27+Stage1to1!J27)/(Stage4to1!F27+Stage3to1!F27+Stage2to1!F27+Stage1to1!F27)</f>
        <v>3.3718683311152535</v>
      </c>
      <c r="C29" s="5">
        <f>Stage4to1!F27+Stage3to1!F27+Stage2to1!F27+Stage1to1!F27</f>
        <v>560.07537500000001</v>
      </c>
      <c r="D29" s="5">
        <f>(Stage4to1!K27+Stage3to1!K27+Stage2to1!K27+Stage1to1!K27+Stage4to2!K27+Stage3to2!K27+Stage2to2!K27)/(Stage4to1!G27+Stage3to1!G27+Stage2to1!G27+Stage1to1!G27+Stage4to2!G27+Stage3to2!G27+Stage2to2!G27)</f>
        <v>2.0749981882249582</v>
      </c>
      <c r="E29" s="5">
        <f>Stage4to1!G27+Stage3to1!G27+Stage2to1!G27+Stage1to1!G27+Stage4to2!G27+Stage3to2!G27+Stage2to2!G27</f>
        <v>607.19458799999995</v>
      </c>
      <c r="F29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1.2203523763826938</v>
      </c>
      <c r="G29" s="5">
        <f>Stage4to1!H27+Stage3to1!H27+Stage2to1!H27+Stage1to1!H27+Stage4to2!H27+Stage3to2!H27+Stage2to2!H27+Stage4to3!H27+Stage3to3!H27</f>
        <v>723.352621</v>
      </c>
      <c r="H29" s="5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0.31361542728205843</v>
      </c>
      <c r="I29" s="83">
        <f>Stage4to1!I27+Stage3to1!I27+Stage2to1!I27+Stage1to1!I27+Stage4to2!I27+Stage3to2!I27+Stage2to2!I27+Stage4to3!I27+Stage3to3!I27+Stage4to4!I27</f>
        <v>800.40852000000007</v>
      </c>
      <c r="J29" s="60">
        <v>7.3079651138669099</v>
      </c>
      <c r="K29" s="58">
        <f t="shared" si="0"/>
        <v>3.9360967827516564</v>
      </c>
      <c r="L29" s="58">
        <f t="shared" si="8"/>
        <v>1</v>
      </c>
      <c r="M29">
        <f t="shared" si="1"/>
        <v>0.53860366345795607</v>
      </c>
      <c r="N29" s="62">
        <f t="shared" si="9"/>
        <v>1</v>
      </c>
      <c r="O29" s="58">
        <f t="shared" si="2"/>
        <v>5.2329669256419518</v>
      </c>
      <c r="P29" s="58">
        <f t="shared" si="15"/>
        <v>1</v>
      </c>
      <c r="Q29">
        <f t="shared" si="3"/>
        <v>0.71606347924572933</v>
      </c>
      <c r="R29" s="62">
        <f t="shared" si="10"/>
        <v>1</v>
      </c>
      <c r="S29" s="58">
        <f t="shared" si="4"/>
        <v>6.0876127374842159</v>
      </c>
      <c r="T29" s="58">
        <f t="shared" si="11"/>
        <v>1</v>
      </c>
      <c r="U29">
        <f t="shared" si="5"/>
        <v>0.83301064559448046</v>
      </c>
      <c r="V29">
        <f t="shared" si="12"/>
        <v>1</v>
      </c>
      <c r="W29" s="58">
        <f t="shared" si="6"/>
        <v>6.9943496865848518</v>
      </c>
      <c r="X29" s="58">
        <f t="shared" si="13"/>
        <v>1</v>
      </c>
      <c r="Y29">
        <f t="shared" si="7"/>
        <v>0.9570858067333996</v>
      </c>
      <c r="Z29" s="83">
        <f t="shared" si="14"/>
        <v>1.7</v>
      </c>
    </row>
    <row r="30" spans="1:26" x14ac:dyDescent="0.2">
      <c r="A30" s="9">
        <v>76</v>
      </c>
      <c r="B30" s="5">
        <f>(Stage4to1!J28+Stage3to1!J28+Stage2to1!J28+Stage1to1!J28)/(Stage4to1!F28+Stage3to1!F28+Stage2to1!F28+Stage1to1!F28)</f>
        <v>3.3534076817028251</v>
      </c>
      <c r="C30" s="5">
        <f>Stage4to1!F28+Stage3to1!F28+Stage2to1!F28+Stage1to1!F28</f>
        <v>550.69201400000009</v>
      </c>
      <c r="D30" s="5">
        <f>(Stage4to1!K28+Stage3to1!K28+Stage2to1!K28+Stage1to1!K28+Stage4to2!K28+Stage3to2!K28+Stage2to2!K28)/(Stage4to1!G28+Stage3to1!G28+Stage2to1!G28+Stage1to1!G28+Stage4to2!G28+Stage3to2!G28+Stage2to2!G28)</f>
        <v>2.0689570809461624</v>
      </c>
      <c r="E30" s="5">
        <f>Stage4to1!G28+Stage3to1!G28+Stage2to1!G28+Stage1to1!G28+Stage4to2!G28+Stage3to2!G28+Stage2to2!G28</f>
        <v>601.17907300000002</v>
      </c>
      <c r="F30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1.2180954061565767</v>
      </c>
      <c r="G30" s="5">
        <f>Stage4to1!H28+Stage3to1!H28+Stage2to1!H28+Stage1to1!H28+Stage4to2!H28+Stage3to2!H28+Stage2to2!H28+Stage4to3!H28+Stage3to3!H28</f>
        <v>719.84488699999997</v>
      </c>
      <c r="H30" s="5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0.31362627114153402</v>
      </c>
      <c r="I30" s="83">
        <f>Stage4to1!I28+Stage3to1!I28+Stage2to1!I28+Stage1to1!I28+Stage4to2!I28+Stage3to2!I28+Stage2to2!I28+Stage4to3!I28+Stage3to3!I28+Stage4to4!I28</f>
        <v>799.77521999999999</v>
      </c>
      <c r="J30" s="60">
        <v>6.9454341390477792</v>
      </c>
      <c r="K30" s="58">
        <f t="shared" si="0"/>
        <v>3.5920264573449541</v>
      </c>
      <c r="L30" s="58">
        <f t="shared" si="8"/>
        <v>1</v>
      </c>
      <c r="M30">
        <f t="shared" si="1"/>
        <v>0.51717810369121464</v>
      </c>
      <c r="N30" s="62">
        <f t="shared" si="9"/>
        <v>1</v>
      </c>
      <c r="O30" s="58">
        <f t="shared" si="2"/>
        <v>4.8764770581016172</v>
      </c>
      <c r="P30" s="58">
        <f t="shared" si="15"/>
        <v>1</v>
      </c>
      <c r="Q30">
        <f t="shared" si="3"/>
        <v>0.70211263406641178</v>
      </c>
      <c r="R30" s="62">
        <f t="shared" si="10"/>
        <v>1</v>
      </c>
      <c r="S30" s="58">
        <f t="shared" si="4"/>
        <v>5.7273387328912024</v>
      </c>
      <c r="T30" s="58">
        <f t="shared" si="11"/>
        <v>1</v>
      </c>
      <c r="U30">
        <f t="shared" si="5"/>
        <v>0.82461925607956621</v>
      </c>
      <c r="V30">
        <f t="shared" si="12"/>
        <v>1</v>
      </c>
      <c r="W30" s="58">
        <f t="shared" si="6"/>
        <v>6.6318078679062449</v>
      </c>
      <c r="X30" s="58">
        <f t="shared" si="13"/>
        <v>1</v>
      </c>
      <c r="Y30">
        <f t="shared" si="7"/>
        <v>0.95484425237318105</v>
      </c>
      <c r="Z30" s="83">
        <f t="shared" si="14"/>
        <v>1.7</v>
      </c>
    </row>
    <row r="31" spans="1:26" x14ac:dyDescent="0.2">
      <c r="A31" s="9">
        <v>77</v>
      </c>
      <c r="B31" s="5">
        <f>(Stage4to1!J29+Stage3to1!J29+Stage2to1!J29+Stage1to1!J29)/(Stage4to1!F29+Stage3to1!F29+Stage2to1!F29+Stage1to1!F29)</f>
        <v>3.3333231787372091</v>
      </c>
      <c r="C31" s="5">
        <f>Stage4to1!F29+Stage3to1!F29+Stage2to1!F29+Stage1to1!F29</f>
        <v>540.641886</v>
      </c>
      <c r="D31" s="5">
        <f>(Stage4to1!K29+Stage3to1!K29+Stage2to1!K29+Stage1to1!K29+Stage4to2!K29+Stage3to2!K29+Stage2to2!K29)/(Stage4to1!G29+Stage3to1!G29+Stage2to1!G29+Stage1to1!G29+Stage4to2!G29+Stage3to2!G29+Stage2to2!G29)</f>
        <v>2.0626797983905045</v>
      </c>
      <c r="E31" s="5">
        <f>Stage4to1!G29+Stage3to1!G29+Stage2to1!G29+Stage1to1!G29+Stage4to2!G29+Stage3to2!G29+Stage2to2!G29</f>
        <v>594.56524999999999</v>
      </c>
      <c r="F31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1.2157917101407487</v>
      </c>
      <c r="G31" s="5">
        <f>Stage4to1!H29+Stage3to1!H29+Stage2to1!H29+Stage1to1!H29+Stage4to2!H29+Stage3to2!H29+Stage2to2!H29+Stage4to3!H29+Stage3to3!H29</f>
        <v>715.72337000000005</v>
      </c>
      <c r="H31" s="5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0.31363920907550902</v>
      </c>
      <c r="I31" s="83">
        <f>Stage4to1!I29+Stage3to1!I29+Stage2to1!I29+Stage1to1!I29+Stage4to2!I29+Stage3to2!I29+Stage2to2!I29+Stage4to3!I29+Stage3to3!I29+Stage4to4!I29</f>
        <v>798.98195999999996</v>
      </c>
      <c r="J31" s="60">
        <v>6.5885520751733786</v>
      </c>
      <c r="K31" s="58">
        <f t="shared" si="0"/>
        <v>3.2552288964361695</v>
      </c>
      <c r="L31" s="58">
        <f t="shared" si="8"/>
        <v>1</v>
      </c>
      <c r="M31">
        <f t="shared" si="1"/>
        <v>0.49407348675323443</v>
      </c>
      <c r="N31" s="62">
        <f t="shared" si="9"/>
        <v>1</v>
      </c>
      <c r="O31" s="58">
        <f t="shared" si="2"/>
        <v>4.5258722767828736</v>
      </c>
      <c r="P31" s="58">
        <f t="shared" si="15"/>
        <v>1</v>
      </c>
      <c r="Q31">
        <f t="shared" si="3"/>
        <v>0.68692972676607023</v>
      </c>
      <c r="R31" s="62">
        <f t="shared" si="10"/>
        <v>1</v>
      </c>
      <c r="S31" s="58">
        <f t="shared" si="4"/>
        <v>5.3727603650326294</v>
      </c>
      <c r="T31" s="58">
        <f t="shared" si="11"/>
        <v>1</v>
      </c>
      <c r="U31">
        <f t="shared" si="5"/>
        <v>0.81546905962509897</v>
      </c>
      <c r="V31">
        <f t="shared" si="12"/>
        <v>1</v>
      </c>
      <c r="W31" s="58">
        <f t="shared" si="6"/>
        <v>6.2749128660978695</v>
      </c>
      <c r="X31" s="58">
        <f t="shared" si="13"/>
        <v>1</v>
      </c>
      <c r="Y31">
        <f t="shared" si="7"/>
        <v>0.95239633754169639</v>
      </c>
      <c r="Z31" s="83">
        <f t="shared" si="14"/>
        <v>1.7</v>
      </c>
    </row>
    <row r="32" spans="1:26" x14ac:dyDescent="0.2">
      <c r="A32" s="9">
        <v>78</v>
      </c>
      <c r="B32" s="5">
        <f>(Stage4to1!J30+Stage3to1!J30+Stage2to1!J30+Stage1to1!J30)/(Stage4to1!F30+Stage3to1!F30+Stage2to1!F30+Stage1to1!F30)</f>
        <v>3.3107946553543162</v>
      </c>
      <c r="C32" s="5">
        <f>Stage4to1!F30+Stage3to1!F30+Stage2to1!F30+Stage1to1!F30</f>
        <v>530.39564600000006</v>
      </c>
      <c r="D32" s="5">
        <f>(Stage4to1!K30+Stage3to1!K30+Stage2to1!K30+Stage1to1!K30+Stage4to2!K30+Stage3to2!K30+Stage2to2!K30)/(Stage4to1!G30+Stage3to1!G30+Stage2to1!G30+Stage1to1!G30+Stage4to2!G30+Stage3to2!G30+Stage2to2!G30)</f>
        <v>2.0557020238825494</v>
      </c>
      <c r="E32" s="5">
        <f>Stage4to1!G30+Stage3to1!G30+Stage2to1!G30+Stage1to1!G30+Stage4to2!G30+Stage3to2!G30+Stage2to2!G30</f>
        <v>588.12222099999997</v>
      </c>
      <c r="F32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1.2134982240546066</v>
      </c>
      <c r="G32" s="5">
        <f>Stage4to1!H30+Stage3to1!H30+Stage2to1!H30+Stage1to1!H30+Stage4to2!H30+Stage3to2!H30+Stage2to2!H30+Stage4to3!H30+Stage3to3!H30</f>
        <v>711.79440799999998</v>
      </c>
      <c r="H32" s="5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0.31365145946409684</v>
      </c>
      <c r="I32" s="82">
        <f>Stage4to1!I30+Stage3to1!I30+Stage2to1!I30+Stage1to1!I30+Stage4to2!I30+Stage3to2!I30+Stage2to2!I30+Stage4to3!I30+Stage3to3!I30+Stage4to4!I30</f>
        <v>798.22176000000002</v>
      </c>
      <c r="J32" s="60">
        <v>6.2360656249528823</v>
      </c>
      <c r="K32" s="58">
        <f t="shared" si="0"/>
        <v>2.9252709695985661</v>
      </c>
      <c r="L32" s="58">
        <f t="shared" si="8"/>
        <v>1</v>
      </c>
      <c r="M32">
        <f t="shared" si="1"/>
        <v>0.46908918948726885</v>
      </c>
      <c r="N32" s="62">
        <f t="shared" si="9"/>
        <v>1</v>
      </c>
      <c r="O32" s="58">
        <f t="shared" si="2"/>
        <v>4.1803636010703329</v>
      </c>
      <c r="P32" s="58">
        <f t="shared" si="15"/>
        <v>1</v>
      </c>
      <c r="Q32">
        <f t="shared" si="3"/>
        <v>0.67035272758245201</v>
      </c>
      <c r="R32" s="62">
        <f t="shared" si="10"/>
        <v>1</v>
      </c>
      <c r="S32" s="58">
        <f t="shared" si="4"/>
        <v>5.0225674008982759</v>
      </c>
      <c r="T32" s="58">
        <f t="shared" si="11"/>
        <v>1</v>
      </c>
      <c r="U32">
        <f t="shared" si="5"/>
        <v>0.80540643780287746</v>
      </c>
      <c r="V32">
        <f t="shared" si="12"/>
        <v>1</v>
      </c>
      <c r="W32" s="58">
        <f t="shared" si="6"/>
        <v>5.9224141654887852</v>
      </c>
      <c r="X32" s="58">
        <f t="shared" si="13"/>
        <v>1</v>
      </c>
      <c r="Y32">
        <f t="shared" si="7"/>
        <v>0.94970363073007802</v>
      </c>
      <c r="Z32" s="82">
        <f t="shared" si="14"/>
        <v>1.2</v>
      </c>
    </row>
    <row r="33" spans="1:26" x14ac:dyDescent="0.2">
      <c r="A33" s="9">
        <v>79</v>
      </c>
      <c r="B33" s="5">
        <f>(Stage4to1!J31+Stage3to1!J31+Stage2to1!J31+Stage1to1!J31)/(Stage4to1!F31+Stage3to1!F31+Stage2to1!F31+Stage1to1!F31)</f>
        <v>3.2852929495413643</v>
      </c>
      <c r="C33" s="5">
        <f>Stage4to1!F31+Stage3to1!F31+Stage2to1!F31+Stage1to1!F31</f>
        <v>519.57425599999999</v>
      </c>
      <c r="D33" s="5">
        <f>(Stage4to1!K31+Stage3to1!K31+Stage2to1!K31+Stage1to1!K31+Stage4to2!K31+Stage3to2!K31+Stage2to2!K31)/(Stage4to1!G31+Stage3to1!G31+Stage2to1!G31+Stage1to1!G31+Stage4to2!G31+Stage3to2!G31+Stage2to2!G31)</f>
        <v>2.047403173848179</v>
      </c>
      <c r="E33" s="5">
        <f>Stage4to1!G31+Stage3to1!G31+Stage2to1!G31+Stage1to1!G31+Stage4to2!G31+Stage3to2!G31+Stage2to2!G31</f>
        <v>581.64105399999994</v>
      </c>
      <c r="F33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1.2108911748868467</v>
      </c>
      <c r="G33" s="5">
        <f>Stage4to1!H31+Stage3to1!H31+Stage2to1!H31+Stage1to1!H31+Stage4to2!H31+Stage3to2!H31+Stage2to2!H31+Stage4to3!H31+Stage3to3!H31</f>
        <v>708.22985400000005</v>
      </c>
      <c r="H33" s="5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0.31366230999319711</v>
      </c>
      <c r="I33" s="82">
        <f>Stage4to1!I31+Stage3to1!I31+Stage2to1!I31+Stage1to1!I31+Stage4to2!I31+Stage3to2!I31+Stage2to2!I31+Stage4to3!I31+Stage3to3!I31+Stage4to4!I31</f>
        <v>797.58789000000002</v>
      </c>
      <c r="J33" s="60">
        <v>5.89039822365425</v>
      </c>
      <c r="K33" s="58">
        <f t="shared" si="0"/>
        <v>2.6051052741128857</v>
      </c>
      <c r="L33" s="58">
        <f t="shared" si="8"/>
        <v>1</v>
      </c>
      <c r="M33">
        <f t="shared" si="1"/>
        <v>0.44226301434960474</v>
      </c>
      <c r="N33" s="62">
        <f t="shared" si="9"/>
        <v>1</v>
      </c>
      <c r="O33" s="58">
        <f t="shared" si="2"/>
        <v>3.842995049806071</v>
      </c>
      <c r="P33" s="58">
        <f t="shared" si="15"/>
        <v>1</v>
      </c>
      <c r="Q33">
        <f t="shared" si="3"/>
        <v>0.65241684923332344</v>
      </c>
      <c r="R33" s="62">
        <f t="shared" si="10"/>
        <v>1</v>
      </c>
      <c r="S33" s="58">
        <f t="shared" si="4"/>
        <v>4.6795070487674035</v>
      </c>
      <c r="T33" s="58">
        <f t="shared" si="11"/>
        <v>1</v>
      </c>
      <c r="U33">
        <f t="shared" si="5"/>
        <v>0.794429658418639</v>
      </c>
      <c r="V33">
        <f t="shared" si="12"/>
        <v>1</v>
      </c>
      <c r="W33" s="58">
        <f t="shared" si="6"/>
        <v>5.5767359136610528</v>
      </c>
      <c r="X33" s="58">
        <f t="shared" si="13"/>
        <v>1</v>
      </c>
      <c r="Y33">
        <f t="shared" si="7"/>
        <v>0.94675023689678328</v>
      </c>
      <c r="Z33" s="82">
        <f t="shared" si="14"/>
        <v>1.2</v>
      </c>
    </row>
    <row r="34" spans="1:26" x14ac:dyDescent="0.2">
      <c r="A34" s="10"/>
      <c r="B34" s="6"/>
      <c r="C34" s="6"/>
      <c r="D34" s="6"/>
      <c r="E34" s="6"/>
      <c r="F34" s="6"/>
      <c r="G34" s="6"/>
      <c r="H34" s="6"/>
      <c r="I34" s="5"/>
      <c r="J34" s="60"/>
      <c r="K34" s="58"/>
      <c r="L34" s="58"/>
      <c r="N34" s="62"/>
      <c r="O34" s="58"/>
      <c r="P34" s="58"/>
      <c r="R34" s="62"/>
      <c r="S34" s="58"/>
      <c r="T34" s="58"/>
      <c r="W34" s="58"/>
      <c r="X34" s="58"/>
      <c r="Z34" s="62"/>
    </row>
    <row r="36" spans="1:26" x14ac:dyDescent="0.2">
      <c r="D36" t="s">
        <v>110</v>
      </c>
    </row>
    <row r="37" spans="1:26" x14ac:dyDescent="0.2">
      <c r="A37" s="9" t="s">
        <v>105</v>
      </c>
      <c r="B37" s="58">
        <f>SUM(C4:C33)+SUM(E4:E33)+SUM(G4:G33) +SUM(I4:I33)</f>
        <v>42936.861491000003</v>
      </c>
      <c r="D37">
        <f>B37/COUNTA(A4:A33)</f>
        <v>1431.2287163666667</v>
      </c>
      <c r="F37" t="s">
        <v>111</v>
      </c>
    </row>
    <row r="38" spans="1:26" x14ac:dyDescent="0.2">
      <c r="A38" s="9" t="s">
        <v>106</v>
      </c>
      <c r="B38" s="58">
        <f>SUM(G4:G22)+SUM(E4:E5)+SUM(G24)+SUM(I4:I33)</f>
        <v>17402.140931000002</v>
      </c>
      <c r="D38">
        <f>B38/COUNTA(A5:A34)</f>
        <v>600.07382520689657</v>
      </c>
      <c r="F38" t="s">
        <v>114</v>
      </c>
      <c r="J38">
        <f>D37/300</f>
        <v>4.7707623878888894</v>
      </c>
      <c r="K38" t="s">
        <v>115</v>
      </c>
    </row>
    <row r="39" spans="1:26" x14ac:dyDescent="0.2">
      <c r="A39" s="9" t="s">
        <v>107</v>
      </c>
      <c r="B39">
        <f>(B38/B37)*100</f>
        <v>40.529606325901732</v>
      </c>
      <c r="F39">
        <f>34+33+32</f>
        <v>99</v>
      </c>
      <c r="G39" t="s">
        <v>112</v>
      </c>
    </row>
    <row r="40" spans="1:26" x14ac:dyDescent="0.2">
      <c r="F40">
        <f>137+102+66</f>
        <v>305</v>
      </c>
    </row>
    <row r="41" spans="1:26" x14ac:dyDescent="0.2">
      <c r="F41">
        <v>19</v>
      </c>
      <c r="J41">
        <f>SUM(J29:J33)/5</f>
        <v>6.5936830353390405</v>
      </c>
    </row>
    <row r="42" spans="1:26" ht="20" x14ac:dyDescent="0.2">
      <c r="F42" s="87">
        <f>48+44+32</f>
        <v>124</v>
      </c>
    </row>
    <row r="43" spans="1:26" x14ac:dyDescent="0.2">
      <c r="F43">
        <f>F42/F41</f>
        <v>6.5263157894736841</v>
      </c>
      <c r="G43" t="s">
        <v>113</v>
      </c>
    </row>
  </sheetData>
  <mergeCells count="5">
    <mergeCell ref="B1:H1"/>
    <mergeCell ref="D2:E2"/>
    <mergeCell ref="F2:G2"/>
    <mergeCell ref="H2:I2"/>
    <mergeCell ref="B2:C2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V74"/>
  <sheetViews>
    <sheetView workbookViewId="0">
      <selection activeCell="M72" sqref="M72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0.33203125" customWidth="1"/>
  </cols>
  <sheetData>
    <row r="1" spans="1:22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22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54.390619999999998</v>
      </c>
      <c r="G2" s="5">
        <v>19.245650000000001</v>
      </c>
      <c r="H2" s="5">
        <v>13.56535</v>
      </c>
      <c r="I2" s="70">
        <v>23.582560000000001</v>
      </c>
      <c r="J2" s="5">
        <v>248.6474</v>
      </c>
      <c r="K2" s="5">
        <v>64.965249999999997</v>
      </c>
      <c r="L2" s="5">
        <v>33.8065</v>
      </c>
      <c r="M2" s="70">
        <v>18.185600000000001</v>
      </c>
      <c r="N2" s="5">
        <f>J2/F2</f>
        <v>4.5715125144740032</v>
      </c>
      <c r="O2" s="5">
        <f>K2/G2</f>
        <v>3.3755809754412032</v>
      </c>
      <c r="P2" s="5">
        <f>L2/H2</f>
        <v>2.4921214712484381</v>
      </c>
      <c r="Q2" s="5">
        <f>M2/I2</f>
        <v>0.77114613511001351</v>
      </c>
      <c r="R2" s="63" t="s">
        <v>92</v>
      </c>
      <c r="S2" s="63" t="s">
        <v>93</v>
      </c>
      <c r="T2" s="63" t="s">
        <v>94</v>
      </c>
    </row>
    <row r="3" spans="1:22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54.284410000000001</v>
      </c>
      <c r="G3" s="5">
        <v>19.223949999999999</v>
      </c>
      <c r="H3" s="5">
        <v>13.55597</v>
      </c>
      <c r="I3" s="70">
        <v>23.580089999999998</v>
      </c>
      <c r="J3" s="5">
        <v>247.99080000000001</v>
      </c>
      <c r="K3" s="5">
        <v>64.868729999999999</v>
      </c>
      <c r="L3" s="5">
        <v>33.776589999999999</v>
      </c>
      <c r="M3" s="70">
        <v>18.183779999999999</v>
      </c>
      <c r="N3" s="5">
        <f t="shared" ref="N3:N31" si="0">J3/F3</f>
        <v>4.5683613398395595</v>
      </c>
      <c r="O3" s="5">
        <f t="shared" ref="O3:O31" si="1">K3/G3</f>
        <v>3.3743705117834786</v>
      </c>
      <c r="P3" s="5">
        <f t="shared" ref="P3:P31" si="2">L3/H3</f>
        <v>2.4916394769241892</v>
      </c>
      <c r="Q3" s="5">
        <f t="shared" ref="Q3:Q31" si="3">M3/I3</f>
        <v>0.77114972843615104</v>
      </c>
      <c r="R3" s="65"/>
      <c r="S3" s="65"/>
      <c r="T3" s="65"/>
      <c r="U3" s="65"/>
      <c r="V3" s="66"/>
    </row>
    <row r="4" spans="1:22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54.170830000000002</v>
      </c>
      <c r="G4" s="5">
        <v>19.201329999999999</v>
      </c>
      <c r="H4" s="5">
        <v>13.546530000000001</v>
      </c>
      <c r="I4" s="70">
        <v>23.577629999999999</v>
      </c>
      <c r="J4" s="5">
        <v>247.2834</v>
      </c>
      <c r="K4" s="5">
        <v>64.766530000000003</v>
      </c>
      <c r="L4" s="5">
        <v>33.745989999999999</v>
      </c>
      <c r="M4" s="70">
        <v>18.18197</v>
      </c>
      <c r="N4" s="5">
        <f t="shared" si="0"/>
        <v>4.5648811362129766</v>
      </c>
      <c r="O4" s="5">
        <f t="shared" si="1"/>
        <v>3.373023118711048</v>
      </c>
      <c r="P4" s="5">
        <f t="shared" si="2"/>
        <v>2.4911169133350013</v>
      </c>
      <c r="Q4" s="5">
        <f t="shared" si="3"/>
        <v>0.77115341957609818</v>
      </c>
      <c r="R4" s="67"/>
      <c r="S4" s="67"/>
      <c r="T4" s="67"/>
      <c r="U4" s="67"/>
      <c r="V4" s="66"/>
    </row>
    <row r="5" spans="1:22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54.047550000000001</v>
      </c>
      <c r="G5" s="5">
        <v>19.17719</v>
      </c>
      <c r="H5" s="5">
        <v>13.53703</v>
      </c>
      <c r="I5" s="70">
        <v>23.57564</v>
      </c>
      <c r="J5" s="5">
        <v>246.51349999999999</v>
      </c>
      <c r="K5" s="5">
        <v>64.655860000000004</v>
      </c>
      <c r="L5" s="5">
        <v>33.713940000000001</v>
      </c>
      <c r="M5" s="70">
        <v>18.180510000000002</v>
      </c>
      <c r="N5" s="5">
        <f t="shared" si="0"/>
        <v>4.5610485581677613</v>
      </c>
      <c r="O5" s="5">
        <f t="shared" si="1"/>
        <v>3.3714981183374628</v>
      </c>
      <c r="P5" s="5">
        <f t="shared" si="2"/>
        <v>2.4904975463598737</v>
      </c>
      <c r="Q5" s="5">
        <f t="shared" si="3"/>
        <v>0.77115658366008311</v>
      </c>
      <c r="R5" s="67"/>
      <c r="S5" s="67"/>
      <c r="T5" s="67"/>
      <c r="U5" s="67"/>
      <c r="V5" s="66"/>
    </row>
    <row r="6" spans="1:22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53.904049999999998</v>
      </c>
      <c r="G6" s="5">
        <v>19.147729999999999</v>
      </c>
      <c r="H6" s="5">
        <v>13.5245</v>
      </c>
      <c r="I6" s="70">
        <v>23.57235</v>
      </c>
      <c r="J6" s="5">
        <v>245.63409999999999</v>
      </c>
      <c r="K6" s="5">
        <v>64.524029999999996</v>
      </c>
      <c r="L6" s="5">
        <v>33.673720000000003</v>
      </c>
      <c r="M6" s="70">
        <v>18.178090000000001</v>
      </c>
      <c r="N6" s="5">
        <f t="shared" si="0"/>
        <v>4.556876524120173</v>
      </c>
      <c r="O6" s="5">
        <f t="shared" si="1"/>
        <v>3.369800493322185</v>
      </c>
      <c r="P6" s="5">
        <f t="shared" si="2"/>
        <v>2.4898310473584977</v>
      </c>
      <c r="Q6" s="5">
        <f t="shared" si="3"/>
        <v>0.77116155156359045</v>
      </c>
      <c r="R6" s="5"/>
      <c r="S6" s="5"/>
      <c r="T6" s="5"/>
      <c r="U6" s="5"/>
    </row>
    <row r="7" spans="1:22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101.4485</v>
      </c>
      <c r="G7" s="5">
        <v>37.597580000000001</v>
      </c>
      <c r="H7" s="5">
        <v>27.156469999999999</v>
      </c>
      <c r="I7" s="70">
        <v>47.764049999999997</v>
      </c>
      <c r="J7" s="5">
        <v>424.35410000000002</v>
      </c>
      <c r="K7" s="5">
        <v>114.78926</v>
      </c>
      <c r="L7" s="5">
        <v>59.794840000000001</v>
      </c>
      <c r="M7" s="70">
        <v>24.530550000000002</v>
      </c>
      <c r="N7" s="5">
        <f t="shared" si="0"/>
        <v>4.1829509554108739</v>
      </c>
      <c r="O7" s="5">
        <f t="shared" si="1"/>
        <v>3.0531023539280984</v>
      </c>
      <c r="P7" s="5">
        <f t="shared" si="2"/>
        <v>2.2018634969861695</v>
      </c>
      <c r="Q7" s="5">
        <f t="shared" si="3"/>
        <v>0.51357768028464934</v>
      </c>
      <c r="R7" s="5"/>
      <c r="S7" s="5"/>
      <c r="T7" s="5"/>
      <c r="U7" s="5"/>
    </row>
    <row r="8" spans="1:22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101.15161999999999</v>
      </c>
      <c r="G8" s="5">
        <v>37.532850000000003</v>
      </c>
      <c r="H8" s="5">
        <v>27.13008</v>
      </c>
      <c r="I8" s="70">
        <v>47.758369999999999</v>
      </c>
      <c r="J8" s="5">
        <v>422.66039999999998</v>
      </c>
      <c r="K8" s="5">
        <v>114.51508</v>
      </c>
      <c r="L8" s="5">
        <v>59.712960000000002</v>
      </c>
      <c r="M8" s="70">
        <v>24.52777</v>
      </c>
      <c r="N8" s="5">
        <f t="shared" si="0"/>
        <v>4.178483745490186</v>
      </c>
      <c r="O8" s="5">
        <f t="shared" si="1"/>
        <v>3.0510627357101843</v>
      </c>
      <c r="P8" s="5">
        <f t="shared" si="2"/>
        <v>2.2009872436793407</v>
      </c>
      <c r="Q8" s="5">
        <f t="shared" si="3"/>
        <v>0.51358055143004255</v>
      </c>
      <c r="R8" s="5"/>
      <c r="S8" s="5"/>
      <c r="T8" s="5"/>
      <c r="U8" s="5"/>
    </row>
    <row r="9" spans="1:22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100.81189999999999</v>
      </c>
      <c r="G9" s="5">
        <v>37.455039999999997</v>
      </c>
      <c r="H9" s="5">
        <v>27.095870000000001</v>
      </c>
      <c r="I9" s="70">
        <v>47.750320000000002</v>
      </c>
      <c r="J9" s="5">
        <v>420.75819999999999</v>
      </c>
      <c r="K9" s="5">
        <v>114.19638</v>
      </c>
      <c r="L9" s="5">
        <v>59.611350000000002</v>
      </c>
      <c r="M9" s="70">
        <v>24.52383</v>
      </c>
      <c r="N9" s="5">
        <f t="shared" si="0"/>
        <v>4.1736957640913426</v>
      </c>
      <c r="O9" s="5">
        <f t="shared" si="1"/>
        <v>3.0488922185105132</v>
      </c>
      <c r="P9" s="5">
        <f t="shared" si="2"/>
        <v>2.2000160910131323</v>
      </c>
      <c r="Q9" s="5">
        <f t="shared" si="3"/>
        <v>0.51358462100358693</v>
      </c>
      <c r="R9" s="5"/>
      <c r="S9" s="5"/>
      <c r="T9" s="5"/>
      <c r="U9" s="5"/>
    </row>
    <row r="10" spans="1:22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100.43758</v>
      </c>
      <c r="G10" s="5">
        <v>37.367040000000003</v>
      </c>
      <c r="H10" s="5">
        <v>27.0548</v>
      </c>
      <c r="I10" s="70">
        <v>47.7395</v>
      </c>
      <c r="J10" s="5">
        <v>418.67770000000002</v>
      </c>
      <c r="K10" s="5">
        <v>113.84383</v>
      </c>
      <c r="L10" s="5">
        <v>59.494160000000001</v>
      </c>
      <c r="M10" s="70">
        <v>24.518509999999999</v>
      </c>
      <c r="N10" s="5">
        <f t="shared" si="0"/>
        <v>4.1685363187762992</v>
      </c>
      <c r="O10" s="5">
        <f t="shared" si="1"/>
        <v>3.0466376250299727</v>
      </c>
      <c r="P10" s="5">
        <f t="shared" si="2"/>
        <v>2.1990242027292752</v>
      </c>
      <c r="Q10" s="5">
        <f t="shared" si="3"/>
        <v>0.51358958514437725</v>
      </c>
      <c r="R10" s="5"/>
      <c r="S10" s="5"/>
      <c r="T10" s="5"/>
      <c r="U10" s="5"/>
    </row>
    <row r="11" spans="1:22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100.04382</v>
      </c>
      <c r="G11" s="5">
        <v>37.275379999999998</v>
      </c>
      <c r="H11" s="5">
        <v>27.01153</v>
      </c>
      <c r="I11" s="70">
        <v>47.726939999999999</v>
      </c>
      <c r="J11" s="5">
        <v>416.47289999999998</v>
      </c>
      <c r="K11" s="5">
        <v>113.47617</v>
      </c>
      <c r="L11" s="5">
        <v>59.372489999999999</v>
      </c>
      <c r="M11" s="70">
        <v>24.512329999999999</v>
      </c>
      <c r="N11" s="5">
        <f t="shared" si="0"/>
        <v>4.1629048151100188</v>
      </c>
      <c r="O11" s="5">
        <f t="shared" si="1"/>
        <v>3.0442659471211293</v>
      </c>
      <c r="P11" s="5">
        <f t="shared" si="2"/>
        <v>2.1980424655693329</v>
      </c>
      <c r="Q11" s="5">
        <f t="shared" si="3"/>
        <v>0.51359525668312278</v>
      </c>
      <c r="R11" s="5"/>
      <c r="S11" s="5"/>
      <c r="T11" s="5"/>
      <c r="U11" s="5"/>
    </row>
    <row r="12" spans="1:22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165.76877999999999</v>
      </c>
      <c r="G12" s="5">
        <v>65.141559999999998</v>
      </c>
      <c r="H12" s="5">
        <v>48.804450000000003</v>
      </c>
      <c r="I12" s="70">
        <v>87.447059999999993</v>
      </c>
      <c r="J12" s="5">
        <v>639.94060000000002</v>
      </c>
      <c r="K12" s="5">
        <v>185.65083999999999</v>
      </c>
      <c r="L12" s="5">
        <v>102.12654999999999</v>
      </c>
      <c r="M12" s="70">
        <v>41.286580000000001</v>
      </c>
      <c r="N12" s="5">
        <f t="shared" si="0"/>
        <v>3.8604410311760757</v>
      </c>
      <c r="O12" s="5">
        <f t="shared" si="1"/>
        <v>2.8499599948174406</v>
      </c>
      <c r="P12" s="5">
        <f t="shared" si="2"/>
        <v>2.0925663540927104</v>
      </c>
      <c r="Q12" s="5">
        <f t="shared" si="3"/>
        <v>0.47213228209158781</v>
      </c>
      <c r="R12" s="5"/>
      <c r="S12" s="5"/>
      <c r="T12" s="5"/>
      <c r="U12" s="5"/>
    </row>
    <row r="13" spans="1:22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165.09476000000001</v>
      </c>
      <c r="G13" s="5">
        <v>64.978669999999994</v>
      </c>
      <c r="H13" s="5">
        <v>48.727679999999999</v>
      </c>
      <c r="I13" s="70">
        <v>87.427049999999994</v>
      </c>
      <c r="J13" s="5">
        <v>636.34889999999996</v>
      </c>
      <c r="K13" s="5">
        <v>185.02582000000001</v>
      </c>
      <c r="L13" s="5">
        <v>101.91455000000001</v>
      </c>
      <c r="M13" s="70">
        <v>41.277549999999998</v>
      </c>
      <c r="N13" s="5">
        <f t="shared" si="0"/>
        <v>3.8544463797639605</v>
      </c>
      <c r="O13" s="5">
        <f t="shared" si="1"/>
        <v>2.8474854902385665</v>
      </c>
      <c r="P13" s="5">
        <f t="shared" si="2"/>
        <v>2.091512462731655</v>
      </c>
      <c r="Q13" s="5">
        <f t="shared" si="3"/>
        <v>0.47213705597981404</v>
      </c>
      <c r="R13" s="5"/>
      <c r="S13" s="5"/>
      <c r="T13" s="5"/>
      <c r="U13" s="5"/>
    </row>
    <row r="14" spans="1:22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164.35845</v>
      </c>
      <c r="G14" s="5">
        <v>64.799819999999997</v>
      </c>
      <c r="H14" s="5">
        <v>48.642000000000003</v>
      </c>
      <c r="I14" s="70">
        <v>87.403819999999996</v>
      </c>
      <c r="J14" s="5">
        <v>632.42660000000001</v>
      </c>
      <c r="K14" s="5">
        <v>184.34335999999999</v>
      </c>
      <c r="L14" s="5">
        <v>101.68071999999999</v>
      </c>
      <c r="M14" s="70">
        <v>41.267069999999997</v>
      </c>
      <c r="N14" s="5">
        <f t="shared" si="0"/>
        <v>3.8478496237948216</v>
      </c>
      <c r="O14" s="5">
        <f t="shared" si="1"/>
        <v>2.8448128405294955</v>
      </c>
      <c r="P14" s="5">
        <f t="shared" si="2"/>
        <v>2.0903893754368652</v>
      </c>
      <c r="Q14" s="5">
        <f t="shared" si="3"/>
        <v>0.47214263632870962</v>
      </c>
      <c r="R14" s="5"/>
      <c r="S14" s="5"/>
      <c r="T14" s="5"/>
      <c r="U14" s="5"/>
    </row>
    <row r="15" spans="1:22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163.56665000000001</v>
      </c>
      <c r="G15" s="5">
        <v>64.609669999999994</v>
      </c>
      <c r="H15" s="5">
        <v>48.551569999999998</v>
      </c>
      <c r="I15" s="70">
        <v>87.379320000000007</v>
      </c>
      <c r="J15" s="5">
        <v>628.18029999999999</v>
      </c>
      <c r="K15" s="5">
        <v>183.614</v>
      </c>
      <c r="L15" s="5">
        <v>101.43317999999999</v>
      </c>
      <c r="M15" s="70">
        <v>41.256010000000003</v>
      </c>
      <c r="N15" s="5">
        <f t="shared" si="0"/>
        <v>3.8405157775133252</v>
      </c>
      <c r="O15" s="5">
        <f t="shared" si="1"/>
        <v>2.8418965767817732</v>
      </c>
      <c r="P15" s="5">
        <f t="shared" si="2"/>
        <v>2.089184345634961</v>
      </c>
      <c r="Q15" s="5">
        <f t="shared" si="3"/>
        <v>0.47214844427720426</v>
      </c>
      <c r="R15" s="5"/>
      <c r="S15" s="5"/>
      <c r="T15" s="5"/>
      <c r="U15" s="5"/>
    </row>
    <row r="16" spans="1:22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162.70656</v>
      </c>
      <c r="G16" s="5">
        <v>64.405810000000002</v>
      </c>
      <c r="H16" s="5">
        <v>48.455820000000003</v>
      </c>
      <c r="I16" s="70">
        <v>87.353260000000006</v>
      </c>
      <c r="J16" s="5">
        <v>623.50750000000005</v>
      </c>
      <c r="K16" s="5">
        <v>182.82668000000001</v>
      </c>
      <c r="L16" s="5">
        <v>101.16934000000001</v>
      </c>
      <c r="M16" s="70">
        <v>41.244230000000002</v>
      </c>
      <c r="N16" s="5">
        <f>J16/F16</f>
        <v>3.8320981034815071</v>
      </c>
      <c r="O16" s="5">
        <f t="shared" si="1"/>
        <v>2.8386675053073627</v>
      </c>
      <c r="P16" s="5">
        <f t="shared" si="2"/>
        <v>2.0878676699723582</v>
      </c>
      <c r="Q16" s="5">
        <f t="shared" si="3"/>
        <v>0.47215444506593113</v>
      </c>
      <c r="R16" s="5"/>
      <c r="S16" s="5"/>
      <c r="T16" s="5"/>
      <c r="U16" s="5"/>
    </row>
    <row r="17" spans="1:21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235.12862000000001</v>
      </c>
      <c r="G17" s="5">
        <v>96.063360000000003</v>
      </c>
      <c r="H17" s="5">
        <v>73.535129999999995</v>
      </c>
      <c r="I17" s="70">
        <v>133.63390999999999</v>
      </c>
      <c r="J17" s="5">
        <v>854.02380000000005</v>
      </c>
      <c r="K17" s="5">
        <v>259.51745</v>
      </c>
      <c r="L17" s="5">
        <v>146.09551999999999</v>
      </c>
      <c r="M17" s="70">
        <v>53.03304</v>
      </c>
      <c r="N17" s="5">
        <f t="shared" si="0"/>
        <v>3.6321558813214656</v>
      </c>
      <c r="O17" s="5">
        <f t="shared" si="1"/>
        <v>2.7015237651483353</v>
      </c>
      <c r="P17" s="5">
        <f t="shared" si="2"/>
        <v>1.9867445668485253</v>
      </c>
      <c r="Q17" s="5">
        <f t="shared" si="3"/>
        <v>0.39685316399108583</v>
      </c>
      <c r="R17" s="5"/>
      <c r="S17" s="5"/>
      <c r="T17" s="5"/>
      <c r="U17" s="5"/>
    </row>
    <row r="18" spans="1:21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233.67989</v>
      </c>
      <c r="G18" s="5">
        <v>95.698400000000007</v>
      </c>
      <c r="H18" s="5">
        <v>73.353980000000007</v>
      </c>
      <c r="I18" s="70">
        <v>133.58394999999999</v>
      </c>
      <c r="J18" s="5">
        <v>846.51919999999996</v>
      </c>
      <c r="K18" s="5">
        <v>258.18245999999999</v>
      </c>
      <c r="L18" s="5">
        <v>145.62581</v>
      </c>
      <c r="M18" s="70">
        <v>53.014069999999997</v>
      </c>
      <c r="N18" s="5">
        <f t="shared" si="0"/>
        <v>3.6225590486198875</v>
      </c>
      <c r="O18" s="5">
        <f t="shared" si="1"/>
        <v>2.6978764535248234</v>
      </c>
      <c r="P18" s="5">
        <f t="shared" si="2"/>
        <v>1.98524756257261</v>
      </c>
      <c r="Q18" s="5">
        <f t="shared" si="3"/>
        <v>0.39685957781604753</v>
      </c>
      <c r="R18" s="5"/>
      <c r="S18" s="5"/>
      <c r="T18" s="5"/>
      <c r="U18" s="5"/>
    </row>
    <row r="19" spans="1:21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232.09106</v>
      </c>
      <c r="G19" s="5">
        <v>95.306709999999995</v>
      </c>
      <c r="H19" s="5">
        <v>73.16086</v>
      </c>
      <c r="I19" s="70">
        <v>133.52964</v>
      </c>
      <c r="J19" s="5">
        <v>838.20309999999995</v>
      </c>
      <c r="K19" s="5">
        <v>256.73228</v>
      </c>
      <c r="L19" s="5">
        <v>145.12663000000001</v>
      </c>
      <c r="M19" s="70">
        <v>52.99344</v>
      </c>
      <c r="N19" s="5">
        <f t="shared" si="0"/>
        <v>3.6115268722543643</v>
      </c>
      <c r="O19" s="5">
        <f t="shared" si="1"/>
        <v>2.6937482156293089</v>
      </c>
      <c r="P19" s="5">
        <f t="shared" si="2"/>
        <v>1.983664899510476</v>
      </c>
      <c r="Q19" s="5">
        <f t="shared" si="3"/>
        <v>0.39686649346167635</v>
      </c>
      <c r="R19" s="5"/>
      <c r="S19" s="5"/>
      <c r="T19" s="5"/>
      <c r="U19" s="5"/>
    </row>
    <row r="20" spans="1:21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230.32590999999999</v>
      </c>
      <c r="G20" s="5">
        <v>94.884569999999997</v>
      </c>
      <c r="H20" s="5">
        <v>72.959530000000001</v>
      </c>
      <c r="I20" s="70">
        <v>133.47037</v>
      </c>
      <c r="J20" s="5">
        <v>828.78679999999997</v>
      </c>
      <c r="K20" s="5">
        <v>255.12916000000001</v>
      </c>
      <c r="L20" s="5">
        <v>144.60069999999999</v>
      </c>
      <c r="M20" s="70">
        <v>52.970880000000001</v>
      </c>
      <c r="N20" s="5">
        <f t="shared" si="0"/>
        <v>3.5983220472243005</v>
      </c>
      <c r="O20" s="5">
        <f t="shared" si="1"/>
        <v>2.6888371839594152</v>
      </c>
      <c r="P20" s="5">
        <f t="shared" si="2"/>
        <v>1.9819302564037897</v>
      </c>
      <c r="Q20" s="5">
        <f t="shared" si="3"/>
        <v>0.39687370312976583</v>
      </c>
      <c r="R20" s="5"/>
      <c r="S20" s="5"/>
      <c r="T20" s="5"/>
      <c r="U20" s="5"/>
    </row>
    <row r="21" spans="1:21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228.35681</v>
      </c>
      <c r="G21" s="5">
        <v>94.431030000000007</v>
      </c>
      <c r="H21" s="5">
        <v>72.765940000000001</v>
      </c>
      <c r="I21" s="70">
        <v>133.42313999999999</v>
      </c>
      <c r="J21" s="5">
        <v>818.2115</v>
      </c>
      <c r="K21" s="5">
        <v>253.33354</v>
      </c>
      <c r="L21" s="5">
        <v>144.05375000000001</v>
      </c>
      <c r="M21" s="70">
        <v>52.952970000000001</v>
      </c>
      <c r="N21" s="5">
        <f t="shared" si="0"/>
        <v>3.5830396299545435</v>
      </c>
      <c r="O21" s="5">
        <f t="shared" si="1"/>
        <v>2.6827361726330845</v>
      </c>
      <c r="P21" s="5">
        <f t="shared" si="2"/>
        <v>1.9796865126733745</v>
      </c>
      <c r="Q21" s="5">
        <f t="shared" si="3"/>
        <v>0.39687995650529589</v>
      </c>
      <c r="R21" s="5"/>
      <c r="S21" s="5"/>
      <c r="T21" s="5"/>
      <c r="U21" s="5"/>
    </row>
    <row r="22" spans="1:21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296.39395999999999</v>
      </c>
      <c r="G22" s="5">
        <v>127.19379000000001</v>
      </c>
      <c r="H22" s="5">
        <v>100.07678</v>
      </c>
      <c r="I22" s="70">
        <v>185.32141999999999</v>
      </c>
      <c r="J22" s="5">
        <v>1009.2125</v>
      </c>
      <c r="K22" s="5">
        <v>329.52082000000001</v>
      </c>
      <c r="L22" s="5">
        <v>193.85964000000001</v>
      </c>
      <c r="M22" s="70">
        <v>68.053210000000007</v>
      </c>
      <c r="N22" s="5">
        <f t="shared" si="0"/>
        <v>3.4049698583601367</v>
      </c>
      <c r="O22" s="5">
        <f t="shared" si="1"/>
        <v>2.5906989641554041</v>
      </c>
      <c r="P22" s="5">
        <f t="shared" si="2"/>
        <v>1.9371090876425083</v>
      </c>
      <c r="Q22" s="5">
        <f t="shared" si="3"/>
        <v>0.36721718406863063</v>
      </c>
      <c r="R22" s="5"/>
      <c r="S22" s="5"/>
      <c r="T22" s="5"/>
      <c r="U22" s="5"/>
    </row>
    <row r="23" spans="1:21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292.92935</v>
      </c>
      <c r="G23" s="5">
        <v>126.264</v>
      </c>
      <c r="H23" s="5">
        <v>99.636179999999996</v>
      </c>
      <c r="I23" s="70">
        <v>185.21548999999999</v>
      </c>
      <c r="J23" s="5">
        <v>992.49059999999997</v>
      </c>
      <c r="K23" s="5">
        <v>326.16014999999999</v>
      </c>
      <c r="L23" s="5">
        <v>192.67486</v>
      </c>
      <c r="M23" s="70">
        <v>68.016139999999993</v>
      </c>
      <c r="N23" s="5">
        <f t="shared" si="0"/>
        <v>3.3881569054108098</v>
      </c>
      <c r="O23" s="5">
        <f t="shared" si="1"/>
        <v>2.5831602832161185</v>
      </c>
      <c r="P23" s="5">
        <f t="shared" si="2"/>
        <v>1.9337840932882011</v>
      </c>
      <c r="Q23" s="5">
        <f t="shared" si="3"/>
        <v>0.36722706076041478</v>
      </c>
      <c r="R23" s="5"/>
      <c r="S23" s="5"/>
      <c r="T23" s="5"/>
      <c r="U23" s="5"/>
    </row>
    <row r="24" spans="1:21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288.91154</v>
      </c>
      <c r="G24" s="5">
        <v>125.13182</v>
      </c>
      <c r="H24" s="5">
        <v>99.064329999999998</v>
      </c>
      <c r="I24" s="70">
        <v>185.07579000000001</v>
      </c>
      <c r="J24" s="5">
        <v>973.55719999999997</v>
      </c>
      <c r="K24" s="5">
        <v>322.20303999999999</v>
      </c>
      <c r="L24" s="5">
        <v>191.19129000000001</v>
      </c>
      <c r="M24" s="70">
        <v>67.967320000000001</v>
      </c>
      <c r="N24" s="5">
        <f t="shared" si="0"/>
        <v>3.3697414786546775</v>
      </c>
      <c r="O24" s="5">
        <f t="shared" si="1"/>
        <v>2.5749089240450589</v>
      </c>
      <c r="P24" s="5">
        <f t="shared" si="2"/>
        <v>1.9299710602191527</v>
      </c>
      <c r="Q24" s="5">
        <f t="shared" si="3"/>
        <v>0.3672404694314691</v>
      </c>
      <c r="R24" s="5"/>
      <c r="S24" s="5"/>
      <c r="T24" s="5"/>
      <c r="U24" s="5"/>
    </row>
    <row r="25" spans="1:21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284.32472000000001</v>
      </c>
      <c r="G25" s="5">
        <v>123.78318</v>
      </c>
      <c r="H25" s="5">
        <v>98.319680000000005</v>
      </c>
      <c r="I25" s="70">
        <v>184.83681999999999</v>
      </c>
      <c r="J25" s="5">
        <v>952.48170000000005</v>
      </c>
      <c r="K25" s="5">
        <v>317.64976999999999</v>
      </c>
      <c r="L25" s="5">
        <v>189.39388</v>
      </c>
      <c r="M25" s="70">
        <v>67.883099999999999</v>
      </c>
      <c r="N25" s="5">
        <f t="shared" si="0"/>
        <v>3.3499785034519687</v>
      </c>
      <c r="O25" s="5">
        <f t="shared" si="1"/>
        <v>2.5661787813174617</v>
      </c>
      <c r="P25" s="5">
        <f t="shared" si="2"/>
        <v>1.9263069204456318</v>
      </c>
      <c r="Q25" s="5">
        <f t="shared" si="3"/>
        <v>0.36725961851107375</v>
      </c>
      <c r="R25" s="5"/>
      <c r="S25" s="5"/>
      <c r="T25" s="5"/>
      <c r="U25" s="5"/>
    </row>
    <row r="26" spans="1:21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279.79336999999998</v>
      </c>
      <c r="G26" s="5">
        <v>122.51541</v>
      </c>
      <c r="H26" s="5">
        <v>97.677899999999994</v>
      </c>
      <c r="I26" s="70">
        <v>184.65111999999999</v>
      </c>
      <c r="J26" s="5">
        <v>931.15800000000002</v>
      </c>
      <c r="K26" s="5">
        <v>313.18205</v>
      </c>
      <c r="L26" s="5">
        <v>187.75246000000001</v>
      </c>
      <c r="M26" s="70">
        <v>67.817769999999996</v>
      </c>
      <c r="N26" s="5">
        <f t="shared" si="0"/>
        <v>3.328020245797819</v>
      </c>
      <c r="O26" s="5">
        <f t="shared" si="1"/>
        <v>2.5562665953613508</v>
      </c>
      <c r="P26" s="5">
        <f t="shared" si="2"/>
        <v>1.9221590554260486</v>
      </c>
      <c r="Q26" s="5">
        <f t="shared" si="3"/>
        <v>0.36727516193782089</v>
      </c>
      <c r="R26" s="5"/>
      <c r="S26" s="5"/>
      <c r="T26" s="5"/>
      <c r="U26" s="5"/>
    </row>
    <row r="27" spans="1:21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314.57530000000003</v>
      </c>
      <c r="G27" s="5">
        <v>143.94264000000001</v>
      </c>
      <c r="H27" s="5">
        <v>117.97501</v>
      </c>
      <c r="I27" s="70">
        <v>226.32679999999999</v>
      </c>
      <c r="J27" s="5">
        <v>958.20460000000003</v>
      </c>
      <c r="K27" s="5">
        <v>339.30473999999998</v>
      </c>
      <c r="L27" s="5">
        <v>211.35211000000001</v>
      </c>
      <c r="M27" s="70">
        <v>70.654079999999993</v>
      </c>
      <c r="N27" s="5">
        <f t="shared" si="0"/>
        <v>3.046026181966607</v>
      </c>
      <c r="O27" s="5">
        <f t="shared" si="1"/>
        <v>2.3572218767142243</v>
      </c>
      <c r="P27" s="5">
        <f t="shared" si="2"/>
        <v>1.7914989793177387</v>
      </c>
      <c r="Q27" s="5">
        <f t="shared" si="3"/>
        <v>0.31217725872499413</v>
      </c>
      <c r="R27" s="5"/>
      <c r="S27" s="5"/>
      <c r="T27" s="5"/>
      <c r="U27" s="5"/>
    </row>
    <row r="28" spans="1:21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308.36461000000003</v>
      </c>
      <c r="G28" s="5">
        <v>141.99214000000001</v>
      </c>
      <c r="H28" s="5">
        <v>116.87905000000001</v>
      </c>
      <c r="I28" s="70">
        <v>226.01208</v>
      </c>
      <c r="J28" s="5">
        <v>932.10770000000002</v>
      </c>
      <c r="K28" s="5">
        <v>333.20283999999998</v>
      </c>
      <c r="L28" s="5">
        <v>208.80986999999999</v>
      </c>
      <c r="M28" s="70">
        <v>70.560090000000002</v>
      </c>
      <c r="N28" s="5">
        <f t="shared" si="0"/>
        <v>3.022745379244395</v>
      </c>
      <c r="O28" s="5">
        <f t="shared" si="1"/>
        <v>2.3466287640991959</v>
      </c>
      <c r="P28" s="5">
        <f t="shared" si="2"/>
        <v>1.7865466052299361</v>
      </c>
      <c r="Q28" s="5">
        <f t="shared" si="3"/>
        <v>0.31219610031463807</v>
      </c>
      <c r="R28" s="5"/>
      <c r="S28" s="5"/>
      <c r="T28" s="5"/>
      <c r="U28" s="5"/>
    </row>
    <row r="29" spans="1:21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301.71742</v>
      </c>
      <c r="G29" s="5">
        <v>139.88231999999999</v>
      </c>
      <c r="H29" s="5">
        <v>115.65382</v>
      </c>
      <c r="I29" s="70">
        <v>225.62397000000001</v>
      </c>
      <c r="J29" s="5">
        <v>904.43209999999999</v>
      </c>
      <c r="K29" s="5">
        <v>326.67451</v>
      </c>
      <c r="L29" s="5">
        <v>206.05072999999999</v>
      </c>
      <c r="M29" s="70">
        <v>70.443870000000004</v>
      </c>
      <c r="N29" s="5">
        <f t="shared" si="0"/>
        <v>2.9976131308560174</v>
      </c>
      <c r="O29" s="5">
        <f t="shared" si="1"/>
        <v>2.3353523876355498</v>
      </c>
      <c r="P29" s="5">
        <f t="shared" si="2"/>
        <v>1.7816162924838972</v>
      </c>
      <c r="Q29" s="5">
        <f t="shared" si="3"/>
        <v>0.31221802364349849</v>
      </c>
      <c r="R29" s="5"/>
      <c r="S29" s="5"/>
      <c r="T29" s="5"/>
      <c r="U29" s="5"/>
    </row>
    <row r="30" spans="1:21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294.9271</v>
      </c>
      <c r="G30" s="5">
        <v>137.78621999999999</v>
      </c>
      <c r="H30" s="5">
        <v>114.47949</v>
      </c>
      <c r="I30" s="70">
        <v>225.25361000000001</v>
      </c>
      <c r="J30" s="5">
        <v>875.57150000000001</v>
      </c>
      <c r="K30" s="5">
        <v>320.00974000000002</v>
      </c>
      <c r="L30" s="5">
        <v>203.35449</v>
      </c>
      <c r="M30" s="70">
        <v>70.332899999999995</v>
      </c>
      <c r="N30" s="5">
        <f t="shared" si="0"/>
        <v>2.9687726221157704</v>
      </c>
      <c r="O30" s="5">
        <f t="shared" si="1"/>
        <v>2.3225090288419268</v>
      </c>
      <c r="P30" s="5">
        <f t="shared" si="2"/>
        <v>1.7763399365248744</v>
      </c>
      <c r="Q30" s="5">
        <f t="shared" si="3"/>
        <v>0.31223872505306349</v>
      </c>
      <c r="R30" s="5"/>
      <c r="S30" s="5"/>
      <c r="T30" s="5"/>
      <c r="U30" s="5"/>
    </row>
    <row r="31" spans="1:21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287.73849999999999</v>
      </c>
      <c r="G31" s="5">
        <v>135.60963000000001</v>
      </c>
      <c r="H31" s="5">
        <v>113.33541</v>
      </c>
      <c r="I31" s="70">
        <v>224.93911</v>
      </c>
      <c r="J31" s="5">
        <v>845.01559999999995</v>
      </c>
      <c r="K31" s="5">
        <v>312.91127</v>
      </c>
      <c r="L31" s="5">
        <v>200.59087</v>
      </c>
      <c r="M31" s="70">
        <v>70.238979999999998</v>
      </c>
      <c r="N31" s="5">
        <f t="shared" si="0"/>
        <v>2.9367484712681828</v>
      </c>
      <c r="O31" s="5">
        <f t="shared" si="1"/>
        <v>2.3074413668114868</v>
      </c>
      <c r="P31" s="5">
        <f t="shared" si="2"/>
        <v>1.7698870105997764</v>
      </c>
      <c r="Q31" s="5">
        <f t="shared" si="3"/>
        <v>0.31225774833020364</v>
      </c>
      <c r="R31" s="5"/>
      <c r="S31" s="5"/>
      <c r="T31" s="5"/>
      <c r="U31" s="5"/>
    </row>
    <row r="32" spans="1:21" x14ac:dyDescent="0.2">
      <c r="A32" s="69"/>
      <c r="B32" s="6"/>
      <c r="C32" s="6"/>
      <c r="D32" s="6"/>
      <c r="E32" s="71"/>
      <c r="F32" s="8"/>
      <c r="I32" s="72">
        <v>29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2">
      <c r="B33" s="5"/>
      <c r="I33" s="64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E35" s="5"/>
      <c r="F35" s="5"/>
    </row>
    <row r="36" spans="2:21" x14ac:dyDescent="0.2">
      <c r="B36" s="5"/>
      <c r="C36" s="5"/>
      <c r="E36" s="95" t="s">
        <v>92</v>
      </c>
      <c r="F36" s="95" t="s">
        <v>93</v>
      </c>
      <c r="G36" s="95" t="s">
        <v>94</v>
      </c>
      <c r="H36" s="95" t="s">
        <v>91</v>
      </c>
      <c r="I36" s="95" t="s">
        <v>92</v>
      </c>
      <c r="J36" s="95" t="s">
        <v>93</v>
      </c>
      <c r="K36" s="95" t="s">
        <v>94</v>
      </c>
      <c r="L36" s="95" t="s">
        <v>91</v>
      </c>
      <c r="M36" s="95" t="s">
        <v>92</v>
      </c>
      <c r="N36" s="95" t="s">
        <v>93</v>
      </c>
      <c r="O36" s="95" t="s">
        <v>94</v>
      </c>
    </row>
    <row r="37" spans="2:21" x14ac:dyDescent="0.2">
      <c r="B37" s="5"/>
      <c r="C37" s="5"/>
      <c r="D37" s="63" t="s">
        <v>91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</row>
    <row r="38" spans="2:21" x14ac:dyDescent="0.2">
      <c r="B38" s="5"/>
      <c r="C38" s="5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</row>
    <row r="39" spans="2:21" x14ac:dyDescent="0.2">
      <c r="B39" s="5"/>
      <c r="C39" s="5"/>
      <c r="D39" s="64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21" x14ac:dyDescent="0.2">
      <c r="B40" s="5"/>
      <c r="C40" s="5"/>
      <c r="D40" s="64">
        <v>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21" x14ac:dyDescent="0.2">
      <c r="B41" s="5"/>
      <c r="C41" s="5"/>
      <c r="D41" s="64">
        <v>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21" x14ac:dyDescent="0.2">
      <c r="B42" s="5"/>
      <c r="C42" s="5"/>
      <c r="D42" s="64">
        <v>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21" x14ac:dyDescent="0.2">
      <c r="B43" s="5"/>
      <c r="C43" s="5"/>
      <c r="D43" s="64">
        <v>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63" t="s">
        <v>94</v>
      </c>
    </row>
    <row r="44" spans="2:21" x14ac:dyDescent="0.2">
      <c r="B44" s="5"/>
      <c r="C44" s="5"/>
      <c r="D44" s="64">
        <v>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63"/>
      <c r="R44" s="63"/>
    </row>
    <row r="45" spans="2:21" x14ac:dyDescent="0.2">
      <c r="B45" s="5"/>
      <c r="C45" s="5"/>
      <c r="D45" s="64">
        <v>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21" x14ac:dyDescent="0.2">
      <c r="B46" s="5"/>
      <c r="C46" s="5"/>
      <c r="D46" s="64">
        <v>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21" x14ac:dyDescent="0.2">
      <c r="B47" s="5"/>
      <c r="C47" s="5"/>
      <c r="D47" s="64">
        <v>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21" x14ac:dyDescent="0.2">
      <c r="B48" s="5"/>
      <c r="C48" s="5"/>
      <c r="D48" s="64">
        <v>10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64">
        <v>11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64">
        <v>12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64">
        <v>13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D52" s="64">
        <v>14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D53" s="64">
        <v>15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D54" s="64">
        <v>16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D55" s="64">
        <v>17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D56" s="64">
        <v>18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D57" s="64">
        <v>19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D58" s="64">
        <v>20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D59" s="64">
        <v>21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D60" s="64">
        <v>22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D61" s="64">
        <v>23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D62" s="64">
        <v>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D63" s="64">
        <v>25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D64" s="64">
        <v>26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4:18" x14ac:dyDescent="0.2">
      <c r="D65" s="64">
        <v>27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4:18" x14ac:dyDescent="0.2">
      <c r="D66" s="64">
        <v>28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4:18" x14ac:dyDescent="0.2">
      <c r="D67" s="64">
        <v>29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4:18" x14ac:dyDescent="0.2">
      <c r="D68" s="64">
        <v>30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4:18" x14ac:dyDescent="0.2">
      <c r="F69" s="64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4:18" x14ac:dyDescent="0.2">
      <c r="F70" s="64">
        <v>26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4:18" x14ac:dyDescent="0.2">
      <c r="F71" s="64">
        <v>27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4:18" x14ac:dyDescent="0.2">
      <c r="F72" s="64">
        <v>28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4:18" x14ac:dyDescent="0.2">
      <c r="F73" s="64">
        <v>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4:18" x14ac:dyDescent="0.2">
      <c r="F74" s="64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</sheetData>
  <mergeCells count="11">
    <mergeCell ref="K36:K37"/>
    <mergeCell ref="L36:L37"/>
    <mergeCell ref="M36:M37"/>
    <mergeCell ref="N36:N37"/>
    <mergeCell ref="O36:O37"/>
    <mergeCell ref="J36:J37"/>
    <mergeCell ref="E36:E37"/>
    <mergeCell ref="F36:F37"/>
    <mergeCell ref="G36:G37"/>
    <mergeCell ref="H36:H37"/>
    <mergeCell ref="I36:I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Q87"/>
  <sheetViews>
    <sheetView workbookViewId="0">
      <selection activeCell="G43" sqref="G43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19.135529999999999</v>
      </c>
      <c r="G2" s="5">
        <v>7.5200589999999998</v>
      </c>
      <c r="H2" s="5">
        <v>11.544090000000001</v>
      </c>
      <c r="I2" s="70">
        <v>0</v>
      </c>
      <c r="J2" s="5">
        <v>106.06100000000001</v>
      </c>
      <c r="K2" s="5">
        <v>31.066939999999999</v>
      </c>
      <c r="L2" s="5">
        <v>20.334610000000001</v>
      </c>
      <c r="M2" s="70">
        <v>0</v>
      </c>
      <c r="N2" s="5">
        <f>J2/F2</f>
        <v>5.5426215004235582</v>
      </c>
      <c r="O2" s="5">
        <f>K2/G2</f>
        <v>4.1312096088607815</v>
      </c>
      <c r="P2" s="5">
        <f>L2/H2</f>
        <v>1.7614736198349112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19.099440000000001</v>
      </c>
      <c r="G3" s="5">
        <v>7.5129169999999998</v>
      </c>
      <c r="H3" s="5">
        <v>11.54171</v>
      </c>
      <c r="I3" s="70">
        <v>0</v>
      </c>
      <c r="J3" s="5">
        <v>105.8002</v>
      </c>
      <c r="K3" s="5">
        <v>31.030080000000002</v>
      </c>
      <c r="L3" s="5">
        <v>20.330680000000001</v>
      </c>
      <c r="M3" s="70">
        <v>0</v>
      </c>
      <c r="N3" s="5">
        <f t="shared" ref="N3:P31" si="0">J3/F3</f>
        <v>5.5394398998085803</v>
      </c>
      <c r="O3" s="5">
        <f t="shared" si="0"/>
        <v>4.130230641440602</v>
      </c>
      <c r="P3" s="5">
        <f t="shared" si="0"/>
        <v>1.7614963467285178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19.060929999999999</v>
      </c>
      <c r="G4" s="5">
        <v>7.50556</v>
      </c>
      <c r="H4" s="5">
        <v>11.539350000000001</v>
      </c>
      <c r="I4" s="70">
        <v>0</v>
      </c>
      <c r="J4" s="5">
        <v>105.5198</v>
      </c>
      <c r="K4" s="5">
        <v>30.991540000000001</v>
      </c>
      <c r="L4" s="5">
        <v>20.326779999999999</v>
      </c>
      <c r="M4" s="70">
        <v>0</v>
      </c>
      <c r="N4" s="5">
        <f t="shared" si="0"/>
        <v>5.5359208601049374</v>
      </c>
      <c r="O4" s="5">
        <f t="shared" si="0"/>
        <v>4.1291442610544715</v>
      </c>
      <c r="P4" s="5">
        <f t="shared" si="0"/>
        <v>1.7615186297321772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19.019220000000001</v>
      </c>
      <c r="G5" s="5">
        <v>7.4978290000000003</v>
      </c>
      <c r="H5" s="5">
        <v>11.53722</v>
      </c>
      <c r="I5" s="70">
        <v>0</v>
      </c>
      <c r="J5" s="5">
        <v>105.2152</v>
      </c>
      <c r="K5" s="5">
        <v>30.950299999999999</v>
      </c>
      <c r="L5" s="5">
        <v>20.3233</v>
      </c>
      <c r="M5" s="70">
        <v>0</v>
      </c>
      <c r="N5" s="5">
        <f t="shared" si="0"/>
        <v>5.532046003989648</v>
      </c>
      <c r="O5" s="5">
        <f t="shared" si="0"/>
        <v>4.127901556570575</v>
      </c>
      <c r="P5" s="5">
        <f t="shared" si="0"/>
        <v>1.761542208608313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18.970580000000002</v>
      </c>
      <c r="G6" s="5">
        <v>7.4881779999999996</v>
      </c>
      <c r="H6" s="5">
        <v>11.534050000000001</v>
      </c>
      <c r="I6" s="70">
        <v>0</v>
      </c>
      <c r="J6" s="5">
        <v>104.86620000000001</v>
      </c>
      <c r="K6" s="5">
        <v>30.900200000000002</v>
      </c>
      <c r="L6" s="5">
        <v>20.318069999999999</v>
      </c>
      <c r="M6" s="70">
        <v>0</v>
      </c>
      <c r="N6" s="5">
        <f t="shared" si="0"/>
        <v>5.5278330973539029</v>
      </c>
      <c r="O6" s="5">
        <f t="shared" si="0"/>
        <v>4.1265311802150011</v>
      </c>
      <c r="P6" s="5">
        <f t="shared" si="0"/>
        <v>1.7615729080418412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37.304900000000004</v>
      </c>
      <c r="G7" s="5">
        <v>15.656174999999999</v>
      </c>
      <c r="H7" s="5">
        <v>24.831669999999999</v>
      </c>
      <c r="I7" s="70">
        <v>0</v>
      </c>
      <c r="J7" s="5">
        <v>188.9117</v>
      </c>
      <c r="K7" s="5">
        <v>58.31814</v>
      </c>
      <c r="L7" s="5">
        <v>36.632939999999998</v>
      </c>
      <c r="M7" s="70">
        <v>0</v>
      </c>
      <c r="N7" s="5">
        <f t="shared" si="0"/>
        <v>5.0639915935976232</v>
      </c>
      <c r="O7" s="5">
        <f t="shared" si="0"/>
        <v>3.724928981695721</v>
      </c>
      <c r="P7" s="5">
        <f t="shared" si="0"/>
        <v>1.4752507584065027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37.201920000000001</v>
      </c>
      <c r="G8" s="5">
        <v>15.634271</v>
      </c>
      <c r="H8" s="5">
        <v>24.825330000000001</v>
      </c>
      <c r="I8" s="70">
        <v>0</v>
      </c>
      <c r="J8" s="5">
        <v>188.22229999999999</v>
      </c>
      <c r="K8" s="5">
        <v>58.20993</v>
      </c>
      <c r="L8" s="5">
        <v>36.624160000000003</v>
      </c>
      <c r="M8" s="70">
        <v>0</v>
      </c>
      <c r="N8" s="5">
        <f t="shared" si="0"/>
        <v>5.0594781129576107</v>
      </c>
      <c r="O8" s="5">
        <f t="shared" si="0"/>
        <v>3.723226365975107</v>
      </c>
      <c r="P8" s="5">
        <f t="shared" si="0"/>
        <v>1.4752738432882866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37.083530000000003</v>
      </c>
      <c r="G9" s="5">
        <v>15.607298</v>
      </c>
      <c r="H9" s="5">
        <v>24.816649999999999</v>
      </c>
      <c r="I9" s="70">
        <v>0</v>
      </c>
      <c r="J9" s="5">
        <v>187.44370000000001</v>
      </c>
      <c r="K9" s="5">
        <v>58.080970000000001</v>
      </c>
      <c r="L9" s="5">
        <v>36.612079999999999</v>
      </c>
      <c r="M9" s="70">
        <v>0</v>
      </c>
      <c r="N9" s="5">
        <f t="shared" si="0"/>
        <v>5.0546347664313505</v>
      </c>
      <c r="O9" s="5">
        <f t="shared" si="0"/>
        <v>3.7213981561702738</v>
      </c>
      <c r="P9" s="5">
        <f t="shared" si="0"/>
        <v>1.4753030727354417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36.952640000000002</v>
      </c>
      <c r="G10" s="5">
        <v>15.576202</v>
      </c>
      <c r="H10" s="5">
        <v>24.805510000000002</v>
      </c>
      <c r="I10" s="70">
        <v>0</v>
      </c>
      <c r="J10" s="5">
        <v>186.59</v>
      </c>
      <c r="K10" s="5">
        <v>57.936010000000003</v>
      </c>
      <c r="L10" s="5">
        <v>36.596499999999999</v>
      </c>
      <c r="M10" s="70">
        <v>0</v>
      </c>
      <c r="N10" s="5">
        <f t="shared" si="0"/>
        <v>5.0494362513747326</v>
      </c>
      <c r="O10" s="5">
        <f t="shared" si="0"/>
        <v>3.7195209718004429</v>
      </c>
      <c r="P10" s="5">
        <f t="shared" si="0"/>
        <v>1.4753375358942427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36.815010000000001</v>
      </c>
      <c r="G11" s="5">
        <v>15.543751</v>
      </c>
      <c r="H11" s="5">
        <v>24.79318</v>
      </c>
      <c r="I11" s="70">
        <v>0</v>
      </c>
      <c r="J11" s="5">
        <v>185.68690000000001</v>
      </c>
      <c r="K11" s="5">
        <v>57.785089999999997</v>
      </c>
      <c r="L11" s="5">
        <v>36.579180000000001</v>
      </c>
      <c r="M11" s="70">
        <v>0</v>
      </c>
      <c r="N11" s="5">
        <f t="shared" si="0"/>
        <v>5.0437824137491747</v>
      </c>
      <c r="O11" s="5">
        <f t="shared" si="0"/>
        <v>3.7175769220698398</v>
      </c>
      <c r="P11" s="5">
        <f t="shared" si="0"/>
        <v>1.4753726629661867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62.250830000000001</v>
      </c>
      <c r="G12" s="5">
        <v>27.953426</v>
      </c>
      <c r="H12" s="5">
        <v>46.062620000000003</v>
      </c>
      <c r="I12" s="70">
        <v>0</v>
      </c>
      <c r="J12" s="5">
        <v>292.392</v>
      </c>
      <c r="K12" s="5">
        <v>98.807040000000001</v>
      </c>
      <c r="L12" s="5">
        <v>66.067970000000003</v>
      </c>
      <c r="M12" s="70">
        <v>0</v>
      </c>
      <c r="N12" s="5">
        <f t="shared" si="0"/>
        <v>4.696997614328998</v>
      </c>
      <c r="O12" s="5">
        <f t="shared" si="0"/>
        <v>3.5347023295105222</v>
      </c>
      <c r="P12" s="5">
        <f t="shared" si="0"/>
        <v>1.4343076880993744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62.011890000000001</v>
      </c>
      <c r="G13" s="5">
        <v>27.894925000000001</v>
      </c>
      <c r="H13" s="5">
        <v>46.041620000000002</v>
      </c>
      <c r="I13" s="70">
        <v>0</v>
      </c>
      <c r="J13" s="5">
        <v>290.90370000000001</v>
      </c>
      <c r="K13" s="5">
        <v>98.544929999999994</v>
      </c>
      <c r="L13" s="5">
        <v>66.039529999999999</v>
      </c>
      <c r="M13" s="70">
        <v>0</v>
      </c>
      <c r="N13" s="5">
        <f t="shared" si="0"/>
        <v>4.6910955302281545</v>
      </c>
      <c r="O13" s="5">
        <f t="shared" si="0"/>
        <v>3.5327189443957994</v>
      </c>
      <c r="P13" s="5">
        <f t="shared" si="0"/>
        <v>1.4343441868465965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61.750410000000002</v>
      </c>
      <c r="G14" s="5">
        <v>27.830371</v>
      </c>
      <c r="H14" s="5">
        <v>46.017650000000003</v>
      </c>
      <c r="I14" s="70">
        <v>0</v>
      </c>
      <c r="J14" s="5">
        <v>289.2758</v>
      </c>
      <c r="K14" s="5">
        <v>98.257649999999998</v>
      </c>
      <c r="L14" s="5">
        <v>66.00703</v>
      </c>
      <c r="M14" s="70">
        <v>0</v>
      </c>
      <c r="N14" s="5">
        <f t="shared" si="0"/>
        <v>4.6845972358726042</v>
      </c>
      <c r="O14" s="5">
        <f t="shared" si="0"/>
        <v>3.5305907348486301</v>
      </c>
      <c r="P14" s="5">
        <f t="shared" si="0"/>
        <v>1.4343850674686778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61.469589999999997</v>
      </c>
      <c r="G15" s="5">
        <v>27.761914999999998</v>
      </c>
      <c r="H15" s="5">
        <v>45.992370000000001</v>
      </c>
      <c r="I15" s="70">
        <v>0</v>
      </c>
      <c r="J15" s="5">
        <v>287.50119999999998</v>
      </c>
      <c r="K15" s="5">
        <v>97.951849999999993</v>
      </c>
      <c r="L15" s="5">
        <v>65.972750000000005</v>
      </c>
      <c r="M15" s="70">
        <v>0</v>
      </c>
      <c r="N15" s="5">
        <f t="shared" si="0"/>
        <v>4.6771289673479197</v>
      </c>
      <c r="O15" s="5">
        <f t="shared" si="0"/>
        <v>3.5282814604107822</v>
      </c>
      <c r="P15" s="5">
        <f t="shared" si="0"/>
        <v>1.4344281453641115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61.165439999999997</v>
      </c>
      <c r="G16" s="5">
        <v>27.688898999999999</v>
      </c>
      <c r="H16" s="5">
        <v>45.965629999999997</v>
      </c>
      <c r="I16" s="70">
        <v>0</v>
      </c>
      <c r="J16" s="5">
        <v>285.57080000000002</v>
      </c>
      <c r="K16" s="5">
        <v>97.623660000000001</v>
      </c>
      <c r="L16" s="5">
        <v>65.936499999999995</v>
      </c>
      <c r="M16" s="70">
        <v>0</v>
      </c>
      <c r="N16" s="5">
        <f>J16/F16</f>
        <v>4.6688260560211789</v>
      </c>
      <c r="O16" s="5">
        <f t="shared" si="0"/>
        <v>3.5257328216625732</v>
      </c>
      <c r="P16" s="5">
        <f t="shared" si="0"/>
        <v>1.4344739754464368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89.641050000000007</v>
      </c>
      <c r="G17" s="5">
        <v>41.824525000000001</v>
      </c>
      <c r="H17" s="5">
        <v>70.426479999999998</v>
      </c>
      <c r="I17" s="70">
        <v>0</v>
      </c>
      <c r="J17" s="5">
        <v>389.58949999999999</v>
      </c>
      <c r="K17" s="5">
        <v>137.45899</v>
      </c>
      <c r="L17" s="5">
        <v>89.031589999999994</v>
      </c>
      <c r="M17" s="70">
        <v>0</v>
      </c>
      <c r="N17" s="5">
        <f t="shared" si="0"/>
        <v>4.3461059414185792</v>
      </c>
      <c r="O17" s="5">
        <f t="shared" si="0"/>
        <v>3.2865642825590964</v>
      </c>
      <c r="P17" s="5">
        <f t="shared" si="0"/>
        <v>1.264177763818382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89.121049999999997</v>
      </c>
      <c r="G18" s="5">
        <v>41.690116000000003</v>
      </c>
      <c r="H18" s="5">
        <v>70.374930000000006</v>
      </c>
      <c r="I18" s="70">
        <v>0</v>
      </c>
      <c r="J18" s="5">
        <v>386.4948</v>
      </c>
      <c r="K18" s="5">
        <v>136.89959999999999</v>
      </c>
      <c r="L18" s="5">
        <v>88.969899999999996</v>
      </c>
      <c r="M18" s="70">
        <v>0</v>
      </c>
      <c r="N18" s="5">
        <f t="shared" si="0"/>
        <v>4.3367397489145381</v>
      </c>
      <c r="O18" s="5">
        <f t="shared" si="0"/>
        <v>3.2837423623383533</v>
      </c>
      <c r="P18" s="5">
        <f t="shared" si="0"/>
        <v>1.2642271899950734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88.552210000000002</v>
      </c>
      <c r="G19" s="5">
        <v>41.546342000000003</v>
      </c>
      <c r="H19" s="5">
        <v>70.31935</v>
      </c>
      <c r="I19" s="70">
        <v>0</v>
      </c>
      <c r="J19" s="5">
        <v>383.0283</v>
      </c>
      <c r="K19" s="5">
        <v>136.29793000000001</v>
      </c>
      <c r="L19" s="5">
        <v>88.903329999999997</v>
      </c>
      <c r="M19" s="70">
        <v>0</v>
      </c>
      <c r="N19" s="5">
        <f t="shared" si="0"/>
        <v>4.3254516177518321</v>
      </c>
      <c r="O19" s="5">
        <f t="shared" si="0"/>
        <v>3.2806240799731539</v>
      </c>
      <c r="P19" s="5">
        <f t="shared" si="0"/>
        <v>1.2642797466131299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87.923860000000005</v>
      </c>
      <c r="G20" s="5">
        <v>41.393500000000003</v>
      </c>
      <c r="H20" s="5">
        <v>70.260319999999993</v>
      </c>
      <c r="I20" s="70">
        <v>0</v>
      </c>
      <c r="J20" s="5">
        <v>379.18459999999999</v>
      </c>
      <c r="K20" s="5">
        <v>135.64662000000001</v>
      </c>
      <c r="L20" s="5">
        <v>88.832549999999998</v>
      </c>
      <c r="M20" s="70">
        <v>0</v>
      </c>
      <c r="N20" s="5">
        <f t="shared" si="0"/>
        <v>4.3126473291777678</v>
      </c>
      <c r="O20" s="5">
        <f t="shared" si="0"/>
        <v>3.277002911085074</v>
      </c>
      <c r="P20" s="5">
        <f t="shared" si="0"/>
        <v>1.2643345490029081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87.227010000000007</v>
      </c>
      <c r="G21" s="5">
        <v>41.234836999999999</v>
      </c>
      <c r="H21" s="5">
        <v>70.209670000000003</v>
      </c>
      <c r="I21" s="70">
        <v>0</v>
      </c>
      <c r="J21" s="5">
        <v>374.84309999999999</v>
      </c>
      <c r="K21" s="5">
        <v>134.93764999999999</v>
      </c>
      <c r="L21" s="5">
        <v>88.772480000000002</v>
      </c>
      <c r="M21" s="70">
        <v>0</v>
      </c>
      <c r="N21" s="5">
        <f t="shared" si="0"/>
        <v>4.2973283160800761</v>
      </c>
      <c r="O21" s="5">
        <f t="shared" si="0"/>
        <v>3.2724186590091286</v>
      </c>
      <c r="P21" s="5">
        <f t="shared" si="0"/>
        <v>1.2643910731954728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116.10187999999999</v>
      </c>
      <c r="G22" s="5">
        <v>57.042403</v>
      </c>
      <c r="H22" s="5">
        <v>98.991209999999995</v>
      </c>
      <c r="I22" s="70">
        <v>0</v>
      </c>
      <c r="J22" s="5">
        <v>461.9196</v>
      </c>
      <c r="K22" s="5">
        <v>173.36644999999999</v>
      </c>
      <c r="L22" s="5">
        <v>107.75763000000001</v>
      </c>
      <c r="M22" s="70">
        <v>0</v>
      </c>
      <c r="N22" s="5">
        <f t="shared" si="0"/>
        <v>3.9785712341608939</v>
      </c>
      <c r="O22" s="5">
        <f t="shared" si="0"/>
        <v>3.0392557270071525</v>
      </c>
      <c r="P22" s="5">
        <f t="shared" si="0"/>
        <v>1.088557559807583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114.83713</v>
      </c>
      <c r="G23" s="5">
        <v>56.697788000000003</v>
      </c>
      <c r="H23" s="5">
        <v>98.873530000000002</v>
      </c>
      <c r="I23" s="70">
        <v>0</v>
      </c>
      <c r="J23" s="5">
        <v>454.95249999999999</v>
      </c>
      <c r="K23" s="5">
        <v>171.97627</v>
      </c>
      <c r="L23" s="5">
        <v>107.63742000000001</v>
      </c>
      <c r="M23" s="70">
        <v>0</v>
      </c>
      <c r="N23" s="5">
        <f t="shared" si="0"/>
        <v>3.9617195239901934</v>
      </c>
      <c r="O23" s="5">
        <f t="shared" si="0"/>
        <v>3.0332095142759359</v>
      </c>
      <c r="P23" s="5">
        <f t="shared" si="0"/>
        <v>1.0886373734203685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113.36189</v>
      </c>
      <c r="G24" s="5">
        <v>56.268324</v>
      </c>
      <c r="H24" s="5">
        <v>98.717399999999998</v>
      </c>
      <c r="I24" s="70">
        <v>0</v>
      </c>
      <c r="J24" s="5">
        <v>447.07769999999999</v>
      </c>
      <c r="K24" s="5">
        <v>170.30073999999999</v>
      </c>
      <c r="L24" s="5">
        <v>107.47756</v>
      </c>
      <c r="M24" s="70">
        <v>0</v>
      </c>
      <c r="N24" s="5">
        <f t="shared" si="0"/>
        <v>3.9438095112916693</v>
      </c>
      <c r="O24" s="5">
        <f t="shared" si="0"/>
        <v>3.0265827715074645</v>
      </c>
      <c r="P24" s="5">
        <f t="shared" si="0"/>
        <v>1.0887397763717439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111.66829</v>
      </c>
      <c r="G25" s="5">
        <v>55.741902000000003</v>
      </c>
      <c r="H25" s="5">
        <v>98.48142</v>
      </c>
      <c r="I25" s="70">
        <v>0</v>
      </c>
      <c r="J25" s="5">
        <v>438.19839999999999</v>
      </c>
      <c r="K25" s="5">
        <v>168.32458</v>
      </c>
      <c r="L25" s="5">
        <v>107.23305999999999</v>
      </c>
      <c r="M25" s="70">
        <v>0</v>
      </c>
      <c r="N25" s="5">
        <f t="shared" si="0"/>
        <v>3.9241077301353857</v>
      </c>
      <c r="O25" s="5">
        <f t="shared" si="0"/>
        <v>3.0197136079066693</v>
      </c>
      <c r="P25" s="5">
        <f t="shared" si="0"/>
        <v>1.0888658997808927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110.00773</v>
      </c>
      <c r="G26" s="5">
        <v>55.261825999999999</v>
      </c>
      <c r="H26" s="5">
        <v>98.291480000000007</v>
      </c>
      <c r="I26" s="70">
        <v>0</v>
      </c>
      <c r="J26" s="5">
        <v>429.34320000000002</v>
      </c>
      <c r="K26" s="5">
        <v>166.44265999999999</v>
      </c>
      <c r="L26" s="5">
        <v>107.03739</v>
      </c>
      <c r="M26" s="70">
        <v>0</v>
      </c>
      <c r="N26" s="5">
        <f t="shared" si="0"/>
        <v>3.9028457363859799</v>
      </c>
      <c r="O26" s="5">
        <f t="shared" si="0"/>
        <v>3.0118921513740786</v>
      </c>
      <c r="P26" s="5">
        <f t="shared" si="0"/>
        <v>1.0889793296428134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126.85339999999999</v>
      </c>
      <c r="G27" s="5">
        <v>67.097890000000007</v>
      </c>
      <c r="H27" s="5">
        <v>122.95224</v>
      </c>
      <c r="I27" s="70">
        <v>0</v>
      </c>
      <c r="J27" s="5">
        <v>448.85169999999999</v>
      </c>
      <c r="K27" s="5">
        <v>184.10603</v>
      </c>
      <c r="L27" s="5">
        <v>116.19559</v>
      </c>
      <c r="M27" s="70">
        <v>0</v>
      </c>
      <c r="N27" s="5">
        <f t="shared" si="0"/>
        <v>3.5383497801399098</v>
      </c>
      <c r="O27" s="5">
        <f t="shared" si="0"/>
        <v>2.7438423175453055</v>
      </c>
      <c r="P27" s="5">
        <f t="shared" si="0"/>
        <v>0.94504654815560896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124.52118</v>
      </c>
      <c r="G28" s="5">
        <v>66.315686999999997</v>
      </c>
      <c r="H28" s="5">
        <v>122.61724</v>
      </c>
      <c r="I28" s="70">
        <v>0</v>
      </c>
      <c r="J28" s="5">
        <v>437.827</v>
      </c>
      <c r="K28" s="5">
        <v>181.39764</v>
      </c>
      <c r="L28" s="5">
        <v>115.89447</v>
      </c>
      <c r="M28" s="70">
        <v>0</v>
      </c>
      <c r="N28" s="5">
        <f t="shared" si="0"/>
        <v>3.5160845729216508</v>
      </c>
      <c r="O28" s="5">
        <f t="shared" si="0"/>
        <v>2.7353654648861587</v>
      </c>
      <c r="P28" s="5">
        <f t="shared" si="0"/>
        <v>0.94517271796364033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122.02159</v>
      </c>
      <c r="G29" s="5">
        <v>65.460453000000001</v>
      </c>
      <c r="H29" s="5">
        <v>122.22125</v>
      </c>
      <c r="I29" s="70">
        <v>0</v>
      </c>
      <c r="J29" s="5">
        <v>426.00259999999997</v>
      </c>
      <c r="K29" s="5">
        <v>178.47546</v>
      </c>
      <c r="L29" s="5">
        <v>115.53718000000001</v>
      </c>
      <c r="M29" s="70">
        <v>0</v>
      </c>
      <c r="N29" s="5">
        <f t="shared" si="0"/>
        <v>3.4912067610330269</v>
      </c>
      <c r="O29" s="5">
        <f t="shared" si="0"/>
        <v>2.7264623420800342</v>
      </c>
      <c r="P29" s="5">
        <f t="shared" si="0"/>
        <v>0.94531171952504178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119.48112</v>
      </c>
      <c r="G30" s="5">
        <v>64.622688999999994</v>
      </c>
      <c r="H30" s="5">
        <v>121.84456</v>
      </c>
      <c r="I30" s="70">
        <v>0</v>
      </c>
      <c r="J30" s="5">
        <v>413.9049</v>
      </c>
      <c r="K30" s="5">
        <v>175.55027000000001</v>
      </c>
      <c r="L30" s="5">
        <v>115.19745</v>
      </c>
      <c r="M30" s="70">
        <v>0</v>
      </c>
      <c r="N30" s="5">
        <f t="shared" si="0"/>
        <v>3.4641866430445245</v>
      </c>
      <c r="O30" s="5">
        <f t="shared" si="0"/>
        <v>2.7165423277264122</v>
      </c>
      <c r="P30" s="5">
        <f t="shared" si="0"/>
        <v>0.94544598462171803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116.80383999999999</v>
      </c>
      <c r="G31" s="5">
        <v>63.771346999999999</v>
      </c>
      <c r="H31" s="5">
        <v>121.50620000000001</v>
      </c>
      <c r="I31" s="70">
        <v>0</v>
      </c>
      <c r="J31" s="5">
        <v>400.88459999999998</v>
      </c>
      <c r="K31" s="5">
        <v>172.47345999999999</v>
      </c>
      <c r="L31" s="5">
        <v>114.89397</v>
      </c>
      <c r="M31" s="70">
        <v>0</v>
      </c>
      <c r="N31" s="5">
        <f t="shared" si="0"/>
        <v>3.4321183276166263</v>
      </c>
      <c r="O31" s="5">
        <f t="shared" si="0"/>
        <v>2.7045604039067888</v>
      </c>
      <c r="P31" s="5">
        <f t="shared" si="0"/>
        <v>0.94558113083941386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7" x14ac:dyDescent="0.2">
      <c r="B33" s="5"/>
      <c r="C33" s="5"/>
      <c r="D33" s="5"/>
      <c r="E33" s="5"/>
      <c r="F33" s="5"/>
    </row>
    <row r="34" spans="2:17" x14ac:dyDescent="0.2">
      <c r="B34" s="5"/>
      <c r="C34" s="5"/>
      <c r="D34" s="5"/>
      <c r="E34" s="5"/>
      <c r="F34" s="5"/>
    </row>
    <row r="35" spans="2:17" x14ac:dyDescent="0.2">
      <c r="B35" s="5"/>
      <c r="C35" s="5"/>
      <c r="D35" s="5"/>
      <c r="E35" s="5"/>
      <c r="F35" s="5"/>
    </row>
    <row r="36" spans="2:17" x14ac:dyDescent="0.2">
      <c r="B36" s="5"/>
      <c r="C36" s="5"/>
      <c r="D36" s="5"/>
      <c r="F36" s="95" t="s">
        <v>92</v>
      </c>
      <c r="G36" s="95" t="s">
        <v>93</v>
      </c>
      <c r="H36" s="95" t="s">
        <v>94</v>
      </c>
      <c r="I36" s="95" t="s">
        <v>91</v>
      </c>
      <c r="J36" s="95" t="s">
        <v>92</v>
      </c>
      <c r="K36" s="95" t="s">
        <v>93</v>
      </c>
      <c r="L36" s="95" t="s">
        <v>94</v>
      </c>
      <c r="M36" s="95" t="s">
        <v>91</v>
      </c>
      <c r="N36" s="95" t="s">
        <v>92</v>
      </c>
      <c r="O36" s="95" t="s">
        <v>93</v>
      </c>
      <c r="P36" s="95" t="s">
        <v>94</v>
      </c>
    </row>
    <row r="37" spans="2:17" x14ac:dyDescent="0.2">
      <c r="B37" s="5"/>
      <c r="C37" s="5"/>
      <c r="D37" s="5"/>
      <c r="E37" s="63" t="s">
        <v>91</v>
      </c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</row>
    <row r="38" spans="2:17" x14ac:dyDescent="0.2">
      <c r="B38" s="5"/>
      <c r="C38" s="5"/>
      <c r="D38" s="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2:17" x14ac:dyDescent="0.2">
      <c r="B39" s="5"/>
      <c r="C39" s="5"/>
      <c r="D39" s="5"/>
      <c r="E39" s="64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2">
      <c r="B40" s="5"/>
      <c r="C40" s="5"/>
      <c r="D40" s="5"/>
      <c r="E40" s="64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2">
      <c r="B41" s="5"/>
      <c r="C41" s="5"/>
      <c r="D41" s="5"/>
      <c r="E41" s="64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2">
      <c r="B42" s="5"/>
      <c r="E42" s="64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2">
      <c r="B43" s="5"/>
      <c r="C43" s="63" t="s">
        <v>91</v>
      </c>
      <c r="D43" s="63" t="s">
        <v>91</v>
      </c>
      <c r="E43" s="64">
        <v>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2">
      <c r="B44" s="5"/>
      <c r="C44" s="63"/>
      <c r="D44" s="63"/>
      <c r="E44" s="64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2">
      <c r="B45" s="5"/>
      <c r="C45" s="64">
        <v>1</v>
      </c>
      <c r="D45" s="1"/>
      <c r="E45" s="64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">
      <c r="B46" s="5"/>
      <c r="C46" s="64">
        <v>2</v>
      </c>
      <c r="D46" s="1"/>
      <c r="E46" s="64">
        <v>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">
      <c r="B47" s="5"/>
      <c r="C47" s="64">
        <v>3</v>
      </c>
      <c r="D47" s="1"/>
      <c r="E47" s="64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">
      <c r="B48" s="5"/>
      <c r="C48" s="64">
        <v>4</v>
      </c>
      <c r="D48" s="1"/>
      <c r="E48" s="64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5"/>
      <c r="C49" s="64">
        <v>5</v>
      </c>
      <c r="D49" s="1"/>
      <c r="E49" s="64">
        <v>11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5"/>
      <c r="C50" s="64">
        <v>6</v>
      </c>
      <c r="D50" s="1"/>
      <c r="E50" s="64">
        <v>12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5"/>
      <c r="C51" s="64">
        <v>7</v>
      </c>
      <c r="D51" s="1"/>
      <c r="E51" s="64">
        <v>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C52" s="64">
        <v>8</v>
      </c>
      <c r="D52" s="1"/>
      <c r="E52" s="64">
        <v>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C53" s="64">
        <v>9</v>
      </c>
      <c r="D53" s="1"/>
      <c r="E53" s="64">
        <v>15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C54" s="64">
        <v>10</v>
      </c>
      <c r="D54" s="1"/>
      <c r="E54" s="64">
        <v>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D55" s="95" t="s">
        <v>92</v>
      </c>
      <c r="E55" s="64">
        <v>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C56" s="63" t="s">
        <v>91</v>
      </c>
      <c r="D56" s="95"/>
      <c r="E56" s="64">
        <v>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C57" s="63"/>
      <c r="D57" s="63"/>
      <c r="E57" s="64">
        <v>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C58" s="64">
        <v>1</v>
      </c>
      <c r="D58" s="1"/>
      <c r="E58" s="64">
        <v>20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C59" s="64">
        <v>2</v>
      </c>
      <c r="D59" s="1"/>
      <c r="E59" s="64">
        <v>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C60" s="64">
        <v>3</v>
      </c>
      <c r="D60" s="1"/>
      <c r="E60" s="64">
        <v>22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C61" s="64">
        <v>4</v>
      </c>
      <c r="D61" s="1"/>
      <c r="E61" s="64">
        <v>23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C62" s="64">
        <v>5</v>
      </c>
      <c r="D62" s="1"/>
      <c r="E62" s="64">
        <v>24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C63" s="64">
        <v>6</v>
      </c>
      <c r="D63" s="1"/>
      <c r="E63" s="64">
        <v>25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C64" s="64">
        <v>7</v>
      </c>
      <c r="D64" s="1"/>
      <c r="E64" s="64">
        <v>26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3:17" x14ac:dyDescent="0.2">
      <c r="C65" s="64">
        <v>8</v>
      </c>
      <c r="D65" s="1"/>
      <c r="E65" s="64">
        <v>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3:17" x14ac:dyDescent="0.2">
      <c r="C66" s="64">
        <v>9</v>
      </c>
      <c r="D66" s="1"/>
      <c r="E66" s="64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3:17" x14ac:dyDescent="0.2">
      <c r="C67" s="64">
        <v>10</v>
      </c>
      <c r="D67" s="1"/>
      <c r="E67" s="64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3:17" x14ac:dyDescent="0.2">
      <c r="C68" s="64">
        <v>11</v>
      </c>
      <c r="D68" s="1"/>
      <c r="E68" s="64">
        <v>30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3:17" x14ac:dyDescent="0.2">
      <c r="C69" s="64">
        <v>12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3:17" x14ac:dyDescent="0.2">
      <c r="C70" s="64">
        <v>13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3:17" x14ac:dyDescent="0.2">
      <c r="C71" s="64">
        <v>14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3:17" x14ac:dyDescent="0.2">
      <c r="C72" s="64">
        <v>15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3:17" x14ac:dyDescent="0.2">
      <c r="C73" s="64">
        <v>16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3:17" x14ac:dyDescent="0.2">
      <c r="C74" s="64">
        <v>17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3:17" x14ac:dyDescent="0.2">
      <c r="C75" s="64">
        <v>18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3:17" x14ac:dyDescent="0.2">
      <c r="C76" s="64">
        <v>19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3:17" x14ac:dyDescent="0.2">
      <c r="C77" s="64">
        <v>20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3:17" x14ac:dyDescent="0.2">
      <c r="C78" s="64">
        <v>21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3:17" x14ac:dyDescent="0.2">
      <c r="C79" s="64">
        <v>22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3:17" x14ac:dyDescent="0.2">
      <c r="C80" s="64">
        <v>23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3:15" x14ac:dyDescent="0.2">
      <c r="C81" s="64">
        <v>24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3:15" x14ac:dyDescent="0.2">
      <c r="C82" s="64">
        <v>25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3:15" x14ac:dyDescent="0.2">
      <c r="C83" s="64">
        <v>26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3:15" x14ac:dyDescent="0.2">
      <c r="C84" s="64">
        <v>27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3:15" x14ac:dyDescent="0.2">
      <c r="C85" s="64">
        <v>28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3:15" x14ac:dyDescent="0.2">
      <c r="C86" s="64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3:15" x14ac:dyDescent="0.2">
      <c r="C87" s="64">
        <v>30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</sheetData>
  <mergeCells count="12">
    <mergeCell ref="J36:J37"/>
    <mergeCell ref="P36:P37"/>
    <mergeCell ref="K36:K37"/>
    <mergeCell ref="L36:L37"/>
    <mergeCell ref="M36:M37"/>
    <mergeCell ref="N36:N37"/>
    <mergeCell ref="O36:O37"/>
    <mergeCell ref="D55:D56"/>
    <mergeCell ref="F36:F37"/>
    <mergeCell ref="G36:G37"/>
    <mergeCell ref="H36:H37"/>
    <mergeCell ref="I36:I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R104"/>
  <sheetViews>
    <sheetView workbookViewId="0">
      <selection activeCell="F72" sqref="F72:S106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73">
        <v>0</v>
      </c>
      <c r="C2" s="73">
        <v>1.86</v>
      </c>
      <c r="D2" s="73">
        <v>0</v>
      </c>
      <c r="E2" s="77">
        <v>0</v>
      </c>
      <c r="F2" s="73">
        <v>5.2048189999999996</v>
      </c>
      <c r="G2" s="73">
        <v>4.242235</v>
      </c>
      <c r="H2" s="73">
        <v>0</v>
      </c>
      <c r="I2" s="77">
        <v>0</v>
      </c>
      <c r="J2" s="73">
        <v>47.941049999999997</v>
      </c>
      <c r="K2" s="73">
        <v>25.870519999999999</v>
      </c>
      <c r="L2" s="73">
        <v>0</v>
      </c>
      <c r="M2" s="77">
        <v>0</v>
      </c>
      <c r="N2" s="74">
        <f>J2/F2</f>
        <v>9.2108966709505165</v>
      </c>
      <c r="O2" s="74">
        <f>K2/G2</f>
        <v>6.0983231716300486</v>
      </c>
      <c r="P2" s="74">
        <v>0</v>
      </c>
      <c r="Q2" s="74">
        <v>0</v>
      </c>
    </row>
    <row r="3" spans="1:17" x14ac:dyDescent="0.2">
      <c r="A3" s="62">
        <v>51</v>
      </c>
      <c r="B3" s="73">
        <v>0</v>
      </c>
      <c r="C3" s="73">
        <v>1.86</v>
      </c>
      <c r="D3" s="73">
        <v>0</v>
      </c>
      <c r="E3" s="77">
        <v>0</v>
      </c>
      <c r="F3" s="73">
        <v>5.1935140000000004</v>
      </c>
      <c r="G3" s="73">
        <v>4.2406769999999998</v>
      </c>
      <c r="H3" s="73">
        <v>0</v>
      </c>
      <c r="I3" s="77">
        <v>0</v>
      </c>
      <c r="J3" s="73">
        <v>47.824420000000003</v>
      </c>
      <c r="K3" s="73">
        <v>25.861799999999999</v>
      </c>
      <c r="L3" s="73">
        <v>0</v>
      </c>
      <c r="M3" s="77">
        <v>0</v>
      </c>
      <c r="N3" s="74">
        <f t="shared" ref="N3:O31" si="0">J3/F3</f>
        <v>9.208489666148969</v>
      </c>
      <c r="O3" s="74">
        <f t="shared" si="0"/>
        <v>6.0985073845520423</v>
      </c>
      <c r="P3" s="74">
        <v>0</v>
      </c>
      <c r="Q3" s="74">
        <v>0</v>
      </c>
    </row>
    <row r="4" spans="1:17" x14ac:dyDescent="0.2">
      <c r="A4" s="62">
        <v>52</v>
      </c>
      <c r="B4" s="73">
        <v>0</v>
      </c>
      <c r="C4" s="73">
        <v>1.86</v>
      </c>
      <c r="D4" s="73">
        <v>0</v>
      </c>
      <c r="E4" s="77">
        <v>0</v>
      </c>
      <c r="F4" s="73">
        <v>5.1814249999999999</v>
      </c>
      <c r="G4" s="73">
        <v>4.2390930000000004</v>
      </c>
      <c r="H4" s="73">
        <v>0</v>
      </c>
      <c r="I4" s="77">
        <v>0</v>
      </c>
      <c r="J4" s="73">
        <v>47.699379999999998</v>
      </c>
      <c r="K4" s="73">
        <v>25.852959999999999</v>
      </c>
      <c r="L4" s="73">
        <v>0</v>
      </c>
      <c r="M4" s="77">
        <v>0</v>
      </c>
      <c r="N4" s="74">
        <f t="shared" si="0"/>
        <v>9.2058420222236155</v>
      </c>
      <c r="O4" s="74">
        <f t="shared" si="0"/>
        <v>6.0987008305786157</v>
      </c>
      <c r="P4" s="74">
        <v>0</v>
      </c>
      <c r="Q4" s="74">
        <v>0</v>
      </c>
    </row>
    <row r="5" spans="1:17" x14ac:dyDescent="0.2">
      <c r="A5" s="62">
        <v>53</v>
      </c>
      <c r="B5" s="73">
        <v>0</v>
      </c>
      <c r="C5" s="73">
        <v>1.86</v>
      </c>
      <c r="D5" s="73">
        <v>0</v>
      </c>
      <c r="E5" s="77">
        <v>0</v>
      </c>
      <c r="F5" s="73">
        <v>5.1683539999999999</v>
      </c>
      <c r="G5" s="73">
        <v>4.237552</v>
      </c>
      <c r="H5" s="73">
        <v>0</v>
      </c>
      <c r="I5" s="77">
        <v>0</v>
      </c>
      <c r="J5" s="73">
        <v>47.563960000000002</v>
      </c>
      <c r="K5" s="73">
        <v>25.844470000000001</v>
      </c>
      <c r="L5" s="73">
        <v>0</v>
      </c>
      <c r="M5" s="77">
        <v>0</v>
      </c>
      <c r="N5" s="74">
        <f t="shared" si="0"/>
        <v>9.2029222456511306</v>
      </c>
      <c r="O5" s="74">
        <f t="shared" si="0"/>
        <v>6.0989151283571275</v>
      </c>
      <c r="P5" s="74">
        <v>0</v>
      </c>
      <c r="Q5" s="74">
        <v>0</v>
      </c>
    </row>
    <row r="6" spans="1:17" x14ac:dyDescent="0.2">
      <c r="A6" s="62">
        <v>54</v>
      </c>
      <c r="B6" s="73">
        <v>0</v>
      </c>
      <c r="C6" s="73">
        <v>1.86</v>
      </c>
      <c r="D6" s="73">
        <v>0</v>
      </c>
      <c r="E6" s="77">
        <v>0</v>
      </c>
      <c r="F6" s="73">
        <v>5.1532460000000002</v>
      </c>
      <c r="G6" s="73">
        <v>4.2354570000000002</v>
      </c>
      <c r="H6" s="73">
        <v>0</v>
      </c>
      <c r="I6" s="77">
        <v>0</v>
      </c>
      <c r="J6" s="73">
        <v>47.40851</v>
      </c>
      <c r="K6" s="73">
        <v>25.832750000000001</v>
      </c>
      <c r="L6" s="73">
        <v>0</v>
      </c>
      <c r="M6" s="77">
        <v>0</v>
      </c>
      <c r="N6" s="74">
        <f t="shared" si="0"/>
        <v>9.1997374082277457</v>
      </c>
      <c r="O6" s="74">
        <f t="shared" si="0"/>
        <v>6.0991647418448585</v>
      </c>
      <c r="P6" s="74">
        <v>0</v>
      </c>
      <c r="Q6" s="74">
        <v>0</v>
      </c>
    </row>
    <row r="7" spans="1:17" x14ac:dyDescent="0.2">
      <c r="A7" s="62">
        <v>55</v>
      </c>
      <c r="B7" s="73">
        <v>0</v>
      </c>
      <c r="C7" s="73">
        <v>4.51</v>
      </c>
      <c r="D7" s="73">
        <v>0</v>
      </c>
      <c r="E7" s="77">
        <v>0</v>
      </c>
      <c r="F7" s="73">
        <v>11.203430000000001</v>
      </c>
      <c r="G7" s="73">
        <v>10.195740000000001</v>
      </c>
      <c r="H7" s="73">
        <v>0</v>
      </c>
      <c r="I7" s="77">
        <v>0</v>
      </c>
      <c r="J7" s="73">
        <v>93.548789999999997</v>
      </c>
      <c r="K7" s="73">
        <v>60.80339</v>
      </c>
      <c r="L7" s="73">
        <v>0</v>
      </c>
      <c r="M7" s="77">
        <v>0</v>
      </c>
      <c r="N7" s="74">
        <f t="shared" si="0"/>
        <v>8.3500133441276461</v>
      </c>
      <c r="O7" s="74">
        <f t="shared" si="0"/>
        <v>5.9636073497362618</v>
      </c>
      <c r="P7" s="74">
        <v>0</v>
      </c>
      <c r="Q7" s="74">
        <v>0</v>
      </c>
    </row>
    <row r="8" spans="1:17" x14ac:dyDescent="0.2">
      <c r="A8" s="62">
        <v>56</v>
      </c>
      <c r="B8" s="73">
        <v>0</v>
      </c>
      <c r="C8" s="73">
        <v>4.51</v>
      </c>
      <c r="D8" s="73">
        <v>0</v>
      </c>
      <c r="E8" s="77">
        <v>0</v>
      </c>
      <c r="F8" s="73">
        <v>11.169416</v>
      </c>
      <c r="G8" s="73">
        <v>10.190721999999999</v>
      </c>
      <c r="H8" s="73">
        <v>0</v>
      </c>
      <c r="I8" s="77">
        <v>0</v>
      </c>
      <c r="J8" s="73">
        <v>93.237790000000004</v>
      </c>
      <c r="K8" s="73">
        <v>60.777810000000002</v>
      </c>
      <c r="L8" s="73">
        <v>0</v>
      </c>
      <c r="M8" s="77">
        <v>0</v>
      </c>
      <c r="N8" s="74">
        <f t="shared" si="0"/>
        <v>8.3475975825414697</v>
      </c>
      <c r="O8" s="74">
        <f t="shared" si="0"/>
        <v>5.9640337554100684</v>
      </c>
      <c r="P8" s="74">
        <v>0</v>
      </c>
      <c r="Q8" s="74">
        <v>0</v>
      </c>
    </row>
    <row r="9" spans="1:17" x14ac:dyDescent="0.2">
      <c r="A9" s="62">
        <v>57</v>
      </c>
      <c r="B9" s="73">
        <v>0</v>
      </c>
      <c r="C9" s="73">
        <v>4.51</v>
      </c>
      <c r="D9" s="73">
        <v>0</v>
      </c>
      <c r="E9" s="77">
        <v>0</v>
      </c>
      <c r="F9" s="73">
        <v>11.130614</v>
      </c>
      <c r="G9" s="73">
        <v>10.184258</v>
      </c>
      <c r="H9" s="73">
        <v>0</v>
      </c>
      <c r="I9" s="77">
        <v>0</v>
      </c>
      <c r="J9" s="73">
        <v>92.881919999999994</v>
      </c>
      <c r="K9" s="73">
        <v>60.744230000000002</v>
      </c>
      <c r="L9" s="73">
        <v>0</v>
      </c>
      <c r="M9" s="77">
        <v>0</v>
      </c>
      <c r="N9" s="74">
        <f t="shared" si="0"/>
        <v>8.3447256368786125</v>
      </c>
      <c r="O9" s="74">
        <f t="shared" si="0"/>
        <v>5.9645219121510866</v>
      </c>
      <c r="P9" s="74">
        <v>0</v>
      </c>
      <c r="Q9" s="74">
        <v>0</v>
      </c>
    </row>
    <row r="10" spans="1:17" x14ac:dyDescent="0.2">
      <c r="A10" s="62">
        <v>58</v>
      </c>
      <c r="B10" s="73">
        <v>0</v>
      </c>
      <c r="C10" s="73">
        <v>4.51</v>
      </c>
      <c r="D10" s="73">
        <v>0</v>
      </c>
      <c r="E10" s="77">
        <v>0</v>
      </c>
      <c r="F10" s="73">
        <v>11.087790999999999</v>
      </c>
      <c r="G10" s="73">
        <v>10.176406</v>
      </c>
      <c r="H10" s="73">
        <v>0</v>
      </c>
      <c r="I10" s="77">
        <v>0</v>
      </c>
      <c r="J10" s="73">
        <v>92.485479999999995</v>
      </c>
      <c r="K10" s="73">
        <v>60.702820000000003</v>
      </c>
      <c r="L10" s="73">
        <v>0</v>
      </c>
      <c r="M10" s="77">
        <v>0</v>
      </c>
      <c r="N10" s="74">
        <f t="shared" si="0"/>
        <v>8.3411997935386779</v>
      </c>
      <c r="O10" s="74">
        <f t="shared" si="0"/>
        <v>5.9650548533539247</v>
      </c>
      <c r="P10" s="74">
        <v>0</v>
      </c>
      <c r="Q10" s="74">
        <v>0</v>
      </c>
    </row>
    <row r="11" spans="1:17" x14ac:dyDescent="0.2">
      <c r="A11" s="62">
        <v>59</v>
      </c>
      <c r="B11" s="73">
        <v>0</v>
      </c>
      <c r="C11" s="73">
        <v>4.51</v>
      </c>
      <c r="D11" s="73">
        <v>0</v>
      </c>
      <c r="E11" s="77">
        <v>0</v>
      </c>
      <c r="F11" s="73">
        <v>11.042574</v>
      </c>
      <c r="G11" s="73">
        <v>10.167907</v>
      </c>
      <c r="H11" s="73">
        <v>0</v>
      </c>
      <c r="I11" s="77">
        <v>0</v>
      </c>
      <c r="J11" s="73">
        <v>92.066519999999997</v>
      </c>
      <c r="K11" s="73">
        <v>60.657739999999997</v>
      </c>
      <c r="L11" s="73">
        <v>0</v>
      </c>
      <c r="M11" s="77">
        <v>0</v>
      </c>
      <c r="N11" s="74">
        <f t="shared" si="0"/>
        <v>8.3374148092645779</v>
      </c>
      <c r="O11" s="74">
        <f t="shared" si="0"/>
        <v>5.9656072778793119</v>
      </c>
      <c r="P11" s="74">
        <v>0</v>
      </c>
      <c r="Q11" s="74">
        <v>0</v>
      </c>
    </row>
    <row r="12" spans="1:17" x14ac:dyDescent="0.2">
      <c r="A12" s="62">
        <v>60</v>
      </c>
      <c r="B12" s="73">
        <v>0</v>
      </c>
      <c r="C12" s="73">
        <v>9.6199999999999992</v>
      </c>
      <c r="D12" s="73">
        <v>0</v>
      </c>
      <c r="E12" s="77">
        <v>0</v>
      </c>
      <c r="F12" s="73">
        <v>20.345965</v>
      </c>
      <c r="G12" s="73">
        <v>21.420888999999999</v>
      </c>
      <c r="H12" s="73">
        <v>0</v>
      </c>
      <c r="I12" s="77">
        <v>0</v>
      </c>
      <c r="J12" s="73">
        <v>140.42625000000001</v>
      </c>
      <c r="K12" s="73">
        <v>95.489660000000001</v>
      </c>
      <c r="L12" s="73">
        <v>0</v>
      </c>
      <c r="M12" s="77">
        <v>0</v>
      </c>
      <c r="N12" s="74">
        <f t="shared" si="0"/>
        <v>6.9019213391942831</v>
      </c>
      <c r="O12" s="74">
        <f t="shared" si="0"/>
        <v>4.4577823077277516</v>
      </c>
      <c r="P12" s="74">
        <v>0</v>
      </c>
      <c r="Q12" s="74">
        <v>0</v>
      </c>
    </row>
    <row r="13" spans="1:17" x14ac:dyDescent="0.2">
      <c r="A13" s="62">
        <v>61</v>
      </c>
      <c r="B13" s="73">
        <v>0</v>
      </c>
      <c r="C13" s="73">
        <v>9.6199999999999992</v>
      </c>
      <c r="D13" s="73">
        <v>0</v>
      </c>
      <c r="E13" s="77">
        <v>0</v>
      </c>
      <c r="F13" s="73">
        <v>20.263477999999999</v>
      </c>
      <c r="G13" s="73">
        <v>21.404366</v>
      </c>
      <c r="H13" s="73">
        <v>0</v>
      </c>
      <c r="I13" s="77">
        <v>0</v>
      </c>
      <c r="J13" s="73">
        <v>139.75676999999999</v>
      </c>
      <c r="K13" s="73">
        <v>95.424869999999999</v>
      </c>
      <c r="L13" s="73">
        <v>0</v>
      </c>
      <c r="M13" s="77">
        <v>0</v>
      </c>
      <c r="N13" s="74">
        <f t="shared" si="0"/>
        <v>6.8969783963049185</v>
      </c>
      <c r="O13" s="74">
        <f t="shared" si="0"/>
        <v>4.4581965193456323</v>
      </c>
      <c r="P13" s="74">
        <v>0</v>
      </c>
      <c r="Q13" s="74">
        <v>0</v>
      </c>
    </row>
    <row r="14" spans="1:17" x14ac:dyDescent="0.2">
      <c r="A14" s="62">
        <v>62</v>
      </c>
      <c r="B14" s="73">
        <v>0</v>
      </c>
      <c r="C14" s="73">
        <v>9.6199999999999992</v>
      </c>
      <c r="D14" s="73">
        <v>0</v>
      </c>
      <c r="E14" s="77">
        <v>0</v>
      </c>
      <c r="F14" s="73">
        <v>20.172934999999999</v>
      </c>
      <c r="G14" s="73">
        <v>21.385783</v>
      </c>
      <c r="H14" s="73">
        <v>0</v>
      </c>
      <c r="I14" s="77">
        <v>0</v>
      </c>
      <c r="J14" s="73">
        <v>139.02211</v>
      </c>
      <c r="K14" s="73">
        <v>95.351730000000003</v>
      </c>
      <c r="L14" s="73">
        <v>0</v>
      </c>
      <c r="M14" s="77">
        <v>0</v>
      </c>
      <c r="N14" s="74">
        <f t="shared" si="0"/>
        <v>6.8915162815921436</v>
      </c>
      <c r="O14" s="74">
        <f t="shared" si="0"/>
        <v>4.458650403401176</v>
      </c>
      <c r="P14" s="74">
        <v>0</v>
      </c>
      <c r="Q14" s="74">
        <v>0</v>
      </c>
    </row>
    <row r="15" spans="1:17" x14ac:dyDescent="0.2">
      <c r="A15" s="62">
        <v>63</v>
      </c>
      <c r="B15" s="73">
        <v>0</v>
      </c>
      <c r="C15" s="73">
        <v>9.6199999999999992</v>
      </c>
      <c r="D15" s="73">
        <v>0</v>
      </c>
      <c r="E15" s="77">
        <v>0</v>
      </c>
      <c r="F15" s="73">
        <v>20.075137000000002</v>
      </c>
      <c r="G15" s="73">
        <v>21.366123999999999</v>
      </c>
      <c r="H15" s="73">
        <v>0</v>
      </c>
      <c r="I15" s="77">
        <v>0</v>
      </c>
      <c r="J15" s="73">
        <v>138.21942000000001</v>
      </c>
      <c r="K15" s="73">
        <v>95.274540000000002</v>
      </c>
      <c r="L15" s="73">
        <v>0</v>
      </c>
      <c r="M15" s="77">
        <v>0</v>
      </c>
      <c r="N15" s="74">
        <f t="shared" si="0"/>
        <v>6.885104694428736</v>
      </c>
      <c r="O15" s="74">
        <f t="shared" si="0"/>
        <v>4.4591400854923435</v>
      </c>
      <c r="P15" s="74">
        <v>0</v>
      </c>
      <c r="Q15" s="74">
        <v>0</v>
      </c>
    </row>
    <row r="16" spans="1:17" x14ac:dyDescent="0.2">
      <c r="A16" s="62">
        <v>64</v>
      </c>
      <c r="B16" s="73">
        <v>0</v>
      </c>
      <c r="C16" s="73">
        <v>9.6199999999999992</v>
      </c>
      <c r="D16" s="73">
        <v>0</v>
      </c>
      <c r="E16" s="77">
        <v>0</v>
      </c>
      <c r="F16" s="73">
        <v>19.968684</v>
      </c>
      <c r="G16" s="73">
        <v>21.345199999999998</v>
      </c>
      <c r="H16" s="73">
        <v>0</v>
      </c>
      <c r="I16" s="77">
        <v>0</v>
      </c>
      <c r="J16" s="73">
        <v>137.34359000000001</v>
      </c>
      <c r="K16" s="73">
        <v>95.192539999999994</v>
      </c>
      <c r="L16" s="73">
        <v>0</v>
      </c>
      <c r="M16" s="77">
        <v>0</v>
      </c>
      <c r="N16" s="74">
        <f>J16/F16</f>
        <v>6.8779489925325077</v>
      </c>
      <c r="O16" s="74">
        <f t="shared" si="0"/>
        <v>4.459669621273167</v>
      </c>
      <c r="P16" s="74">
        <v>0</v>
      </c>
      <c r="Q16" s="74">
        <v>0</v>
      </c>
    </row>
    <row r="17" spans="1:17" x14ac:dyDescent="0.2">
      <c r="A17" s="62">
        <v>65</v>
      </c>
      <c r="B17" s="73">
        <v>0</v>
      </c>
      <c r="C17" s="73">
        <v>15.24</v>
      </c>
      <c r="D17" s="73">
        <v>0</v>
      </c>
      <c r="E17" s="77">
        <v>0</v>
      </c>
      <c r="F17" s="73">
        <v>30.559977</v>
      </c>
      <c r="G17" s="73">
        <v>33.734786</v>
      </c>
      <c r="H17" s="73">
        <v>0</v>
      </c>
      <c r="I17" s="77">
        <v>0</v>
      </c>
      <c r="J17" s="73">
        <v>176.43409</v>
      </c>
      <c r="K17" s="73">
        <v>99.133880000000005</v>
      </c>
      <c r="L17" s="73">
        <v>0</v>
      </c>
      <c r="M17" s="77">
        <v>0</v>
      </c>
      <c r="N17" s="74">
        <f t="shared" si="0"/>
        <v>5.7733711645136383</v>
      </c>
      <c r="O17" s="74">
        <f t="shared" si="0"/>
        <v>2.9386248366893453</v>
      </c>
      <c r="P17" s="74">
        <v>0</v>
      </c>
      <c r="Q17" s="74">
        <v>0</v>
      </c>
    </row>
    <row r="18" spans="1:17" x14ac:dyDescent="0.2">
      <c r="A18" s="62">
        <v>66</v>
      </c>
      <c r="B18" s="73">
        <v>0</v>
      </c>
      <c r="C18" s="73">
        <v>15.24</v>
      </c>
      <c r="D18" s="73">
        <v>0</v>
      </c>
      <c r="E18" s="77">
        <v>0</v>
      </c>
      <c r="F18" s="73">
        <v>30.370939</v>
      </c>
      <c r="G18" s="73">
        <v>33.693854999999999</v>
      </c>
      <c r="H18" s="73">
        <v>0</v>
      </c>
      <c r="I18" s="77">
        <v>0</v>
      </c>
      <c r="J18" s="73">
        <v>175.04714000000001</v>
      </c>
      <c r="K18" s="73">
        <v>99.02319</v>
      </c>
      <c r="L18" s="73">
        <v>0</v>
      </c>
      <c r="M18" s="77">
        <v>0</v>
      </c>
      <c r="N18" s="74">
        <f t="shared" si="0"/>
        <v>5.7636393790787972</v>
      </c>
      <c r="O18" s="74">
        <f t="shared" si="0"/>
        <v>2.9389094836432341</v>
      </c>
      <c r="P18" s="74">
        <v>0</v>
      </c>
      <c r="Q18" s="74">
        <v>0</v>
      </c>
    </row>
    <row r="19" spans="1:17" x14ac:dyDescent="0.2">
      <c r="A19" s="62">
        <v>67</v>
      </c>
      <c r="B19" s="73">
        <v>0</v>
      </c>
      <c r="C19" s="73">
        <v>15.24</v>
      </c>
      <c r="D19" s="73">
        <v>0</v>
      </c>
      <c r="E19" s="77">
        <v>0</v>
      </c>
      <c r="F19" s="73">
        <v>30.163266</v>
      </c>
      <c r="G19" s="73">
        <v>33.649828999999997</v>
      </c>
      <c r="H19" s="73">
        <v>0</v>
      </c>
      <c r="I19" s="77">
        <v>0</v>
      </c>
      <c r="J19" s="73">
        <v>173.50668999999999</v>
      </c>
      <c r="K19" s="73">
        <v>98.904259999999994</v>
      </c>
      <c r="L19" s="73">
        <v>0</v>
      </c>
      <c r="M19" s="77">
        <v>0</v>
      </c>
      <c r="N19" s="74">
        <f t="shared" si="0"/>
        <v>5.7522514305977337</v>
      </c>
      <c r="O19" s="74">
        <f t="shared" si="0"/>
        <v>2.9392202854879295</v>
      </c>
      <c r="P19" s="74">
        <v>0</v>
      </c>
      <c r="Q19" s="74">
        <v>0</v>
      </c>
    </row>
    <row r="20" spans="1:17" x14ac:dyDescent="0.2">
      <c r="A20" s="62">
        <v>68</v>
      </c>
      <c r="B20" s="73">
        <v>0</v>
      </c>
      <c r="C20" s="73">
        <v>15.24</v>
      </c>
      <c r="D20" s="73">
        <v>0</v>
      </c>
      <c r="E20" s="77">
        <v>0</v>
      </c>
      <c r="F20" s="73">
        <v>29.933336000000001</v>
      </c>
      <c r="G20" s="73">
        <v>33.602696999999999</v>
      </c>
      <c r="H20" s="73">
        <v>0</v>
      </c>
      <c r="I20" s="77">
        <v>0</v>
      </c>
      <c r="J20" s="73">
        <v>171.80174</v>
      </c>
      <c r="K20" s="73">
        <v>98.777299999999997</v>
      </c>
      <c r="L20" s="73">
        <v>0</v>
      </c>
      <c r="M20" s="77">
        <v>0</v>
      </c>
      <c r="N20" s="74">
        <f t="shared" si="0"/>
        <v>5.7394785532758528</v>
      </c>
      <c r="O20" s="74">
        <f t="shared" si="0"/>
        <v>2.939564642683294</v>
      </c>
      <c r="P20" s="74">
        <v>0</v>
      </c>
      <c r="Q20" s="74">
        <v>0</v>
      </c>
    </row>
    <row r="21" spans="1:17" x14ac:dyDescent="0.2">
      <c r="A21" s="62">
        <v>69</v>
      </c>
      <c r="B21" s="73">
        <v>0</v>
      </c>
      <c r="C21" s="73">
        <v>15.24</v>
      </c>
      <c r="D21" s="73">
        <v>0</v>
      </c>
      <c r="E21" s="77">
        <v>0</v>
      </c>
      <c r="F21" s="73">
        <v>29.680233000000001</v>
      </c>
      <c r="G21" s="73">
        <v>33.558301</v>
      </c>
      <c r="H21" s="73">
        <v>0</v>
      </c>
      <c r="I21" s="77">
        <v>0</v>
      </c>
      <c r="J21" s="73">
        <v>169.90011000000001</v>
      </c>
      <c r="K21" s="73">
        <v>98.660060000000001</v>
      </c>
      <c r="L21" s="73">
        <v>0</v>
      </c>
      <c r="M21" s="77">
        <v>0</v>
      </c>
      <c r="N21" s="74">
        <f t="shared" si="0"/>
        <v>5.7243522987167923</v>
      </c>
      <c r="O21" s="74">
        <f t="shared" si="0"/>
        <v>2.9399599222856962</v>
      </c>
      <c r="P21" s="74">
        <v>0</v>
      </c>
      <c r="Q21" s="74">
        <v>0</v>
      </c>
    </row>
    <row r="22" spans="1:17" x14ac:dyDescent="0.2">
      <c r="A22" s="62">
        <v>70</v>
      </c>
      <c r="B22" s="73">
        <v>0</v>
      </c>
      <c r="C22" s="73">
        <v>23.26</v>
      </c>
      <c r="D22" s="73">
        <v>0</v>
      </c>
      <c r="E22" s="77">
        <v>0</v>
      </c>
      <c r="F22" s="73">
        <v>41.742319000000002</v>
      </c>
      <c r="G22" s="73">
        <v>50.889533999999998</v>
      </c>
      <c r="H22" s="73">
        <v>0</v>
      </c>
      <c r="I22" s="77">
        <v>0</v>
      </c>
      <c r="J22" s="73">
        <v>213.57085000000001</v>
      </c>
      <c r="K22" s="73">
        <v>132.06422000000001</v>
      </c>
      <c r="L22" s="73">
        <v>0</v>
      </c>
      <c r="M22" s="77">
        <v>0</v>
      </c>
      <c r="N22" s="74">
        <f t="shared" si="0"/>
        <v>5.1164107581085752</v>
      </c>
      <c r="O22" s="74">
        <f t="shared" si="0"/>
        <v>2.5951155300419928</v>
      </c>
      <c r="P22" s="74">
        <v>0</v>
      </c>
      <c r="Q22" s="74">
        <v>0</v>
      </c>
    </row>
    <row r="23" spans="1:17" x14ac:dyDescent="0.2">
      <c r="A23" s="62">
        <v>71</v>
      </c>
      <c r="B23" s="73">
        <v>0</v>
      </c>
      <c r="C23" s="73">
        <v>23.26</v>
      </c>
      <c r="D23" s="73">
        <v>0</v>
      </c>
      <c r="E23" s="77">
        <v>0</v>
      </c>
      <c r="F23" s="73">
        <v>41.286088999999997</v>
      </c>
      <c r="G23" s="73">
        <v>50.784134999999999</v>
      </c>
      <c r="H23" s="73">
        <v>0</v>
      </c>
      <c r="I23" s="77">
        <v>0</v>
      </c>
      <c r="J23" s="73">
        <v>210.60269</v>
      </c>
      <c r="K23" s="73">
        <v>131.82172</v>
      </c>
      <c r="L23" s="73">
        <v>0</v>
      </c>
      <c r="M23" s="77">
        <v>0</v>
      </c>
      <c r="N23" s="74">
        <f t="shared" si="0"/>
        <v>5.1010569201650471</v>
      </c>
      <c r="O23" s="74">
        <f t="shared" si="0"/>
        <v>2.5957264015622203</v>
      </c>
      <c r="P23" s="74">
        <v>0</v>
      </c>
      <c r="Q23" s="74">
        <v>0</v>
      </c>
    </row>
    <row r="24" spans="1:17" x14ac:dyDescent="0.2">
      <c r="A24" s="62">
        <v>72</v>
      </c>
      <c r="B24" s="73">
        <v>0</v>
      </c>
      <c r="C24" s="73">
        <v>23.26</v>
      </c>
      <c r="D24" s="73">
        <v>0</v>
      </c>
      <c r="E24" s="77">
        <v>0</v>
      </c>
      <c r="F24" s="73">
        <v>40.755496000000001</v>
      </c>
      <c r="G24" s="73">
        <v>50.649374000000002</v>
      </c>
      <c r="H24" s="73">
        <v>0</v>
      </c>
      <c r="I24" s="77">
        <v>0</v>
      </c>
      <c r="J24" s="73">
        <v>207.22703999999999</v>
      </c>
      <c r="K24" s="73">
        <v>131.50892999999999</v>
      </c>
      <c r="L24" s="73">
        <v>0</v>
      </c>
      <c r="M24" s="77">
        <v>0</v>
      </c>
      <c r="N24" s="74">
        <f t="shared" si="0"/>
        <v>5.0846403635966047</v>
      </c>
      <c r="O24" s="74">
        <f t="shared" si="0"/>
        <v>2.5964571645051326</v>
      </c>
      <c r="P24" s="74">
        <v>0</v>
      </c>
      <c r="Q24" s="74">
        <v>0</v>
      </c>
    </row>
    <row r="25" spans="1:17" x14ac:dyDescent="0.2">
      <c r="A25" s="62">
        <v>73</v>
      </c>
      <c r="B25" s="73">
        <v>0</v>
      </c>
      <c r="C25" s="73">
        <v>23.26</v>
      </c>
      <c r="D25" s="73">
        <v>0</v>
      </c>
      <c r="E25" s="77">
        <v>0</v>
      </c>
      <c r="F25" s="73">
        <v>40.143828999999997</v>
      </c>
      <c r="G25" s="73">
        <v>50.461539999999999</v>
      </c>
      <c r="H25" s="73">
        <v>0</v>
      </c>
      <c r="I25" s="77">
        <v>0</v>
      </c>
      <c r="J25" s="73">
        <v>203.37853999999999</v>
      </c>
      <c r="K25" s="73">
        <v>131.06344000000001</v>
      </c>
      <c r="L25" s="73">
        <v>0</v>
      </c>
      <c r="M25" s="77">
        <v>0</v>
      </c>
      <c r="N25" s="74">
        <f t="shared" si="0"/>
        <v>5.0662466701918243</v>
      </c>
      <c r="O25" s="74">
        <f t="shared" si="0"/>
        <v>2.5972937013020214</v>
      </c>
      <c r="P25" s="74">
        <v>0</v>
      </c>
      <c r="Q25" s="74">
        <v>0</v>
      </c>
    </row>
    <row r="26" spans="1:17" x14ac:dyDescent="0.2">
      <c r="A26" s="62">
        <v>74</v>
      </c>
      <c r="B26" s="73">
        <v>0</v>
      </c>
      <c r="C26" s="73">
        <v>23.26</v>
      </c>
      <c r="D26" s="73">
        <v>0</v>
      </c>
      <c r="E26" s="77">
        <v>0</v>
      </c>
      <c r="F26" s="73">
        <v>39.545952999999997</v>
      </c>
      <c r="G26" s="73">
        <v>50.301810000000003</v>
      </c>
      <c r="H26" s="73">
        <v>0</v>
      </c>
      <c r="I26" s="77">
        <v>0</v>
      </c>
      <c r="J26" s="73">
        <v>199.56254000000001</v>
      </c>
      <c r="K26" s="73">
        <v>130.69033999999999</v>
      </c>
      <c r="L26" s="73">
        <v>0</v>
      </c>
      <c r="M26" s="77">
        <v>0</v>
      </c>
      <c r="N26" s="74">
        <f t="shared" si="0"/>
        <v>5.0463454503170029</v>
      </c>
      <c r="O26" s="74">
        <f t="shared" si="0"/>
        <v>2.5981240038877327</v>
      </c>
      <c r="P26" s="74">
        <v>0</v>
      </c>
      <c r="Q26" s="74">
        <v>0</v>
      </c>
    </row>
    <row r="27" spans="1:17" x14ac:dyDescent="0.2">
      <c r="A27" s="62">
        <v>75</v>
      </c>
      <c r="B27" s="73">
        <v>0</v>
      </c>
      <c r="C27" s="73">
        <v>30</v>
      </c>
      <c r="D27" s="73">
        <v>0</v>
      </c>
      <c r="E27" s="77">
        <v>0</v>
      </c>
      <c r="F27" s="73">
        <v>46.676675000000003</v>
      </c>
      <c r="G27" s="73">
        <v>64.336049000000003</v>
      </c>
      <c r="H27" s="73">
        <v>0</v>
      </c>
      <c r="I27" s="77">
        <v>0</v>
      </c>
      <c r="J27" s="73">
        <v>198.10701</v>
      </c>
      <c r="K27" s="73">
        <v>125.89981</v>
      </c>
      <c r="L27" s="73">
        <v>0</v>
      </c>
      <c r="M27" s="77">
        <v>0</v>
      </c>
      <c r="N27" s="74">
        <f t="shared" si="0"/>
        <v>4.2442399763907774</v>
      </c>
      <c r="O27" s="74">
        <f t="shared" si="0"/>
        <v>1.9569092593796054</v>
      </c>
      <c r="P27" s="74">
        <v>0</v>
      </c>
      <c r="Q27" s="74">
        <v>0</v>
      </c>
    </row>
    <row r="28" spans="1:17" x14ac:dyDescent="0.2">
      <c r="A28" s="62">
        <v>76</v>
      </c>
      <c r="B28" s="73">
        <v>0</v>
      </c>
      <c r="C28" s="73">
        <v>30</v>
      </c>
      <c r="D28" s="73">
        <v>0</v>
      </c>
      <c r="E28" s="77">
        <v>0</v>
      </c>
      <c r="F28" s="73">
        <v>45.836224000000001</v>
      </c>
      <c r="G28" s="73">
        <v>64.059949000000003</v>
      </c>
      <c r="H28" s="73">
        <v>0</v>
      </c>
      <c r="I28" s="77">
        <v>0</v>
      </c>
      <c r="J28" s="73">
        <v>193.42302000000001</v>
      </c>
      <c r="K28" s="73">
        <v>125.39342000000001</v>
      </c>
      <c r="L28" s="73">
        <v>0</v>
      </c>
      <c r="M28" s="77">
        <v>0</v>
      </c>
      <c r="N28" s="74">
        <f t="shared" si="0"/>
        <v>4.2198724746610887</v>
      </c>
      <c r="O28" s="74">
        <f t="shared" si="0"/>
        <v>1.9574386486008597</v>
      </c>
      <c r="P28" s="74">
        <v>0</v>
      </c>
      <c r="Q28" s="74">
        <v>0</v>
      </c>
    </row>
    <row r="29" spans="1:17" x14ac:dyDescent="0.2">
      <c r="A29" s="62">
        <v>77</v>
      </c>
      <c r="B29" s="73">
        <v>0</v>
      </c>
      <c r="C29" s="73">
        <v>30</v>
      </c>
      <c r="D29" s="73">
        <v>0</v>
      </c>
      <c r="E29" s="77">
        <v>0</v>
      </c>
      <c r="F29" s="73">
        <v>44.932876</v>
      </c>
      <c r="G29" s="73">
        <v>63.742652</v>
      </c>
      <c r="H29" s="73">
        <v>0</v>
      </c>
      <c r="I29" s="77">
        <v>0</v>
      </c>
      <c r="J29" s="73">
        <v>188.36232000000001</v>
      </c>
      <c r="K29" s="73">
        <v>124.80852</v>
      </c>
      <c r="L29" s="73">
        <v>0</v>
      </c>
      <c r="M29" s="77">
        <v>0</v>
      </c>
      <c r="N29" s="74">
        <f t="shared" si="0"/>
        <v>4.1920824298003989</v>
      </c>
      <c r="O29" s="74">
        <f t="shared" si="0"/>
        <v>1.9580063910739076</v>
      </c>
      <c r="P29" s="74">
        <v>0</v>
      </c>
      <c r="Q29" s="74">
        <v>0</v>
      </c>
    </row>
    <row r="30" spans="1:17" x14ac:dyDescent="0.2">
      <c r="A30" s="62">
        <v>78</v>
      </c>
      <c r="B30" s="73">
        <v>0</v>
      </c>
      <c r="C30" s="73">
        <v>30</v>
      </c>
      <c r="D30" s="73">
        <v>0</v>
      </c>
      <c r="E30" s="77">
        <v>0</v>
      </c>
      <c r="F30" s="73">
        <v>44.017426</v>
      </c>
      <c r="G30" s="73">
        <v>63.436359000000003</v>
      </c>
      <c r="H30" s="73">
        <v>0</v>
      </c>
      <c r="I30" s="77">
        <v>0</v>
      </c>
      <c r="J30" s="73">
        <v>183.21755999999999</v>
      </c>
      <c r="K30" s="73">
        <v>124.24517</v>
      </c>
      <c r="L30" s="73">
        <v>0</v>
      </c>
      <c r="M30" s="77">
        <v>0</v>
      </c>
      <c r="N30" s="74">
        <f t="shared" si="0"/>
        <v>4.1623869601098438</v>
      </c>
      <c r="O30" s="74">
        <f t="shared" si="0"/>
        <v>1.958579779145269</v>
      </c>
      <c r="P30" s="74">
        <v>0</v>
      </c>
      <c r="Q30" s="74">
        <v>0</v>
      </c>
    </row>
    <row r="31" spans="1:17" x14ac:dyDescent="0.2">
      <c r="A31" s="62">
        <v>79</v>
      </c>
      <c r="B31" s="73">
        <v>0</v>
      </c>
      <c r="C31" s="73">
        <v>30</v>
      </c>
      <c r="D31" s="73">
        <v>0</v>
      </c>
      <c r="E31" s="77">
        <v>0</v>
      </c>
      <c r="F31" s="73">
        <v>43.061915999999997</v>
      </c>
      <c r="G31" s="73">
        <v>63.147444</v>
      </c>
      <c r="H31" s="73">
        <v>0</v>
      </c>
      <c r="I31" s="77">
        <v>0</v>
      </c>
      <c r="J31" s="73">
        <v>177.71633</v>
      </c>
      <c r="K31" s="73">
        <v>123.71816</v>
      </c>
      <c r="L31" s="73">
        <v>0</v>
      </c>
      <c r="M31" s="77">
        <v>0</v>
      </c>
      <c r="N31" s="74">
        <f t="shared" si="0"/>
        <v>4.1269954174821208</v>
      </c>
      <c r="O31" s="74">
        <f t="shared" si="0"/>
        <v>1.9591950546723633</v>
      </c>
      <c r="P31" s="74">
        <v>0</v>
      </c>
      <c r="Q31" s="74">
        <v>0</v>
      </c>
    </row>
    <row r="32" spans="1:17" x14ac:dyDescent="0.2">
      <c r="A32" s="2">
        <v>80</v>
      </c>
      <c r="B32" s="75"/>
      <c r="C32" s="75"/>
      <c r="D32" s="75"/>
      <c r="E32" s="11"/>
      <c r="F32" s="76"/>
      <c r="G32" s="73"/>
      <c r="H32" s="73"/>
      <c r="I32" s="73"/>
      <c r="J32" s="73"/>
      <c r="K32" s="73"/>
      <c r="L32" s="73"/>
      <c r="M32" s="77"/>
      <c r="N32" s="73"/>
      <c r="O32" s="73"/>
      <c r="P32" s="73"/>
      <c r="Q32" s="73"/>
    </row>
    <row r="33" spans="1:17" x14ac:dyDescent="0.2">
      <c r="A33">
        <v>81</v>
      </c>
      <c r="B33" s="5"/>
      <c r="C33" s="5"/>
      <c r="D33" s="5"/>
      <c r="E33" s="5"/>
      <c r="F33" s="5"/>
    </row>
    <row r="34" spans="1:17" x14ac:dyDescent="0.2">
      <c r="A34">
        <v>82</v>
      </c>
      <c r="B34" s="5"/>
      <c r="C34" s="5"/>
      <c r="D34" s="5"/>
      <c r="E34" s="5"/>
      <c r="F34" s="5"/>
    </row>
    <row r="35" spans="1:17" x14ac:dyDescent="0.2">
      <c r="A35">
        <v>83</v>
      </c>
      <c r="B35" s="5"/>
      <c r="C35" s="5"/>
      <c r="D35" s="5"/>
      <c r="E35" s="5"/>
      <c r="F35" s="5"/>
    </row>
    <row r="36" spans="1:17" x14ac:dyDescent="0.2">
      <c r="A36">
        <v>84</v>
      </c>
      <c r="B36" s="5"/>
      <c r="C36" s="5"/>
      <c r="D36" s="5"/>
      <c r="F36" s="95" t="s">
        <v>92</v>
      </c>
      <c r="G36" s="95" t="s">
        <v>93</v>
      </c>
      <c r="H36" s="95" t="s">
        <v>94</v>
      </c>
      <c r="I36" s="95" t="s">
        <v>91</v>
      </c>
      <c r="J36" s="95" t="s">
        <v>92</v>
      </c>
      <c r="K36" s="95" t="s">
        <v>93</v>
      </c>
      <c r="L36" s="95" t="s">
        <v>94</v>
      </c>
      <c r="M36" s="95" t="s">
        <v>91</v>
      </c>
      <c r="N36" s="95" t="s">
        <v>92</v>
      </c>
      <c r="O36" s="95" t="s">
        <v>93</v>
      </c>
      <c r="P36" s="95" t="s">
        <v>94</v>
      </c>
    </row>
    <row r="37" spans="1:17" x14ac:dyDescent="0.2">
      <c r="A37">
        <v>85</v>
      </c>
      <c r="B37" s="5"/>
      <c r="C37" s="5"/>
      <c r="D37" s="5"/>
      <c r="E37" s="63" t="s">
        <v>91</v>
      </c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</row>
    <row r="38" spans="1:17" x14ac:dyDescent="0.2">
      <c r="A38">
        <v>86</v>
      </c>
      <c r="B38" s="5"/>
      <c r="C38" s="5"/>
      <c r="D38" s="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1:17" x14ac:dyDescent="0.2">
      <c r="A39">
        <v>87</v>
      </c>
      <c r="B39" s="5"/>
      <c r="C39" s="5"/>
      <c r="D39" s="5"/>
      <c r="E39" s="64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>
        <v>88</v>
      </c>
      <c r="B40" s="5"/>
      <c r="C40" s="5"/>
      <c r="D40" s="5"/>
      <c r="E40" s="64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>
        <v>89</v>
      </c>
      <c r="B41" s="5"/>
      <c r="C41" s="5"/>
      <c r="D41" s="5"/>
      <c r="E41" s="64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>
        <v>90</v>
      </c>
      <c r="B42" s="5"/>
      <c r="C42" s="5"/>
      <c r="D42" s="5"/>
      <c r="E42" s="64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>
        <v>91</v>
      </c>
      <c r="B43" s="5"/>
      <c r="C43" s="5"/>
      <c r="D43" s="5"/>
      <c r="E43" s="64">
        <v>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>
        <v>92</v>
      </c>
      <c r="B44" s="5"/>
      <c r="C44" s="5"/>
      <c r="D44" s="5"/>
      <c r="E44" s="64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>
        <v>93</v>
      </c>
      <c r="B45" s="5"/>
      <c r="C45" s="5"/>
      <c r="D45" s="5"/>
      <c r="E45" s="64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>
        <v>94</v>
      </c>
      <c r="B46" s="5"/>
      <c r="C46" s="5"/>
      <c r="D46" s="5"/>
      <c r="E46" s="64">
        <v>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>
        <v>95</v>
      </c>
      <c r="B47" s="5"/>
      <c r="C47" s="5"/>
      <c r="D47" s="5"/>
      <c r="E47" s="64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>
        <v>96</v>
      </c>
      <c r="B48" s="5"/>
      <c r="C48" s="5"/>
      <c r="D48" s="5"/>
      <c r="E48" s="64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>
        <v>97</v>
      </c>
      <c r="B49" s="5"/>
      <c r="C49" s="5"/>
      <c r="D49" s="5"/>
      <c r="E49" s="64">
        <v>11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>
        <v>98</v>
      </c>
      <c r="B50" s="5"/>
      <c r="C50" s="5"/>
      <c r="D50" s="5"/>
      <c r="E50" s="64">
        <v>12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>
        <v>99</v>
      </c>
      <c r="B51" s="5"/>
      <c r="C51" s="5"/>
      <c r="D51" s="5"/>
      <c r="E51" s="64">
        <v>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C52" s="4"/>
      <c r="E52" s="64">
        <v>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C53" s="4"/>
      <c r="E53" s="64">
        <v>15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C54" s="4"/>
      <c r="E54" s="64">
        <v>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C55" s="4"/>
      <c r="E55" s="64">
        <v>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C56" s="4"/>
      <c r="E56" s="64">
        <v>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C57" s="4"/>
      <c r="E57" s="64">
        <v>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C58" s="4"/>
      <c r="E58" s="64">
        <v>20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C59" s="4"/>
      <c r="E59" s="64">
        <v>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C60" s="4"/>
      <c r="E60" s="64">
        <v>22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C61" s="4"/>
      <c r="E61" s="64">
        <v>23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C62" s="4"/>
      <c r="E62" s="64">
        <v>24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E63" s="64">
        <v>25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E64" s="64">
        <v>26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5:18" x14ac:dyDescent="0.2">
      <c r="E65" s="64">
        <v>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5:18" x14ac:dyDescent="0.2">
      <c r="E66" s="64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5:18" x14ac:dyDescent="0.2">
      <c r="E67" s="64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5:18" x14ac:dyDescent="0.2">
      <c r="E68" s="64">
        <v>30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72" spans="5:18" x14ac:dyDescent="0.2"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</row>
    <row r="73" spans="5:18" x14ac:dyDescent="0.2">
      <c r="F73" s="63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</row>
    <row r="74" spans="5:18" x14ac:dyDescent="0.2"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</row>
    <row r="75" spans="5:18" x14ac:dyDescent="0.2">
      <c r="F75" s="6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5:18" x14ac:dyDescent="0.2">
      <c r="F76" s="6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5:18" x14ac:dyDescent="0.2">
      <c r="F77" s="6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5:18" x14ac:dyDescent="0.2">
      <c r="F78" s="6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5:18" x14ac:dyDescent="0.2">
      <c r="F79" s="6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5:18" x14ac:dyDescent="0.2">
      <c r="F80" s="6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6:18" x14ac:dyDescent="0.2">
      <c r="F81" s="6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6:18" x14ac:dyDescent="0.2">
      <c r="F82" s="6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6:18" x14ac:dyDescent="0.2">
      <c r="F83" s="6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6:18" x14ac:dyDescent="0.2">
      <c r="F84" s="6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6:18" x14ac:dyDescent="0.2">
      <c r="F85" s="6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6:18" x14ac:dyDescent="0.2">
      <c r="F86" s="6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6:18" x14ac:dyDescent="0.2">
      <c r="F87" s="6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6:18" x14ac:dyDescent="0.2">
      <c r="F88" s="6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6:18" x14ac:dyDescent="0.2">
      <c r="F89" s="6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6:18" x14ac:dyDescent="0.2">
      <c r="F90" s="6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6:18" x14ac:dyDescent="0.2">
      <c r="F91" s="6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6:18" x14ac:dyDescent="0.2">
      <c r="F92" s="6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6:18" x14ac:dyDescent="0.2">
      <c r="F93" s="6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6:18" x14ac:dyDescent="0.2">
      <c r="F94" s="6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6:18" x14ac:dyDescent="0.2">
      <c r="F95" s="6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6:18" x14ac:dyDescent="0.2">
      <c r="F96" s="6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6:18" x14ac:dyDescent="0.2">
      <c r="F97" s="6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6:18" x14ac:dyDescent="0.2">
      <c r="F98" s="6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6:18" x14ac:dyDescent="0.2">
      <c r="F99" s="6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6:18" x14ac:dyDescent="0.2">
      <c r="F100" s="6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6:18" x14ac:dyDescent="0.2">
      <c r="F101" s="6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6:18" x14ac:dyDescent="0.2">
      <c r="F102" s="6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6:18" x14ac:dyDescent="0.2">
      <c r="F103" s="6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6:18" x14ac:dyDescent="0.2">
      <c r="F104" s="6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</sheetData>
  <mergeCells count="22">
    <mergeCell ref="K36:K37"/>
    <mergeCell ref="F36:F37"/>
    <mergeCell ref="G36:G37"/>
    <mergeCell ref="H36:H37"/>
    <mergeCell ref="I36:I37"/>
    <mergeCell ref="J36:J37"/>
    <mergeCell ref="L36:L37"/>
    <mergeCell ref="M36:M37"/>
    <mergeCell ref="N36:N37"/>
    <mergeCell ref="O36:O37"/>
    <mergeCell ref="P36:P37"/>
    <mergeCell ref="G72:G73"/>
    <mergeCell ref="H72:H73"/>
    <mergeCell ref="I72:I73"/>
    <mergeCell ref="J72:J73"/>
    <mergeCell ref="K72:K73"/>
    <mergeCell ref="Q72:Q73"/>
    <mergeCell ref="L72:L73"/>
    <mergeCell ref="M72:M73"/>
    <mergeCell ref="N72:N73"/>
    <mergeCell ref="O72:O73"/>
    <mergeCell ref="P72:P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U81"/>
  <sheetViews>
    <sheetView workbookViewId="0">
      <selection activeCell="G14" sqref="G14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77">
        <v>50</v>
      </c>
      <c r="B2" s="73">
        <v>4.43</v>
      </c>
      <c r="C2" s="73">
        <v>0</v>
      </c>
      <c r="D2" s="73">
        <v>0</v>
      </c>
      <c r="E2" s="77">
        <v>0</v>
      </c>
      <c r="F2" s="73">
        <v>4.43</v>
      </c>
      <c r="G2" s="73">
        <v>0</v>
      </c>
      <c r="H2" s="73">
        <v>0</v>
      </c>
      <c r="I2" s="77">
        <v>0</v>
      </c>
      <c r="J2" s="73">
        <v>47.582000000000001</v>
      </c>
      <c r="K2" s="73">
        <v>0</v>
      </c>
      <c r="L2" s="73">
        <v>0</v>
      </c>
      <c r="M2" s="77">
        <v>0</v>
      </c>
      <c r="N2" s="74">
        <f>J2/F2</f>
        <v>10.740857787810384</v>
      </c>
      <c r="O2" s="74">
        <v>0</v>
      </c>
      <c r="P2" s="74">
        <v>0</v>
      </c>
      <c r="Q2" s="74">
        <v>0</v>
      </c>
    </row>
    <row r="3" spans="1:17" x14ac:dyDescent="0.2">
      <c r="A3" s="77">
        <v>51</v>
      </c>
      <c r="B3" s="73">
        <v>4.43</v>
      </c>
      <c r="C3" s="73">
        <v>0</v>
      </c>
      <c r="D3" s="73">
        <v>0</v>
      </c>
      <c r="E3" s="77">
        <v>0</v>
      </c>
      <c r="F3" s="73">
        <v>4.43</v>
      </c>
      <c r="G3" s="73">
        <v>0</v>
      </c>
      <c r="H3" s="73">
        <v>0</v>
      </c>
      <c r="I3" s="77">
        <v>0</v>
      </c>
      <c r="J3" s="73">
        <v>47.582000000000001</v>
      </c>
      <c r="K3" s="73">
        <v>0</v>
      </c>
      <c r="L3" s="73">
        <v>0</v>
      </c>
      <c r="M3" s="77">
        <v>0</v>
      </c>
      <c r="N3" s="74">
        <f t="shared" ref="N3:N31" si="0">J3/F3</f>
        <v>10.740857787810384</v>
      </c>
      <c r="O3" s="74">
        <v>0</v>
      </c>
      <c r="P3" s="74">
        <v>0</v>
      </c>
      <c r="Q3" s="74">
        <v>0</v>
      </c>
    </row>
    <row r="4" spans="1:17" x14ac:dyDescent="0.2">
      <c r="A4" s="77">
        <v>52</v>
      </c>
      <c r="B4" s="73">
        <v>4.43</v>
      </c>
      <c r="C4" s="73">
        <v>0</v>
      </c>
      <c r="D4" s="73">
        <v>0</v>
      </c>
      <c r="E4" s="77">
        <v>0</v>
      </c>
      <c r="F4" s="73">
        <v>4.43</v>
      </c>
      <c r="G4" s="73">
        <v>0</v>
      </c>
      <c r="H4" s="73">
        <v>0</v>
      </c>
      <c r="I4" s="77">
        <v>0</v>
      </c>
      <c r="J4" s="73">
        <v>47.582000000000001</v>
      </c>
      <c r="K4" s="73">
        <v>0</v>
      </c>
      <c r="L4" s="73">
        <v>0</v>
      </c>
      <c r="M4" s="77">
        <v>0</v>
      </c>
      <c r="N4" s="74">
        <f t="shared" si="0"/>
        <v>10.740857787810384</v>
      </c>
      <c r="O4" s="74">
        <v>0</v>
      </c>
      <c r="P4" s="74">
        <v>0</v>
      </c>
      <c r="Q4" s="74">
        <v>0</v>
      </c>
    </row>
    <row r="5" spans="1:17" x14ac:dyDescent="0.2">
      <c r="A5" s="77">
        <v>53</v>
      </c>
      <c r="B5" s="73">
        <v>4.43</v>
      </c>
      <c r="C5" s="73">
        <v>0</v>
      </c>
      <c r="D5" s="73">
        <v>0</v>
      </c>
      <c r="E5" s="77">
        <v>0</v>
      </c>
      <c r="F5" s="73">
        <v>4.43</v>
      </c>
      <c r="G5" s="73">
        <v>0</v>
      </c>
      <c r="H5" s="73">
        <v>0</v>
      </c>
      <c r="I5" s="77">
        <v>0</v>
      </c>
      <c r="J5" s="73">
        <v>47.582000000000001</v>
      </c>
      <c r="K5" s="73">
        <v>0</v>
      </c>
      <c r="L5" s="73">
        <v>0</v>
      </c>
      <c r="M5" s="77">
        <v>0</v>
      </c>
      <c r="N5" s="74">
        <f t="shared" si="0"/>
        <v>10.740857787810384</v>
      </c>
      <c r="O5" s="74">
        <v>0</v>
      </c>
      <c r="P5" s="74">
        <v>0</v>
      </c>
      <c r="Q5" s="74">
        <v>0</v>
      </c>
    </row>
    <row r="6" spans="1:17" x14ac:dyDescent="0.2">
      <c r="A6" s="77">
        <v>54</v>
      </c>
      <c r="B6" s="73">
        <v>4.43</v>
      </c>
      <c r="C6" s="73">
        <v>0</v>
      </c>
      <c r="D6" s="73">
        <v>0</v>
      </c>
      <c r="E6" s="77">
        <v>0</v>
      </c>
      <c r="F6" s="73">
        <v>4.43</v>
      </c>
      <c r="G6" s="73">
        <v>0</v>
      </c>
      <c r="H6" s="73">
        <v>0</v>
      </c>
      <c r="I6" s="77">
        <v>0</v>
      </c>
      <c r="J6" s="73">
        <v>47.582000000000001</v>
      </c>
      <c r="K6" s="73">
        <v>0</v>
      </c>
      <c r="L6" s="73">
        <v>0</v>
      </c>
      <c r="M6" s="77">
        <v>0</v>
      </c>
      <c r="N6" s="74">
        <f t="shared" si="0"/>
        <v>10.740857787810384</v>
      </c>
      <c r="O6" s="74">
        <v>0</v>
      </c>
      <c r="P6" s="74">
        <v>0</v>
      </c>
      <c r="Q6" s="74">
        <v>0</v>
      </c>
    </row>
    <row r="7" spans="1:17" x14ac:dyDescent="0.2">
      <c r="A7" s="77">
        <v>55</v>
      </c>
      <c r="B7" s="73">
        <v>10.15</v>
      </c>
      <c r="C7" s="73">
        <v>0</v>
      </c>
      <c r="D7" s="73">
        <v>0</v>
      </c>
      <c r="E7" s="77">
        <v>0</v>
      </c>
      <c r="F7" s="73">
        <v>10.15</v>
      </c>
      <c r="G7" s="73">
        <v>0</v>
      </c>
      <c r="H7" s="73">
        <v>0</v>
      </c>
      <c r="I7" s="77">
        <v>0</v>
      </c>
      <c r="J7" s="73">
        <v>76.098219999999998</v>
      </c>
      <c r="K7" s="73">
        <v>0</v>
      </c>
      <c r="L7" s="73">
        <v>0</v>
      </c>
      <c r="M7" s="77">
        <v>0</v>
      </c>
      <c r="N7" s="74">
        <f t="shared" si="0"/>
        <v>7.4973615763546793</v>
      </c>
      <c r="O7" s="74">
        <v>0</v>
      </c>
      <c r="P7" s="74">
        <v>0</v>
      </c>
      <c r="Q7" s="74">
        <v>0</v>
      </c>
    </row>
    <row r="8" spans="1:17" x14ac:dyDescent="0.2">
      <c r="A8" s="77">
        <v>56</v>
      </c>
      <c r="B8" s="73">
        <v>10.15</v>
      </c>
      <c r="C8" s="73">
        <v>0</v>
      </c>
      <c r="D8" s="73">
        <v>0</v>
      </c>
      <c r="E8" s="77">
        <v>0</v>
      </c>
      <c r="F8" s="73">
        <v>10.15</v>
      </c>
      <c r="G8" s="73">
        <v>0</v>
      </c>
      <c r="H8" s="73">
        <v>0</v>
      </c>
      <c r="I8" s="77">
        <v>0</v>
      </c>
      <c r="J8" s="73">
        <v>76.098219999999998</v>
      </c>
      <c r="K8" s="73">
        <v>0</v>
      </c>
      <c r="L8" s="73">
        <v>0</v>
      </c>
      <c r="M8" s="77">
        <v>0</v>
      </c>
      <c r="N8" s="74">
        <f t="shared" si="0"/>
        <v>7.4973615763546793</v>
      </c>
      <c r="O8" s="74">
        <v>0</v>
      </c>
      <c r="P8" s="74">
        <v>0</v>
      </c>
      <c r="Q8" s="74">
        <v>0</v>
      </c>
    </row>
    <row r="9" spans="1:17" x14ac:dyDescent="0.2">
      <c r="A9" s="77">
        <v>57</v>
      </c>
      <c r="B9" s="73">
        <v>10.15</v>
      </c>
      <c r="C9" s="73">
        <v>0</v>
      </c>
      <c r="D9" s="73">
        <v>0</v>
      </c>
      <c r="E9" s="77">
        <v>0</v>
      </c>
      <c r="F9" s="73">
        <v>10.15</v>
      </c>
      <c r="G9" s="73">
        <v>0</v>
      </c>
      <c r="H9" s="73">
        <v>0</v>
      </c>
      <c r="I9" s="77">
        <v>0</v>
      </c>
      <c r="J9" s="73">
        <v>76.098219999999998</v>
      </c>
      <c r="K9" s="73">
        <v>0</v>
      </c>
      <c r="L9" s="73">
        <v>0</v>
      </c>
      <c r="M9" s="77">
        <v>0</v>
      </c>
      <c r="N9" s="74">
        <f t="shared" si="0"/>
        <v>7.4973615763546793</v>
      </c>
      <c r="O9" s="74">
        <v>0</v>
      </c>
      <c r="P9" s="74">
        <v>0</v>
      </c>
      <c r="Q9" s="74">
        <v>0</v>
      </c>
    </row>
    <row r="10" spans="1:17" x14ac:dyDescent="0.2">
      <c r="A10" s="77">
        <v>58</v>
      </c>
      <c r="B10" s="73">
        <v>10.15</v>
      </c>
      <c r="C10" s="73">
        <v>0</v>
      </c>
      <c r="D10" s="73">
        <v>0</v>
      </c>
      <c r="E10" s="77">
        <v>0</v>
      </c>
      <c r="F10" s="73">
        <v>10.15</v>
      </c>
      <c r="G10" s="73">
        <v>0</v>
      </c>
      <c r="H10" s="73">
        <v>0</v>
      </c>
      <c r="I10" s="77">
        <v>0</v>
      </c>
      <c r="J10" s="73">
        <v>76.098219999999998</v>
      </c>
      <c r="K10" s="73">
        <v>0</v>
      </c>
      <c r="L10" s="73">
        <v>0</v>
      </c>
      <c r="M10" s="77">
        <v>0</v>
      </c>
      <c r="N10" s="74">
        <f t="shared" si="0"/>
        <v>7.4973615763546793</v>
      </c>
      <c r="O10" s="74">
        <v>0</v>
      </c>
      <c r="P10" s="74">
        <v>0</v>
      </c>
      <c r="Q10" s="74">
        <v>0</v>
      </c>
    </row>
    <row r="11" spans="1:17" x14ac:dyDescent="0.2">
      <c r="A11" s="77">
        <v>59</v>
      </c>
      <c r="B11" s="73">
        <v>10.15</v>
      </c>
      <c r="C11" s="73">
        <v>0</v>
      </c>
      <c r="D11" s="73">
        <v>0</v>
      </c>
      <c r="E11" s="77">
        <v>0</v>
      </c>
      <c r="F11" s="73">
        <v>10.15</v>
      </c>
      <c r="G11" s="73">
        <v>0</v>
      </c>
      <c r="H11" s="73">
        <v>0</v>
      </c>
      <c r="I11" s="77">
        <v>0</v>
      </c>
      <c r="J11" s="73">
        <v>76.098219999999998</v>
      </c>
      <c r="K11" s="73">
        <v>0</v>
      </c>
      <c r="L11" s="73">
        <v>0</v>
      </c>
      <c r="M11" s="77">
        <v>0</v>
      </c>
      <c r="N11" s="74">
        <f t="shared" si="0"/>
        <v>7.4973615763546793</v>
      </c>
      <c r="O11" s="74">
        <v>0</v>
      </c>
      <c r="P11" s="74">
        <v>0</v>
      </c>
      <c r="Q11" s="74">
        <v>0</v>
      </c>
    </row>
    <row r="12" spans="1:17" x14ac:dyDescent="0.2">
      <c r="A12" s="77">
        <v>60</v>
      </c>
      <c r="B12" s="73">
        <v>20.91</v>
      </c>
      <c r="C12" s="73">
        <v>0</v>
      </c>
      <c r="D12" s="73">
        <v>0</v>
      </c>
      <c r="E12" s="77">
        <v>0</v>
      </c>
      <c r="F12" s="73">
        <v>20.91</v>
      </c>
      <c r="G12" s="73">
        <v>0</v>
      </c>
      <c r="H12" s="73">
        <v>0</v>
      </c>
      <c r="I12" s="77">
        <v>0</v>
      </c>
      <c r="J12" s="73">
        <v>149.78464</v>
      </c>
      <c r="K12" s="73">
        <v>0</v>
      </c>
      <c r="L12" s="73">
        <v>0</v>
      </c>
      <c r="M12" s="77">
        <v>0</v>
      </c>
      <c r="N12" s="74">
        <f t="shared" si="0"/>
        <v>7.1633017694882826</v>
      </c>
      <c r="O12" s="74">
        <v>0</v>
      </c>
      <c r="P12" s="74">
        <v>0</v>
      </c>
      <c r="Q12" s="74">
        <v>0</v>
      </c>
    </row>
    <row r="13" spans="1:17" x14ac:dyDescent="0.2">
      <c r="A13" s="77">
        <v>61</v>
      </c>
      <c r="B13" s="73">
        <v>20.91</v>
      </c>
      <c r="C13" s="73">
        <v>0</v>
      </c>
      <c r="D13" s="73">
        <v>0</v>
      </c>
      <c r="E13" s="77">
        <v>0</v>
      </c>
      <c r="F13" s="73">
        <v>20.91</v>
      </c>
      <c r="G13" s="73">
        <v>0</v>
      </c>
      <c r="H13" s="73">
        <v>0</v>
      </c>
      <c r="I13" s="77">
        <v>0</v>
      </c>
      <c r="J13" s="73">
        <v>149.78464</v>
      </c>
      <c r="K13" s="73">
        <v>0</v>
      </c>
      <c r="L13" s="73">
        <v>0</v>
      </c>
      <c r="M13" s="77">
        <v>0</v>
      </c>
      <c r="N13" s="74">
        <f t="shared" si="0"/>
        <v>7.1633017694882826</v>
      </c>
      <c r="O13" s="74">
        <v>0</v>
      </c>
      <c r="P13" s="74">
        <v>0</v>
      </c>
      <c r="Q13" s="74">
        <v>0</v>
      </c>
    </row>
    <row r="14" spans="1:17" x14ac:dyDescent="0.2">
      <c r="A14" s="77">
        <v>62</v>
      </c>
      <c r="B14" s="73">
        <v>20.91</v>
      </c>
      <c r="C14" s="73">
        <v>0</v>
      </c>
      <c r="D14" s="73">
        <v>0</v>
      </c>
      <c r="E14" s="77">
        <v>0</v>
      </c>
      <c r="F14" s="73">
        <v>20.91</v>
      </c>
      <c r="G14" s="73">
        <v>0</v>
      </c>
      <c r="H14" s="73">
        <v>0</v>
      </c>
      <c r="I14" s="77">
        <v>0</v>
      </c>
      <c r="J14" s="73">
        <v>149.78464</v>
      </c>
      <c r="K14" s="73">
        <v>0</v>
      </c>
      <c r="L14" s="73">
        <v>0</v>
      </c>
      <c r="M14" s="77">
        <v>0</v>
      </c>
      <c r="N14" s="74">
        <f t="shared" si="0"/>
        <v>7.1633017694882826</v>
      </c>
      <c r="O14" s="74">
        <v>0</v>
      </c>
      <c r="P14" s="74">
        <v>0</v>
      </c>
      <c r="Q14" s="74">
        <v>0</v>
      </c>
    </row>
    <row r="15" spans="1:17" x14ac:dyDescent="0.2">
      <c r="A15" s="77">
        <v>63</v>
      </c>
      <c r="B15" s="73">
        <v>20.91</v>
      </c>
      <c r="C15" s="73">
        <v>0</v>
      </c>
      <c r="D15" s="73">
        <v>0</v>
      </c>
      <c r="E15" s="77">
        <v>0</v>
      </c>
      <c r="F15" s="73">
        <v>20.91</v>
      </c>
      <c r="G15" s="73">
        <v>0</v>
      </c>
      <c r="H15" s="73">
        <v>0</v>
      </c>
      <c r="I15" s="77">
        <v>0</v>
      </c>
      <c r="J15" s="73">
        <v>149.78464</v>
      </c>
      <c r="K15" s="73">
        <v>0</v>
      </c>
      <c r="L15" s="73">
        <v>0</v>
      </c>
      <c r="M15" s="77">
        <v>0</v>
      </c>
      <c r="N15" s="74">
        <f t="shared" si="0"/>
        <v>7.1633017694882826</v>
      </c>
      <c r="O15" s="74">
        <v>0</v>
      </c>
      <c r="P15" s="74">
        <v>0</v>
      </c>
      <c r="Q15" s="74">
        <v>0</v>
      </c>
    </row>
    <row r="16" spans="1:17" x14ac:dyDescent="0.2">
      <c r="A16" s="77">
        <v>64</v>
      </c>
      <c r="B16" s="73">
        <v>20.91</v>
      </c>
      <c r="C16" s="73">
        <v>0</v>
      </c>
      <c r="D16" s="73">
        <v>0</v>
      </c>
      <c r="E16" s="77">
        <v>0</v>
      </c>
      <c r="F16" s="73">
        <v>20.91</v>
      </c>
      <c r="G16" s="73">
        <v>0</v>
      </c>
      <c r="H16" s="73">
        <v>0</v>
      </c>
      <c r="I16" s="77">
        <v>0</v>
      </c>
      <c r="J16" s="73">
        <v>149.78464</v>
      </c>
      <c r="K16" s="73">
        <v>0</v>
      </c>
      <c r="L16" s="73">
        <v>0</v>
      </c>
      <c r="M16" s="77">
        <v>0</v>
      </c>
      <c r="N16" s="74">
        <f>J16/F16</f>
        <v>7.1633017694882826</v>
      </c>
      <c r="O16" s="74">
        <v>0</v>
      </c>
      <c r="P16" s="74">
        <v>0</v>
      </c>
      <c r="Q16" s="74">
        <v>0</v>
      </c>
    </row>
    <row r="17" spans="1:17" x14ac:dyDescent="0.2">
      <c r="A17" s="77">
        <v>65</v>
      </c>
      <c r="B17" s="73">
        <v>35.54</v>
      </c>
      <c r="C17" s="73">
        <v>0</v>
      </c>
      <c r="D17" s="73">
        <v>0</v>
      </c>
      <c r="E17" s="77">
        <v>0</v>
      </c>
      <c r="F17" s="73">
        <v>35.54</v>
      </c>
      <c r="G17" s="73">
        <v>0</v>
      </c>
      <c r="H17" s="73">
        <v>0</v>
      </c>
      <c r="I17" s="77">
        <v>0</v>
      </c>
      <c r="J17" s="73">
        <v>230.49211</v>
      </c>
      <c r="K17" s="73">
        <v>0</v>
      </c>
      <c r="L17" s="73">
        <v>0</v>
      </c>
      <c r="M17" s="77">
        <v>0</v>
      </c>
      <c r="N17" s="74">
        <f t="shared" si="0"/>
        <v>6.4854279684862126</v>
      </c>
      <c r="O17" s="74">
        <v>0</v>
      </c>
      <c r="P17" s="74">
        <v>0</v>
      </c>
      <c r="Q17" s="74">
        <v>0</v>
      </c>
    </row>
    <row r="18" spans="1:17" x14ac:dyDescent="0.2">
      <c r="A18" s="77">
        <v>66</v>
      </c>
      <c r="B18" s="73">
        <v>35.54</v>
      </c>
      <c r="C18" s="73">
        <v>0</v>
      </c>
      <c r="D18" s="73">
        <v>0</v>
      </c>
      <c r="E18" s="77">
        <v>0</v>
      </c>
      <c r="F18" s="73">
        <v>35.54</v>
      </c>
      <c r="G18" s="73">
        <v>0</v>
      </c>
      <c r="H18" s="73">
        <v>0</v>
      </c>
      <c r="I18" s="77">
        <v>0</v>
      </c>
      <c r="J18" s="73">
        <v>230.49211</v>
      </c>
      <c r="K18" s="73">
        <v>0</v>
      </c>
      <c r="L18" s="73">
        <v>0</v>
      </c>
      <c r="M18" s="77">
        <v>0</v>
      </c>
      <c r="N18" s="74">
        <f t="shared" si="0"/>
        <v>6.4854279684862126</v>
      </c>
      <c r="O18" s="74">
        <v>0</v>
      </c>
      <c r="P18" s="74">
        <v>0</v>
      </c>
      <c r="Q18" s="74">
        <v>0</v>
      </c>
    </row>
    <row r="19" spans="1:17" x14ac:dyDescent="0.2">
      <c r="A19" s="77">
        <v>67</v>
      </c>
      <c r="B19" s="73">
        <v>35.54</v>
      </c>
      <c r="C19" s="73">
        <v>0</v>
      </c>
      <c r="D19" s="73">
        <v>0</v>
      </c>
      <c r="E19" s="77">
        <v>0</v>
      </c>
      <c r="F19" s="73">
        <v>35.54</v>
      </c>
      <c r="G19" s="73">
        <v>0</v>
      </c>
      <c r="H19" s="73">
        <v>0</v>
      </c>
      <c r="I19" s="77">
        <v>0</v>
      </c>
      <c r="J19" s="73">
        <v>230.49211</v>
      </c>
      <c r="K19" s="73">
        <v>0</v>
      </c>
      <c r="L19" s="73">
        <v>0</v>
      </c>
      <c r="M19" s="77">
        <v>0</v>
      </c>
      <c r="N19" s="74">
        <f t="shared" si="0"/>
        <v>6.4854279684862126</v>
      </c>
      <c r="O19" s="74">
        <v>0</v>
      </c>
      <c r="P19" s="74">
        <v>0</v>
      </c>
      <c r="Q19" s="74">
        <v>0</v>
      </c>
    </row>
    <row r="20" spans="1:17" x14ac:dyDescent="0.2">
      <c r="A20" s="77">
        <v>68</v>
      </c>
      <c r="B20" s="73">
        <v>35.54</v>
      </c>
      <c r="C20" s="73">
        <v>0</v>
      </c>
      <c r="D20" s="73">
        <v>0</v>
      </c>
      <c r="E20" s="77">
        <v>0</v>
      </c>
      <c r="F20" s="73">
        <v>35.54</v>
      </c>
      <c r="G20" s="73">
        <v>0</v>
      </c>
      <c r="H20" s="73">
        <v>0</v>
      </c>
      <c r="I20" s="77">
        <v>0</v>
      </c>
      <c r="J20" s="73">
        <v>230.49211</v>
      </c>
      <c r="K20" s="73">
        <v>0</v>
      </c>
      <c r="L20" s="73">
        <v>0</v>
      </c>
      <c r="M20" s="77">
        <v>0</v>
      </c>
      <c r="N20" s="74">
        <f t="shared" si="0"/>
        <v>6.4854279684862126</v>
      </c>
      <c r="O20" s="74">
        <v>0</v>
      </c>
      <c r="P20" s="74">
        <v>0</v>
      </c>
      <c r="Q20" s="74">
        <v>0</v>
      </c>
    </row>
    <row r="21" spans="1:17" x14ac:dyDescent="0.2">
      <c r="A21" s="77">
        <v>69</v>
      </c>
      <c r="B21" s="73">
        <v>35.54</v>
      </c>
      <c r="C21" s="73">
        <v>0</v>
      </c>
      <c r="D21" s="73">
        <v>0</v>
      </c>
      <c r="E21" s="77">
        <v>0</v>
      </c>
      <c r="F21" s="73">
        <v>35.54</v>
      </c>
      <c r="G21" s="73">
        <v>0</v>
      </c>
      <c r="H21" s="73">
        <v>0</v>
      </c>
      <c r="I21" s="77">
        <v>0</v>
      </c>
      <c r="J21" s="73">
        <v>230.49211</v>
      </c>
      <c r="K21" s="73">
        <v>0</v>
      </c>
      <c r="L21" s="73">
        <v>0</v>
      </c>
      <c r="M21" s="77">
        <v>0</v>
      </c>
      <c r="N21" s="74">
        <f t="shared" si="0"/>
        <v>6.4854279684862126</v>
      </c>
      <c r="O21" s="74">
        <v>0</v>
      </c>
      <c r="P21" s="74">
        <v>0</v>
      </c>
      <c r="Q21" s="74">
        <v>0</v>
      </c>
    </row>
    <row r="22" spans="1:17" x14ac:dyDescent="0.2">
      <c r="A22" s="77">
        <v>70</v>
      </c>
      <c r="B22" s="73">
        <v>56.04</v>
      </c>
      <c r="C22" s="73">
        <v>0</v>
      </c>
      <c r="D22" s="73">
        <v>0</v>
      </c>
      <c r="E22" s="77">
        <v>0</v>
      </c>
      <c r="F22" s="73">
        <v>56.04</v>
      </c>
      <c r="G22" s="73">
        <v>0</v>
      </c>
      <c r="H22" s="73">
        <v>0</v>
      </c>
      <c r="I22" s="77">
        <v>0</v>
      </c>
      <c r="J22" s="73">
        <v>291.39102000000003</v>
      </c>
      <c r="K22" s="73">
        <v>0</v>
      </c>
      <c r="L22" s="73">
        <v>0</v>
      </c>
      <c r="M22" s="77">
        <v>0</v>
      </c>
      <c r="N22" s="74">
        <f t="shared" si="0"/>
        <v>5.1996970021413285</v>
      </c>
      <c r="O22" s="74">
        <v>0</v>
      </c>
      <c r="P22" s="74">
        <v>0</v>
      </c>
      <c r="Q22" s="74">
        <v>0</v>
      </c>
    </row>
    <row r="23" spans="1:17" x14ac:dyDescent="0.2">
      <c r="A23" s="77">
        <v>71</v>
      </c>
      <c r="B23" s="73">
        <v>56.04</v>
      </c>
      <c r="C23" s="73">
        <v>0</v>
      </c>
      <c r="D23" s="73">
        <v>0</v>
      </c>
      <c r="E23" s="77">
        <v>0</v>
      </c>
      <c r="F23" s="73">
        <v>56.04</v>
      </c>
      <c r="G23" s="73">
        <v>0</v>
      </c>
      <c r="H23" s="73">
        <v>0</v>
      </c>
      <c r="I23" s="77">
        <v>0</v>
      </c>
      <c r="J23" s="73">
        <v>291.39102000000003</v>
      </c>
      <c r="K23" s="73">
        <v>0</v>
      </c>
      <c r="L23" s="73">
        <v>0</v>
      </c>
      <c r="M23" s="77">
        <v>0</v>
      </c>
      <c r="N23" s="74">
        <f t="shared" si="0"/>
        <v>5.1996970021413285</v>
      </c>
      <c r="O23" s="74">
        <v>0</v>
      </c>
      <c r="P23" s="74">
        <v>0</v>
      </c>
      <c r="Q23" s="74">
        <v>0</v>
      </c>
    </row>
    <row r="24" spans="1:17" x14ac:dyDescent="0.2">
      <c r="A24" s="77">
        <v>72</v>
      </c>
      <c r="B24" s="73">
        <v>56.04</v>
      </c>
      <c r="C24" s="73">
        <v>0</v>
      </c>
      <c r="D24" s="73">
        <v>0</v>
      </c>
      <c r="E24" s="77">
        <v>0</v>
      </c>
      <c r="F24" s="73">
        <v>56.04</v>
      </c>
      <c r="G24" s="73">
        <v>0</v>
      </c>
      <c r="H24" s="73">
        <v>0</v>
      </c>
      <c r="I24" s="77">
        <v>0</v>
      </c>
      <c r="J24" s="73">
        <v>291.39102000000003</v>
      </c>
      <c r="K24" s="73">
        <v>0</v>
      </c>
      <c r="L24" s="73">
        <v>0</v>
      </c>
      <c r="M24" s="77">
        <v>0</v>
      </c>
      <c r="N24" s="74">
        <f t="shared" si="0"/>
        <v>5.1996970021413285</v>
      </c>
      <c r="O24" s="74">
        <v>0</v>
      </c>
      <c r="P24" s="74">
        <v>0</v>
      </c>
      <c r="Q24" s="74">
        <v>0</v>
      </c>
    </row>
    <row r="25" spans="1:17" x14ac:dyDescent="0.2">
      <c r="A25" s="77">
        <v>73</v>
      </c>
      <c r="B25" s="73">
        <v>56.04</v>
      </c>
      <c r="C25" s="73">
        <v>0</v>
      </c>
      <c r="D25" s="73">
        <v>0</v>
      </c>
      <c r="E25" s="77">
        <v>0</v>
      </c>
      <c r="F25" s="73">
        <v>56.04</v>
      </c>
      <c r="G25" s="73">
        <v>0</v>
      </c>
      <c r="H25" s="73">
        <v>0</v>
      </c>
      <c r="I25" s="77">
        <v>0</v>
      </c>
      <c r="J25" s="73">
        <v>291.39102000000003</v>
      </c>
      <c r="K25" s="73">
        <v>0</v>
      </c>
      <c r="L25" s="73">
        <v>0</v>
      </c>
      <c r="M25" s="77">
        <v>0</v>
      </c>
      <c r="N25" s="74">
        <f t="shared" si="0"/>
        <v>5.1996970021413285</v>
      </c>
      <c r="O25" s="74">
        <v>0</v>
      </c>
      <c r="P25" s="74">
        <v>0</v>
      </c>
      <c r="Q25" s="74">
        <v>0</v>
      </c>
    </row>
    <row r="26" spans="1:17" x14ac:dyDescent="0.2">
      <c r="A26" s="77">
        <v>74</v>
      </c>
      <c r="B26" s="73">
        <v>56.04</v>
      </c>
      <c r="C26" s="73">
        <v>0</v>
      </c>
      <c r="D26" s="73">
        <v>0</v>
      </c>
      <c r="E26" s="77">
        <v>0</v>
      </c>
      <c r="F26" s="73">
        <v>56.04</v>
      </c>
      <c r="G26" s="73">
        <v>0</v>
      </c>
      <c r="H26" s="73">
        <v>0</v>
      </c>
      <c r="I26" s="77">
        <v>0</v>
      </c>
      <c r="J26" s="73">
        <v>291.39102000000003</v>
      </c>
      <c r="K26" s="73">
        <v>0</v>
      </c>
      <c r="L26" s="73">
        <v>0</v>
      </c>
      <c r="M26" s="77">
        <v>0</v>
      </c>
      <c r="N26" s="74">
        <f t="shared" si="0"/>
        <v>5.1996970021413285</v>
      </c>
      <c r="O26" s="74">
        <v>0</v>
      </c>
      <c r="P26" s="74">
        <v>0</v>
      </c>
      <c r="Q26" s="74">
        <v>0</v>
      </c>
    </row>
    <row r="27" spans="1:17" x14ac:dyDescent="0.2">
      <c r="A27" s="77">
        <v>75</v>
      </c>
      <c r="B27" s="73">
        <v>71.97</v>
      </c>
      <c r="C27" s="73">
        <v>0</v>
      </c>
      <c r="D27" s="73">
        <v>0</v>
      </c>
      <c r="E27" s="77">
        <v>0</v>
      </c>
      <c r="F27" s="73">
        <v>71.97</v>
      </c>
      <c r="G27" s="73">
        <v>0</v>
      </c>
      <c r="H27" s="73">
        <v>0</v>
      </c>
      <c r="I27" s="77">
        <v>0</v>
      </c>
      <c r="J27" s="73">
        <v>283.33711</v>
      </c>
      <c r="K27" s="73">
        <v>0</v>
      </c>
      <c r="L27" s="73">
        <v>0</v>
      </c>
      <c r="M27" s="77">
        <v>0</v>
      </c>
      <c r="N27" s="74">
        <f t="shared" si="0"/>
        <v>3.9368780047241905</v>
      </c>
      <c r="O27" s="74">
        <v>0</v>
      </c>
      <c r="P27" s="74">
        <v>0</v>
      </c>
      <c r="Q27" s="74">
        <v>0</v>
      </c>
    </row>
    <row r="28" spans="1:17" x14ac:dyDescent="0.2">
      <c r="A28" s="77">
        <v>76</v>
      </c>
      <c r="B28" s="73">
        <v>71.97</v>
      </c>
      <c r="C28" s="73">
        <v>0</v>
      </c>
      <c r="D28" s="73">
        <v>0</v>
      </c>
      <c r="E28" s="77">
        <v>0</v>
      </c>
      <c r="F28" s="73">
        <v>71.97</v>
      </c>
      <c r="G28" s="73">
        <v>0</v>
      </c>
      <c r="H28" s="73">
        <v>0</v>
      </c>
      <c r="I28" s="77">
        <v>0</v>
      </c>
      <c r="J28" s="73">
        <v>283.33711</v>
      </c>
      <c r="K28" s="73">
        <v>0</v>
      </c>
      <c r="L28" s="73">
        <v>0</v>
      </c>
      <c r="M28" s="77">
        <v>0</v>
      </c>
      <c r="N28" s="74">
        <f t="shared" si="0"/>
        <v>3.9368780047241905</v>
      </c>
      <c r="O28" s="74">
        <v>0</v>
      </c>
      <c r="P28" s="74">
        <v>0</v>
      </c>
      <c r="Q28" s="74">
        <v>0</v>
      </c>
    </row>
    <row r="29" spans="1:17" x14ac:dyDescent="0.2">
      <c r="A29" s="77">
        <v>77</v>
      </c>
      <c r="B29" s="73">
        <v>71.97</v>
      </c>
      <c r="C29" s="73">
        <v>0</v>
      </c>
      <c r="D29" s="73">
        <v>0</v>
      </c>
      <c r="E29" s="77">
        <v>0</v>
      </c>
      <c r="F29" s="73">
        <v>71.97</v>
      </c>
      <c r="G29" s="73">
        <v>0</v>
      </c>
      <c r="H29" s="73">
        <v>0</v>
      </c>
      <c r="I29" s="77">
        <v>0</v>
      </c>
      <c r="J29" s="73">
        <v>283.33711</v>
      </c>
      <c r="K29" s="73">
        <v>0</v>
      </c>
      <c r="L29" s="73">
        <v>0</v>
      </c>
      <c r="M29" s="77">
        <v>0</v>
      </c>
      <c r="N29" s="74">
        <f t="shared" si="0"/>
        <v>3.9368780047241905</v>
      </c>
      <c r="O29" s="74">
        <v>0</v>
      </c>
      <c r="P29" s="74">
        <v>0</v>
      </c>
      <c r="Q29" s="74">
        <v>0</v>
      </c>
    </row>
    <row r="30" spans="1:17" x14ac:dyDescent="0.2">
      <c r="A30" s="77">
        <v>78</v>
      </c>
      <c r="B30" s="73">
        <v>71.97</v>
      </c>
      <c r="C30" s="73">
        <v>0</v>
      </c>
      <c r="D30" s="73">
        <v>0</v>
      </c>
      <c r="E30" s="77">
        <v>0</v>
      </c>
      <c r="F30" s="73">
        <v>71.97</v>
      </c>
      <c r="G30" s="73">
        <v>0</v>
      </c>
      <c r="H30" s="73">
        <v>0</v>
      </c>
      <c r="I30" s="77">
        <v>0</v>
      </c>
      <c r="J30" s="73">
        <v>283.33711</v>
      </c>
      <c r="K30" s="73">
        <v>0</v>
      </c>
      <c r="L30" s="73">
        <v>0</v>
      </c>
      <c r="M30" s="77">
        <v>0</v>
      </c>
      <c r="N30" s="74">
        <f t="shared" si="0"/>
        <v>3.9368780047241905</v>
      </c>
      <c r="O30" s="74">
        <v>0</v>
      </c>
      <c r="P30" s="74">
        <v>0</v>
      </c>
      <c r="Q30" s="74">
        <v>0</v>
      </c>
    </row>
    <row r="31" spans="1:17" x14ac:dyDescent="0.2">
      <c r="A31" s="77">
        <v>79</v>
      </c>
      <c r="B31" s="73">
        <v>71.97</v>
      </c>
      <c r="C31" s="73">
        <v>0</v>
      </c>
      <c r="D31" s="73">
        <v>0</v>
      </c>
      <c r="E31" s="77">
        <v>0</v>
      </c>
      <c r="F31" s="73">
        <v>71.97</v>
      </c>
      <c r="G31" s="73">
        <v>0</v>
      </c>
      <c r="H31" s="73">
        <v>0</v>
      </c>
      <c r="I31" s="77">
        <v>0</v>
      </c>
      <c r="J31" s="73">
        <v>283.33711</v>
      </c>
      <c r="K31" s="73">
        <v>0</v>
      </c>
      <c r="L31" s="73">
        <v>0</v>
      </c>
      <c r="M31" s="77">
        <v>0</v>
      </c>
      <c r="N31" s="74">
        <f t="shared" si="0"/>
        <v>3.9368780047241905</v>
      </c>
      <c r="O31" s="74">
        <v>0</v>
      </c>
      <c r="P31" s="74">
        <v>0</v>
      </c>
      <c r="Q31" s="74">
        <v>0</v>
      </c>
    </row>
    <row r="32" spans="1:17" x14ac:dyDescent="0.2">
      <c r="A32" s="78"/>
      <c r="B32" s="75"/>
      <c r="C32" s="75"/>
      <c r="D32" s="75"/>
      <c r="E32" s="71"/>
      <c r="F32" s="76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</row>
    <row r="33" spans="2:21" x14ac:dyDescent="0.2">
      <c r="B33" s="5"/>
      <c r="C33" s="5"/>
      <c r="D33" s="5"/>
      <c r="E33" s="5"/>
      <c r="F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E35" s="5"/>
      <c r="F35" s="5"/>
    </row>
    <row r="36" spans="2:21" x14ac:dyDescent="0.2">
      <c r="B36" s="5"/>
      <c r="C36" s="5"/>
      <c r="D36" s="5"/>
      <c r="E36" s="5"/>
      <c r="F36" s="5"/>
    </row>
    <row r="37" spans="2:21" x14ac:dyDescent="0.2">
      <c r="B37" s="5"/>
      <c r="C37" s="5"/>
      <c r="D37" s="5"/>
      <c r="E37" s="5"/>
      <c r="F37" s="5"/>
    </row>
    <row r="38" spans="2:21" x14ac:dyDescent="0.2">
      <c r="B38" s="5"/>
      <c r="C38" s="5"/>
      <c r="D38" s="5"/>
      <c r="E38" s="5"/>
      <c r="F38" s="5"/>
    </row>
    <row r="39" spans="2:21" x14ac:dyDescent="0.2">
      <c r="B39" s="5"/>
      <c r="C39" s="5"/>
      <c r="D39" s="5"/>
      <c r="E39" s="5"/>
      <c r="F39" s="5"/>
    </row>
    <row r="40" spans="2:21" x14ac:dyDescent="0.2">
      <c r="B40" s="5"/>
      <c r="C40" s="5"/>
      <c r="D40" s="5"/>
      <c r="E40" s="5"/>
      <c r="F40" s="5"/>
    </row>
    <row r="41" spans="2:21" x14ac:dyDescent="0.2">
      <c r="B41" s="5"/>
      <c r="C41" s="5"/>
      <c r="D41" s="5"/>
      <c r="E41" s="5"/>
      <c r="F41" s="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</row>
    <row r="42" spans="2:21" x14ac:dyDescent="0.2">
      <c r="B42" s="5"/>
      <c r="C42" s="5"/>
      <c r="D42" s="5"/>
      <c r="E42" s="5"/>
      <c r="F42" s="5"/>
      <c r="I42" s="63" t="s">
        <v>91</v>
      </c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</row>
    <row r="43" spans="2:21" x14ac:dyDescent="0.2">
      <c r="B43" s="5"/>
      <c r="C43" s="5"/>
      <c r="D43" s="5"/>
      <c r="E43" s="5"/>
      <c r="F43" s="5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</row>
    <row r="44" spans="2:21" x14ac:dyDescent="0.2">
      <c r="B44" s="5"/>
      <c r="C44" s="5"/>
      <c r="D44" s="5"/>
      <c r="E44" s="5"/>
      <c r="F44" s="5"/>
      <c r="I44" s="64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x14ac:dyDescent="0.2">
      <c r="B45" s="5"/>
      <c r="C45" s="5"/>
      <c r="D45" s="5"/>
      <c r="E45" s="5"/>
      <c r="F45" s="5"/>
      <c r="I45" s="64">
        <v>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x14ac:dyDescent="0.2">
      <c r="B46" s="5"/>
      <c r="C46" s="5"/>
      <c r="D46" s="5"/>
      <c r="E46" s="5"/>
      <c r="F46" s="5"/>
      <c r="I46" s="64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x14ac:dyDescent="0.2">
      <c r="B47" s="5"/>
      <c r="C47" s="5"/>
      <c r="D47" s="5"/>
      <c r="E47" s="5"/>
      <c r="F47" s="5"/>
      <c r="I47" s="64">
        <v>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 x14ac:dyDescent="0.2">
      <c r="B48" s="5"/>
      <c r="C48" s="5"/>
      <c r="D48" s="5"/>
      <c r="E48" s="5"/>
      <c r="F48" s="5"/>
      <c r="I48" s="64">
        <v>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x14ac:dyDescent="0.2">
      <c r="B49" s="5"/>
      <c r="C49" s="5"/>
      <c r="D49" s="5"/>
      <c r="E49" s="5"/>
      <c r="F49" s="5"/>
      <c r="I49" s="64">
        <v>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2">
      <c r="B50" s="5"/>
      <c r="C50" s="5"/>
      <c r="D50" s="5"/>
      <c r="E50" s="5"/>
      <c r="F50" s="5"/>
      <c r="I50" s="64">
        <v>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2">
      <c r="B51" s="5"/>
      <c r="C51" s="5"/>
      <c r="D51" s="5"/>
      <c r="E51" s="5"/>
      <c r="F51" s="5"/>
      <c r="I51" s="64">
        <v>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2">
      <c r="C52" s="4"/>
      <c r="I52" s="64">
        <v>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C53" s="4"/>
      <c r="I53" s="64">
        <v>10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C54" s="4"/>
      <c r="I54" s="64">
        <v>11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C55" s="4"/>
      <c r="I55" s="64">
        <v>12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C56" s="4"/>
      <c r="I56" s="64">
        <v>13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C57" s="4"/>
      <c r="I57" s="64">
        <v>14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C58" s="4"/>
      <c r="I58" s="64">
        <v>15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C59" s="4"/>
      <c r="I59" s="64">
        <v>16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C60" s="4"/>
      <c r="I60" s="64">
        <v>17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C61" s="4"/>
      <c r="I61" s="64">
        <v>18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C62" s="4"/>
      <c r="I62" s="64">
        <v>19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I63" s="64">
        <v>20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I64" s="64">
        <v>21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9:21" x14ac:dyDescent="0.2">
      <c r="I65" s="64">
        <v>22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9:21" x14ac:dyDescent="0.2">
      <c r="I66" s="64">
        <v>23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9:21" x14ac:dyDescent="0.2">
      <c r="I67" s="64">
        <v>24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9:21" x14ac:dyDescent="0.2">
      <c r="I68" s="64">
        <v>25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9:21" x14ac:dyDescent="0.2">
      <c r="I69" s="64">
        <v>26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9:21" x14ac:dyDescent="0.2">
      <c r="I70" s="64">
        <v>27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9:21" x14ac:dyDescent="0.2">
      <c r="I71" s="64">
        <v>28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9:21" x14ac:dyDescent="0.2">
      <c r="I72" s="64">
        <v>29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9:21" x14ac:dyDescent="0.2">
      <c r="I73" s="64">
        <v>30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9:21" x14ac:dyDescent="0.2">
      <c r="I74" s="64">
        <v>23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9:21" x14ac:dyDescent="0.2">
      <c r="I75" s="64">
        <v>24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9:21" x14ac:dyDescent="0.2">
      <c r="I76" s="64">
        <v>25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9:21" x14ac:dyDescent="0.2">
      <c r="I77" s="64">
        <v>26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9:21" x14ac:dyDescent="0.2">
      <c r="I78" s="64">
        <v>27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9:21" x14ac:dyDescent="0.2">
      <c r="I79" s="64">
        <v>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9:21" x14ac:dyDescent="0.2">
      <c r="I80" s="64">
        <v>29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9:21" x14ac:dyDescent="0.2">
      <c r="I81" s="64">
        <v>30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</sheetData>
  <mergeCells count="11">
    <mergeCell ref="O41:O42"/>
    <mergeCell ref="J41:J42"/>
    <mergeCell ref="K41:K42"/>
    <mergeCell ref="L41:L42"/>
    <mergeCell ref="M41:M42"/>
    <mergeCell ref="N41:N42"/>
    <mergeCell ref="P41:P42"/>
    <mergeCell ref="Q41:Q42"/>
    <mergeCell ref="R41:R42"/>
    <mergeCell ref="S41:S42"/>
    <mergeCell ref="T41:T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S69"/>
  <sheetViews>
    <sheetView workbookViewId="0">
      <selection activeCell="F21" sqref="F21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25.314309999999999</v>
      </c>
      <c r="H2" s="5">
        <v>9.6107750000000003</v>
      </c>
      <c r="I2" s="70">
        <v>23.100850000000001</v>
      </c>
      <c r="J2" s="5">
        <v>0</v>
      </c>
      <c r="K2" s="5">
        <v>59.523919999999997</v>
      </c>
      <c r="L2" s="5">
        <v>16.627600000000001</v>
      </c>
      <c r="M2" s="70">
        <v>17.845009999999998</v>
      </c>
      <c r="N2" s="5">
        <v>0</v>
      </c>
      <c r="O2" s="5">
        <f>K2/G2</f>
        <v>2.3513941324096925</v>
      </c>
      <c r="P2" s="5">
        <f>L2/H2</f>
        <v>1.7300998098488416</v>
      </c>
      <c r="Q2" s="5">
        <f>M2/I2</f>
        <v>0.77248283071835011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25.295179999999998</v>
      </c>
      <c r="H3" s="5">
        <v>9.6058839999999996</v>
      </c>
      <c r="I3" s="70">
        <v>23.098759999999999</v>
      </c>
      <c r="J3" s="5">
        <v>0</v>
      </c>
      <c r="K3" s="5">
        <v>59.469929999999998</v>
      </c>
      <c r="L3" s="5">
        <v>16.618040000000001</v>
      </c>
      <c r="M3" s="70">
        <v>17.843450000000001</v>
      </c>
      <c r="N3" s="5">
        <v>0</v>
      </c>
      <c r="O3" s="5">
        <f t="shared" ref="O3:O31" si="0">K3/G3</f>
        <v>2.3510380238448589</v>
      </c>
      <c r="P3" s="5">
        <f t="shared" ref="P3:P31" si="1">L3/H3</f>
        <v>1.7299854963895047</v>
      </c>
      <c r="Q3" s="5">
        <f t="shared" ref="Q3:Q31" si="2">M3/I3</f>
        <v>0.77248518968117774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25.275950000000002</v>
      </c>
      <c r="H4" s="5">
        <v>9.6011030000000002</v>
      </c>
      <c r="I4" s="70">
        <v>23.09666</v>
      </c>
      <c r="J4" s="5">
        <v>0</v>
      </c>
      <c r="K4" s="5">
        <v>59.41478</v>
      </c>
      <c r="L4" s="5">
        <v>16.60867</v>
      </c>
      <c r="M4" s="70">
        <v>17.841889999999999</v>
      </c>
      <c r="N4" s="5">
        <v>0</v>
      </c>
      <c r="O4" s="5">
        <f t="shared" si="0"/>
        <v>2.3506447828864987</v>
      </c>
      <c r="P4" s="5">
        <f t="shared" si="1"/>
        <v>1.7298710366923467</v>
      </c>
      <c r="Q4" s="5">
        <f t="shared" si="2"/>
        <v>0.77248788352947995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25.25611</v>
      </c>
      <c r="H5" s="5">
        <v>9.596641</v>
      </c>
      <c r="I5" s="70">
        <v>23.095079999999999</v>
      </c>
      <c r="J5" s="5">
        <v>0</v>
      </c>
      <c r="K5" s="5">
        <v>59.356610000000003</v>
      </c>
      <c r="L5" s="5">
        <v>16.599499999999999</v>
      </c>
      <c r="M5" s="70">
        <v>17.840710000000001</v>
      </c>
      <c r="N5" s="5">
        <v>0</v>
      </c>
      <c r="O5" s="5">
        <f t="shared" si="0"/>
        <v>2.3501881326934355</v>
      </c>
      <c r="P5" s="5">
        <f>L5/H5</f>
        <v>1.729719805085967</v>
      </c>
      <c r="Q5" s="5">
        <f t="shared" si="2"/>
        <v>0.77248963848577279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25.23057</v>
      </c>
      <c r="H6" s="5">
        <v>9.5901549999999993</v>
      </c>
      <c r="I6" s="70">
        <v>23.092279999999999</v>
      </c>
      <c r="J6" s="5">
        <v>0</v>
      </c>
      <c r="K6" s="5">
        <v>59.284039999999997</v>
      </c>
      <c r="L6" s="5">
        <v>16.586839999999999</v>
      </c>
      <c r="M6" s="70">
        <v>17.838629999999998</v>
      </c>
      <c r="N6" s="5">
        <v>0</v>
      </c>
      <c r="O6" s="5">
        <f t="shared" si="0"/>
        <v>2.3496908710346216</v>
      </c>
      <c r="P6" s="5">
        <f t="shared" si="1"/>
        <v>1.7295695429323092</v>
      </c>
      <c r="Q6" s="5">
        <f t="shared" si="2"/>
        <v>0.77249323150420834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50.563220000000001</v>
      </c>
      <c r="H7" s="5">
        <v>19.394921</v>
      </c>
      <c r="I7" s="70">
        <v>46.795720000000003</v>
      </c>
      <c r="J7" s="5">
        <v>0</v>
      </c>
      <c r="K7" s="5">
        <v>101.79853</v>
      </c>
      <c r="L7" s="5">
        <v>27.702529999999999</v>
      </c>
      <c r="M7" s="70">
        <v>24.070509999999999</v>
      </c>
      <c r="N7" s="5">
        <v>0</v>
      </c>
      <c r="O7" s="5">
        <f t="shared" si="0"/>
        <v>2.0132920727754282</v>
      </c>
      <c r="P7" s="5">
        <f t="shared" si="1"/>
        <v>1.4283394090648784</v>
      </c>
      <c r="Q7" s="5">
        <f t="shared" si="2"/>
        <v>0.51437417780942352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50.508110000000002</v>
      </c>
      <c r="H8" s="5">
        <v>19.382570000000001</v>
      </c>
      <c r="I8" s="70">
        <v>46.791130000000003</v>
      </c>
      <c r="J8" s="5">
        <v>0</v>
      </c>
      <c r="K8" s="5">
        <v>101.65279</v>
      </c>
      <c r="L8" s="5">
        <v>27.68083</v>
      </c>
      <c r="M8" s="70">
        <v>24.068239999999999</v>
      </c>
      <c r="N8" s="5">
        <v>0</v>
      </c>
      <c r="O8" s="5">
        <f t="shared" si="0"/>
        <v>2.0126033225159286</v>
      </c>
      <c r="P8" s="5">
        <f t="shared" si="1"/>
        <v>1.4281300157822208</v>
      </c>
      <c r="Q8" s="5">
        <f t="shared" si="2"/>
        <v>0.51437612214109807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50.437379999999997</v>
      </c>
      <c r="H9" s="5">
        <v>19.365479000000001</v>
      </c>
      <c r="I9" s="70">
        <v>46.78454</v>
      </c>
      <c r="J9" s="5">
        <v>0</v>
      </c>
      <c r="K9" s="5">
        <v>101.47244000000001</v>
      </c>
      <c r="L9" s="5">
        <v>27.651509999999998</v>
      </c>
      <c r="M9" s="70">
        <v>24.064979999999998</v>
      </c>
      <c r="N9" s="5">
        <v>0</v>
      </c>
      <c r="O9" s="5">
        <f t="shared" si="0"/>
        <v>2.0118499414521533</v>
      </c>
      <c r="P9" s="5">
        <f t="shared" si="1"/>
        <v>1.4278763773413505</v>
      </c>
      <c r="Q9" s="5">
        <f t="shared" si="2"/>
        <v>0.51437889525043956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50.353560000000002</v>
      </c>
      <c r="H10" s="5">
        <v>19.343539</v>
      </c>
      <c r="I10" s="70">
        <v>46.775469999999999</v>
      </c>
      <c r="J10" s="5">
        <v>0</v>
      </c>
      <c r="K10" s="5">
        <v>101.26528999999999</v>
      </c>
      <c r="L10" s="5">
        <v>27.61505</v>
      </c>
      <c r="M10" s="70">
        <v>24.060490000000001</v>
      </c>
      <c r="N10" s="5">
        <v>0</v>
      </c>
      <c r="O10" s="5">
        <f t="shared" si="0"/>
        <v>2.0110850156374243</v>
      </c>
      <c r="P10" s="5">
        <f t="shared" si="1"/>
        <v>1.4276110488365132</v>
      </c>
      <c r="Q10" s="5">
        <f t="shared" si="2"/>
        <v>0.51438264543360013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50.266359999999999</v>
      </c>
      <c r="H11" s="5">
        <v>19.319793000000001</v>
      </c>
      <c r="I11" s="70">
        <v>46.764629999999997</v>
      </c>
      <c r="J11" s="5">
        <v>0</v>
      </c>
      <c r="K11" s="5">
        <v>101.05121</v>
      </c>
      <c r="L11" s="5">
        <v>27.576609999999999</v>
      </c>
      <c r="M11" s="70">
        <v>24.055119999999999</v>
      </c>
      <c r="N11" s="5">
        <v>0</v>
      </c>
      <c r="O11" s="5">
        <f t="shared" si="0"/>
        <v>2.0103148507272062</v>
      </c>
      <c r="P11" s="5">
        <f t="shared" si="1"/>
        <v>1.4273760593604703</v>
      </c>
      <c r="Q11" s="5">
        <f t="shared" si="2"/>
        <v>0.51438704850225481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90.528189999999995</v>
      </c>
      <c r="H12" s="5">
        <v>35.292090999999999</v>
      </c>
      <c r="I12" s="70">
        <v>85.696520000000007</v>
      </c>
      <c r="J12" s="5">
        <v>0</v>
      </c>
      <c r="K12" s="5">
        <v>172.34155000000001</v>
      </c>
      <c r="L12" s="5">
        <v>48.101550000000003</v>
      </c>
      <c r="M12" s="70">
        <v>40.522730000000003</v>
      </c>
      <c r="N12" s="5">
        <v>0</v>
      </c>
      <c r="O12" s="5">
        <f t="shared" si="0"/>
        <v>1.9037335221216731</v>
      </c>
      <c r="P12" s="5">
        <f t="shared" si="1"/>
        <v>1.3629555131771594</v>
      </c>
      <c r="Q12" s="5">
        <f t="shared" si="2"/>
        <v>0.47286319211095151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90.371279999999999</v>
      </c>
      <c r="H13" s="5">
        <v>35.251407999999998</v>
      </c>
      <c r="I13" s="70">
        <v>85.6798</v>
      </c>
      <c r="J13" s="5">
        <v>0</v>
      </c>
      <c r="K13" s="5">
        <v>171.96861000000001</v>
      </c>
      <c r="L13" s="5">
        <v>48.036270000000002</v>
      </c>
      <c r="M13" s="70">
        <v>40.515120000000003</v>
      </c>
      <c r="N13" s="5">
        <v>0</v>
      </c>
      <c r="O13" s="5">
        <f t="shared" si="0"/>
        <v>1.902912186260945</v>
      </c>
      <c r="P13" s="5">
        <f t="shared" si="1"/>
        <v>1.3626766340794105</v>
      </c>
      <c r="Q13" s="5">
        <f t="shared" si="2"/>
        <v>0.47286665001552297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90.197059999999993</v>
      </c>
      <c r="H14" s="5">
        <v>35.205151999999998</v>
      </c>
      <c r="I14" s="70">
        <v>85.660200000000003</v>
      </c>
      <c r="J14" s="5">
        <v>0</v>
      </c>
      <c r="K14" s="5">
        <v>171.55804000000001</v>
      </c>
      <c r="L14" s="5">
        <v>47.962859999999999</v>
      </c>
      <c r="M14" s="70">
        <v>40.5062</v>
      </c>
      <c r="N14" s="5">
        <v>0</v>
      </c>
      <c r="O14" s="5">
        <f t="shared" si="0"/>
        <v>1.9020358313231054</v>
      </c>
      <c r="P14" s="5">
        <f t="shared" si="1"/>
        <v>1.3623818468387809</v>
      </c>
      <c r="Q14" s="5">
        <f t="shared" si="2"/>
        <v>0.47287071475434328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90.013099999999994</v>
      </c>
      <c r="H15" s="5">
        <v>35.156374999999997</v>
      </c>
      <c r="I15" s="70">
        <v>85.639510000000001</v>
      </c>
      <c r="J15" s="5">
        <v>0</v>
      </c>
      <c r="K15" s="5">
        <v>171.12343000000001</v>
      </c>
      <c r="L15" s="5">
        <v>47.885509999999996</v>
      </c>
      <c r="M15" s="70">
        <v>40.496780000000001</v>
      </c>
      <c r="N15" s="5">
        <v>0</v>
      </c>
      <c r="O15" s="5">
        <f t="shared" si="0"/>
        <v>1.9010947295449221</v>
      </c>
      <c r="P15" s="5">
        <f t="shared" si="1"/>
        <v>1.3620718859666276</v>
      </c>
      <c r="Q15" s="5">
        <f t="shared" si="2"/>
        <v>0.47287496156855641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89.8185</v>
      </c>
      <c r="H16" s="5">
        <v>35.105311999999998</v>
      </c>
      <c r="I16" s="70">
        <v>85.617379999999997</v>
      </c>
      <c r="J16" s="5">
        <v>0</v>
      </c>
      <c r="K16" s="5">
        <v>170.66068999999999</v>
      </c>
      <c r="L16" s="5">
        <v>47.804540000000003</v>
      </c>
      <c r="M16" s="70">
        <v>40.486699999999999</v>
      </c>
      <c r="N16" s="5">
        <v>0</v>
      </c>
      <c r="O16" s="5">
        <f t="shared" si="0"/>
        <v>1.9000616799434413</v>
      </c>
      <c r="P16" s="5">
        <f t="shared" si="1"/>
        <v>1.3617466211381344</v>
      </c>
      <c r="Q16" s="5">
        <f t="shared" si="2"/>
        <v>0.47287945508260121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136.07526999999999</v>
      </c>
      <c r="H17" s="5">
        <v>53.572755999999998</v>
      </c>
      <c r="I17" s="70">
        <v>130.99242000000001</v>
      </c>
      <c r="J17" s="5">
        <v>0</v>
      </c>
      <c r="K17" s="5">
        <v>242.98282</v>
      </c>
      <c r="L17" s="5">
        <v>67.985510000000005</v>
      </c>
      <c r="M17" s="70">
        <v>52.061819999999997</v>
      </c>
      <c r="N17" s="5">
        <v>0</v>
      </c>
      <c r="O17" s="5">
        <f t="shared" si="0"/>
        <v>1.7856501037991697</v>
      </c>
      <c r="P17" s="5">
        <f t="shared" si="1"/>
        <v>1.2690314084270746</v>
      </c>
      <c r="Q17" s="5">
        <f t="shared" si="2"/>
        <v>0.39744147027744042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135.70787999999999</v>
      </c>
      <c r="H18" s="5">
        <v>53.473115999999997</v>
      </c>
      <c r="I18" s="70">
        <v>130.95032</v>
      </c>
      <c r="J18" s="5">
        <v>0</v>
      </c>
      <c r="K18" s="5">
        <v>242.16736</v>
      </c>
      <c r="L18" s="5">
        <v>67.836920000000006</v>
      </c>
      <c r="M18" s="70">
        <v>52.04571</v>
      </c>
      <c r="N18" s="5">
        <v>0</v>
      </c>
      <c r="O18" s="5">
        <f t="shared" si="0"/>
        <v>1.784475300918414</v>
      </c>
      <c r="P18" s="5">
        <f t="shared" si="1"/>
        <v>1.268617299205081</v>
      </c>
      <c r="Q18" s="5">
        <f t="shared" si="2"/>
        <v>0.39744622235363758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135.31729000000001</v>
      </c>
      <c r="H19" s="5">
        <v>53.365442999999999</v>
      </c>
      <c r="I19" s="70">
        <v>130.90436</v>
      </c>
      <c r="J19" s="5">
        <v>0</v>
      </c>
      <c r="K19" s="5">
        <v>241.30184</v>
      </c>
      <c r="L19" s="5">
        <v>67.677689999999998</v>
      </c>
      <c r="M19" s="70">
        <v>52.028129999999997</v>
      </c>
      <c r="N19" s="5">
        <v>0</v>
      </c>
      <c r="O19" s="5">
        <f t="shared" si="0"/>
        <v>1.7832299183644602</v>
      </c>
      <c r="P19" s="5">
        <f t="shared" si="1"/>
        <v>1.268193163879479</v>
      </c>
      <c r="Q19" s="5">
        <f t="shared" si="2"/>
        <v>0.39745146762109373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134.91285999999999</v>
      </c>
      <c r="H20" s="5">
        <v>53.253523999999999</v>
      </c>
      <c r="I20" s="70">
        <v>130.85317000000001</v>
      </c>
      <c r="J20" s="5">
        <v>0</v>
      </c>
      <c r="K20" s="5">
        <v>240.39177000000001</v>
      </c>
      <c r="L20" s="5">
        <v>67.514780000000002</v>
      </c>
      <c r="M20" s="70">
        <v>52.008499999999998</v>
      </c>
      <c r="N20" s="5">
        <v>0</v>
      </c>
      <c r="O20" s="5">
        <f t="shared" si="0"/>
        <v>1.7818299159917002</v>
      </c>
      <c r="P20" s="5">
        <f t="shared" si="1"/>
        <v>1.267799291554865</v>
      </c>
      <c r="Q20" s="5">
        <f t="shared" si="2"/>
        <v>0.39745693589234404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134.51396</v>
      </c>
      <c r="H21" s="5">
        <v>53.157479000000002</v>
      </c>
      <c r="I21" s="70">
        <v>130.81372999999999</v>
      </c>
      <c r="J21" s="5">
        <v>0</v>
      </c>
      <c r="K21" s="5">
        <v>239.43520000000001</v>
      </c>
      <c r="L21" s="5">
        <v>67.366870000000006</v>
      </c>
      <c r="M21" s="70">
        <v>51.993409999999997</v>
      </c>
      <c r="N21" s="5">
        <v>0</v>
      </c>
      <c r="O21" s="5">
        <f t="shared" si="0"/>
        <v>1.7800026108814284</v>
      </c>
      <c r="P21" s="5">
        <f t="shared" si="1"/>
        <v>1.2673074658036361</v>
      </c>
      <c r="Q21" s="5">
        <f t="shared" si="2"/>
        <v>0.39746141326296558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184.61197000000001</v>
      </c>
      <c r="H22" s="5">
        <v>73.600941000000006</v>
      </c>
      <c r="I22" s="70">
        <v>181.72193999999999</v>
      </c>
      <c r="J22" s="5">
        <v>0</v>
      </c>
      <c r="K22" s="5">
        <v>319.40638000000001</v>
      </c>
      <c r="L22" s="5">
        <v>90.970269999999999</v>
      </c>
      <c r="M22" s="70">
        <v>66.829620000000006</v>
      </c>
      <c r="N22" s="5">
        <v>0</v>
      </c>
      <c r="O22" s="5">
        <f t="shared" si="0"/>
        <v>1.730149892230715</v>
      </c>
      <c r="P22" s="5">
        <f t="shared" si="1"/>
        <v>1.2359933006834789</v>
      </c>
      <c r="Q22" s="5">
        <f t="shared" si="2"/>
        <v>0.36775757511723683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183.70291</v>
      </c>
      <c r="H23" s="5">
        <v>73.377554000000003</v>
      </c>
      <c r="I23" s="70">
        <v>181.6353</v>
      </c>
      <c r="J23" s="5">
        <v>0</v>
      </c>
      <c r="K23" s="5">
        <v>317.34564</v>
      </c>
      <c r="L23" s="5">
        <v>90.628429999999994</v>
      </c>
      <c r="M23" s="70">
        <v>66.798990000000003</v>
      </c>
      <c r="N23" s="5">
        <v>0</v>
      </c>
      <c r="O23" s="5">
        <f t="shared" si="0"/>
        <v>1.7274938105226532</v>
      </c>
      <c r="P23" s="5">
        <f t="shared" si="1"/>
        <v>1.2350974522808431</v>
      </c>
      <c r="Q23" s="5">
        <f t="shared" si="2"/>
        <v>0.36776436078229291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182.52440000000001</v>
      </c>
      <c r="H24" s="5">
        <v>73.071155000000005</v>
      </c>
      <c r="I24" s="70">
        <v>181.52260000000001</v>
      </c>
      <c r="J24" s="5">
        <v>0</v>
      </c>
      <c r="K24" s="5">
        <v>314.76846999999998</v>
      </c>
      <c r="L24" s="5">
        <v>90.163979999999995</v>
      </c>
      <c r="M24" s="70">
        <v>66.759259999999998</v>
      </c>
      <c r="N24" s="5">
        <v>0</v>
      </c>
      <c r="O24" s="5">
        <f t="shared" si="0"/>
        <v>1.7245281726717083</v>
      </c>
      <c r="P24" s="5">
        <f t="shared" si="1"/>
        <v>1.2339202794864812</v>
      </c>
      <c r="Q24" s="5">
        <f t="shared" si="2"/>
        <v>0.36777381989900976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181.04384999999999</v>
      </c>
      <c r="H25" s="5">
        <v>72.627560000000003</v>
      </c>
      <c r="I25" s="70">
        <v>181.31468000000001</v>
      </c>
      <c r="J25" s="5">
        <v>0</v>
      </c>
      <c r="K25" s="5">
        <v>311.68686000000002</v>
      </c>
      <c r="L25" s="5">
        <v>89.544780000000003</v>
      </c>
      <c r="M25" s="70">
        <v>66.685500000000005</v>
      </c>
      <c r="N25" s="5">
        <v>0</v>
      </c>
      <c r="O25" s="5">
        <f t="shared" si="0"/>
        <v>1.721609764706175</v>
      </c>
      <c r="P25" s="5">
        <f t="shared" si="1"/>
        <v>1.2329311352329611</v>
      </c>
      <c r="Q25" s="5">
        <f t="shared" si="2"/>
        <v>0.36778875268125011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179.74832000000001</v>
      </c>
      <c r="H26" s="5">
        <v>72.273774000000003</v>
      </c>
      <c r="I26" s="70">
        <v>181.15527</v>
      </c>
      <c r="J26" s="5">
        <v>0</v>
      </c>
      <c r="K26" s="5">
        <v>308.85300000000001</v>
      </c>
      <c r="L26" s="5">
        <v>89.033969999999997</v>
      </c>
      <c r="M26" s="70">
        <v>66.628960000000006</v>
      </c>
      <c r="N26" s="5">
        <v>0</v>
      </c>
      <c r="O26" s="5">
        <f t="shared" si="0"/>
        <v>1.7182524988272492</v>
      </c>
      <c r="P26" s="5">
        <f t="shared" si="1"/>
        <v>1.2318987244252666</v>
      </c>
      <c r="Q26" s="5">
        <f t="shared" si="2"/>
        <v>0.36780028535741743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216.41406000000001</v>
      </c>
      <c r="H27" s="5">
        <v>88.102271000000002</v>
      </c>
      <c r="I27" s="70">
        <v>222.0934</v>
      </c>
      <c r="J27" s="5">
        <v>0</v>
      </c>
      <c r="K27" s="5">
        <v>343.53062</v>
      </c>
      <c r="L27" s="5">
        <v>100.34059000000001</v>
      </c>
      <c r="M27" s="70">
        <v>69.427239999999998</v>
      </c>
      <c r="N27" s="5">
        <v>0</v>
      </c>
      <c r="O27" s="5">
        <f t="shared" si="0"/>
        <v>1.5873766242359668</v>
      </c>
      <c r="P27" s="5">
        <f t="shared" si="1"/>
        <v>1.1389103692911617</v>
      </c>
      <c r="Q27" s="5">
        <f t="shared" si="2"/>
        <v>0.31260379642078512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214.20131000000001</v>
      </c>
      <c r="H28" s="5">
        <v>87.470037000000005</v>
      </c>
      <c r="I28" s="70">
        <v>221.82894999999999</v>
      </c>
      <c r="J28" s="5">
        <v>0</v>
      </c>
      <c r="K28" s="5">
        <v>339.18353000000002</v>
      </c>
      <c r="L28" s="5">
        <v>99.483339999999998</v>
      </c>
      <c r="M28" s="70">
        <v>69.347710000000006</v>
      </c>
      <c r="N28" s="5">
        <v>0</v>
      </c>
      <c r="O28" s="5">
        <f t="shared" si="0"/>
        <v>1.5834801850651614</v>
      </c>
      <c r="P28" s="5">
        <f t="shared" si="1"/>
        <v>1.1373419220115339</v>
      </c>
      <c r="Q28" s="5">
        <f t="shared" si="2"/>
        <v>0.31261794278880195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211.76170999999999</v>
      </c>
      <c r="H29" s="5">
        <v>86.732299999999995</v>
      </c>
      <c r="I29" s="70">
        <v>221.49467999999999</v>
      </c>
      <c r="J29" s="5">
        <v>0</v>
      </c>
      <c r="K29" s="5">
        <v>334.49074000000002</v>
      </c>
      <c r="L29" s="5">
        <v>98.515230000000003</v>
      </c>
      <c r="M29" s="70">
        <v>69.246989999999997</v>
      </c>
      <c r="N29" s="5">
        <v>0</v>
      </c>
      <c r="O29" s="5">
        <f t="shared" si="0"/>
        <v>1.5795619519695039</v>
      </c>
      <c r="P29" s="5">
        <f t="shared" si="1"/>
        <v>1.1358540013351428</v>
      </c>
      <c r="Q29" s="5">
        <f t="shared" si="2"/>
        <v>0.31263500324251581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209.42141000000001</v>
      </c>
      <c r="H30" s="5">
        <v>86.038638000000006</v>
      </c>
      <c r="I30" s="70">
        <v>221.17399</v>
      </c>
      <c r="J30" s="5">
        <v>0</v>
      </c>
      <c r="K30" s="5">
        <v>329.89839999999998</v>
      </c>
      <c r="L30" s="5">
        <v>97.604349999999997</v>
      </c>
      <c r="M30" s="70">
        <v>69.150300000000001</v>
      </c>
      <c r="N30" s="5">
        <v>0</v>
      </c>
      <c r="O30" s="5">
        <f t="shared" si="0"/>
        <v>1.5752849720570594</v>
      </c>
      <c r="P30" s="5">
        <f t="shared" si="1"/>
        <v>1.1344246290835054</v>
      </c>
      <c r="Q30" s="5">
        <f t="shared" si="2"/>
        <v>0.31265113949429585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207.09678</v>
      </c>
      <c r="H31" s="5">
        <v>85.409533999999994</v>
      </c>
      <c r="I31" s="70">
        <v>220.90970999999999</v>
      </c>
      <c r="J31" s="5">
        <v>0</v>
      </c>
      <c r="K31" s="5">
        <v>325.15179000000001</v>
      </c>
      <c r="L31" s="5">
        <v>96.739320000000006</v>
      </c>
      <c r="M31" s="70">
        <v>69.070769999999996</v>
      </c>
      <c r="N31" s="5">
        <v>0</v>
      </c>
      <c r="O31" s="5">
        <f t="shared" si="0"/>
        <v>1.5700475400921252</v>
      </c>
      <c r="P31" s="5">
        <f t="shared" si="1"/>
        <v>1.132652474137138</v>
      </c>
      <c r="Q31" s="5">
        <f t="shared" si="2"/>
        <v>0.31266516080257406</v>
      </c>
    </row>
    <row r="32" spans="1:17" x14ac:dyDescent="0.2">
      <c r="A32" s="2"/>
      <c r="B32" s="6"/>
      <c r="C32" s="6"/>
      <c r="D32" s="6"/>
      <c r="E32" s="11"/>
      <c r="F32" s="8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</row>
    <row r="37" spans="2:19" x14ac:dyDescent="0.2">
      <c r="B37" s="5"/>
      <c r="C37" s="5"/>
      <c r="D37" s="5"/>
      <c r="F37" s="95" t="s">
        <v>92</v>
      </c>
      <c r="G37" s="95" t="s">
        <v>93</v>
      </c>
      <c r="H37" s="95" t="s">
        <v>94</v>
      </c>
      <c r="I37" s="95" t="s">
        <v>91</v>
      </c>
      <c r="J37" s="95" t="s">
        <v>92</v>
      </c>
      <c r="K37" s="95" t="s">
        <v>93</v>
      </c>
      <c r="L37" s="95" t="s">
        <v>94</v>
      </c>
      <c r="M37" s="95" t="s">
        <v>91</v>
      </c>
      <c r="N37" s="95" t="s">
        <v>92</v>
      </c>
      <c r="O37" s="95" t="s">
        <v>93</v>
      </c>
      <c r="P37" s="95" t="s">
        <v>94</v>
      </c>
      <c r="R37" s="63"/>
      <c r="S37" s="63"/>
    </row>
    <row r="38" spans="2:19" x14ac:dyDescent="0.2">
      <c r="B38" s="5"/>
      <c r="C38" s="5"/>
      <c r="D38" s="5"/>
      <c r="E38" s="63" t="s">
        <v>91</v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R38" s="1"/>
      <c r="S38" s="1"/>
    </row>
    <row r="39" spans="2:19" x14ac:dyDescent="0.2">
      <c r="B39" s="5"/>
      <c r="C39" s="5"/>
      <c r="D39" s="5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1"/>
      <c r="S39" s="1"/>
    </row>
    <row r="40" spans="2:19" x14ac:dyDescent="0.2">
      <c r="B40" s="5"/>
      <c r="C40" s="5"/>
      <c r="D40" s="5"/>
      <c r="E40" s="6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6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6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6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6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6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6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6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6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6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6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6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E52" s="6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E53" s="6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E54" s="6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E55" s="6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E56" s="6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E57" s="6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E58" s="6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E59" s="6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E60" s="6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E61" s="6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E62" s="6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E63" s="6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E64" s="6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5:19" x14ac:dyDescent="0.2">
      <c r="E65" s="6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5:19" x14ac:dyDescent="0.2">
      <c r="E66" s="6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5:19" x14ac:dyDescent="0.2">
      <c r="E67" s="6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5:19" x14ac:dyDescent="0.2">
      <c r="E68" s="6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5:19" x14ac:dyDescent="0.2">
      <c r="E69" s="6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</sheetData>
  <mergeCells count="11">
    <mergeCell ref="K37:K38"/>
    <mergeCell ref="F37:F38"/>
    <mergeCell ref="G37:G38"/>
    <mergeCell ref="H37:H38"/>
    <mergeCell ref="I37:I38"/>
    <mergeCell ref="J37:J38"/>
    <mergeCell ref="L37:L38"/>
    <mergeCell ref="M37:M38"/>
    <mergeCell ref="N37:N38"/>
    <mergeCell ref="O37:O38"/>
    <mergeCell ref="P37:P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R74"/>
  <sheetViews>
    <sheetView topLeftCell="A33" workbookViewId="0">
      <selection activeCell="F39" sqref="F39:Q69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0</v>
      </c>
      <c r="G2" s="5">
        <v>8.9263329999999996</v>
      </c>
      <c r="H2" s="5">
        <v>10.49404</v>
      </c>
      <c r="I2" s="70">
        <v>0</v>
      </c>
      <c r="J2" s="5">
        <v>0</v>
      </c>
      <c r="K2" s="5">
        <v>32.531179999999999</v>
      </c>
      <c r="L2" s="5">
        <v>18.63767</v>
      </c>
      <c r="M2" s="70">
        <v>0</v>
      </c>
      <c r="N2" s="5">
        <v>0</v>
      </c>
      <c r="O2" s="5">
        <f>K2/G2</f>
        <v>3.644405827118482</v>
      </c>
      <c r="P2" s="5">
        <f>L2/H2</f>
        <v>1.7760242956954615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0</v>
      </c>
      <c r="G3" s="5">
        <v>8.9197220000000002</v>
      </c>
      <c r="H3" s="5">
        <v>10.492559999999999</v>
      </c>
      <c r="I3" s="70">
        <v>0</v>
      </c>
      <c r="J3" s="5">
        <v>0</v>
      </c>
      <c r="K3" s="5">
        <v>32.500459999999997</v>
      </c>
      <c r="L3" s="5">
        <v>18.63514</v>
      </c>
      <c r="M3" s="70">
        <v>0</v>
      </c>
      <c r="N3" s="5">
        <v>0</v>
      </c>
      <c r="O3" s="5">
        <f t="shared" ref="O3:P31" si="0">K3/G3</f>
        <v>3.6436628854576405</v>
      </c>
      <c r="P3" s="5">
        <f t="shared" si="0"/>
        <v>1.7760336848204825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0</v>
      </c>
      <c r="G4" s="5">
        <v>8.9129939999999994</v>
      </c>
      <c r="H4" s="5">
        <v>10.491070000000001</v>
      </c>
      <c r="I4" s="70">
        <v>0</v>
      </c>
      <c r="J4" s="5">
        <v>0</v>
      </c>
      <c r="K4" s="5">
        <v>32.468719999999998</v>
      </c>
      <c r="L4" s="5">
        <v>18.6326</v>
      </c>
      <c r="M4" s="70">
        <v>0</v>
      </c>
      <c r="N4" s="5">
        <v>0</v>
      </c>
      <c r="O4" s="5">
        <f t="shared" si="0"/>
        <v>3.6428522222723361</v>
      </c>
      <c r="P4" s="5">
        <f t="shared" si="0"/>
        <v>1.7760438163123493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0</v>
      </c>
      <c r="G5" s="5">
        <v>8.9062079999999995</v>
      </c>
      <c r="H5" s="5">
        <v>10.4899</v>
      </c>
      <c r="I5" s="70">
        <v>0</v>
      </c>
      <c r="J5" s="5">
        <v>0</v>
      </c>
      <c r="K5" s="5">
        <v>32.435540000000003</v>
      </c>
      <c r="L5" s="5">
        <v>18.63062</v>
      </c>
      <c r="M5" s="70">
        <v>0</v>
      </c>
      <c r="N5" s="5">
        <v>0</v>
      </c>
      <c r="O5" s="5">
        <f t="shared" si="0"/>
        <v>3.641902367427305</v>
      </c>
      <c r="P5" s="5">
        <f>L5/H5</f>
        <v>1.7760531558928112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0</v>
      </c>
      <c r="G6" s="5">
        <v>8.8973200000000006</v>
      </c>
      <c r="H6" s="5">
        <v>10.487920000000001</v>
      </c>
      <c r="I6" s="70">
        <v>0</v>
      </c>
      <c r="J6" s="5">
        <v>0</v>
      </c>
      <c r="K6" s="5">
        <v>32.394010000000002</v>
      </c>
      <c r="L6" s="5">
        <v>18.62724</v>
      </c>
      <c r="M6" s="70">
        <v>0</v>
      </c>
      <c r="N6" s="5">
        <v>0</v>
      </c>
      <c r="O6" s="5">
        <f t="shared" si="0"/>
        <v>3.6408727571898054</v>
      </c>
      <c r="P6" s="5">
        <f t="shared" si="0"/>
        <v>1.7760661789945003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0</v>
      </c>
      <c r="G7" s="5">
        <v>18.845061999999999</v>
      </c>
      <c r="H7" s="5">
        <v>22.605810000000002</v>
      </c>
      <c r="I7" s="70">
        <v>0</v>
      </c>
      <c r="J7" s="5">
        <v>0</v>
      </c>
      <c r="K7" s="5">
        <v>61.39358</v>
      </c>
      <c r="L7" s="5">
        <v>33.58314</v>
      </c>
      <c r="M7" s="70">
        <v>0</v>
      </c>
      <c r="N7" s="5">
        <v>0</v>
      </c>
      <c r="O7" s="5">
        <f t="shared" si="0"/>
        <v>3.2578072706791841</v>
      </c>
      <c r="P7" s="5">
        <f t="shared" si="0"/>
        <v>1.4855977290793825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0</v>
      </c>
      <c r="G8" s="5">
        <v>18.825583999999999</v>
      </c>
      <c r="H8" s="5">
        <v>22.602239999999998</v>
      </c>
      <c r="I8" s="70">
        <v>0</v>
      </c>
      <c r="J8" s="5">
        <v>0</v>
      </c>
      <c r="K8" s="5">
        <v>61.306220000000003</v>
      </c>
      <c r="L8" s="5">
        <v>33.578060000000001</v>
      </c>
      <c r="M8" s="70">
        <v>0</v>
      </c>
      <c r="N8" s="5">
        <v>0</v>
      </c>
      <c r="O8" s="5">
        <f t="shared" si="0"/>
        <v>3.2565374864333561</v>
      </c>
      <c r="P8" s="5">
        <f t="shared" si="0"/>
        <v>1.4856076211915281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0</v>
      </c>
      <c r="G9" s="5">
        <v>18.800799000000001</v>
      </c>
      <c r="H9" s="5">
        <v>22.597169999999998</v>
      </c>
      <c r="I9" s="70">
        <v>0</v>
      </c>
      <c r="J9" s="5">
        <v>0</v>
      </c>
      <c r="K9" s="5">
        <v>61.19932</v>
      </c>
      <c r="L9" s="5">
        <v>33.570830000000001</v>
      </c>
      <c r="M9" s="70">
        <v>0</v>
      </c>
      <c r="N9" s="5">
        <v>0</v>
      </c>
      <c r="O9" s="5">
        <f t="shared" si="0"/>
        <v>3.2551446350764133</v>
      </c>
      <c r="P9" s="5">
        <f t="shared" si="0"/>
        <v>1.4856209870528037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0</v>
      </c>
      <c r="G10" s="5">
        <v>18.771259000000001</v>
      </c>
      <c r="H10" s="5">
        <v>22.590309999999999</v>
      </c>
      <c r="I10" s="70">
        <v>0</v>
      </c>
      <c r="J10" s="5">
        <v>0</v>
      </c>
      <c r="K10" s="5">
        <v>61.076300000000003</v>
      </c>
      <c r="L10" s="5">
        <v>33.561019999999999</v>
      </c>
      <c r="M10" s="70">
        <v>0</v>
      </c>
      <c r="N10" s="5">
        <v>0</v>
      </c>
      <c r="O10" s="5">
        <f t="shared" si="0"/>
        <v>3.2537135628462641</v>
      </c>
      <c r="P10" s="5">
        <f t="shared" si="0"/>
        <v>1.4856378686259728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0</v>
      </c>
      <c r="G11" s="5">
        <v>18.739899999999999</v>
      </c>
      <c r="H11" s="5">
        <v>22.58222</v>
      </c>
      <c r="I11" s="70">
        <v>0</v>
      </c>
      <c r="J11" s="5">
        <v>0</v>
      </c>
      <c r="K11" s="5">
        <v>60.947290000000002</v>
      </c>
      <c r="L11" s="5">
        <v>33.549419999999998</v>
      </c>
      <c r="M11" s="70">
        <v>0</v>
      </c>
      <c r="N11" s="5">
        <v>0</v>
      </c>
      <c r="O11" s="5">
        <f t="shared" si="0"/>
        <v>3.2522740249414355</v>
      </c>
      <c r="P11" s="5">
        <f t="shared" si="0"/>
        <v>1.4856564146483384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0</v>
      </c>
      <c r="G12" s="5">
        <v>34.197805000000002</v>
      </c>
      <c r="H12" s="5">
        <v>42.01041</v>
      </c>
      <c r="I12" s="70">
        <v>0</v>
      </c>
      <c r="J12" s="5">
        <v>0</v>
      </c>
      <c r="K12" s="5">
        <v>106.55195000000001</v>
      </c>
      <c r="L12" s="5">
        <v>60.683630000000001</v>
      </c>
      <c r="M12" s="70">
        <v>0</v>
      </c>
      <c r="N12" s="5">
        <v>0</v>
      </c>
      <c r="O12" s="5">
        <f t="shared" si="0"/>
        <v>3.1157540666718231</v>
      </c>
      <c r="P12" s="5">
        <f t="shared" si="0"/>
        <v>1.4444903060931802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0</v>
      </c>
      <c r="G13" s="5">
        <v>34.142164999999999</v>
      </c>
      <c r="H13" s="5">
        <v>41.997520000000002</v>
      </c>
      <c r="I13" s="70">
        <v>0</v>
      </c>
      <c r="J13" s="5">
        <v>0</v>
      </c>
      <c r="K13" s="5">
        <v>106.32819000000001</v>
      </c>
      <c r="L13" s="5">
        <v>60.665730000000003</v>
      </c>
      <c r="M13" s="70">
        <v>0</v>
      </c>
      <c r="N13" s="5">
        <v>0</v>
      </c>
      <c r="O13" s="5">
        <f t="shared" si="0"/>
        <v>3.1142779024118714</v>
      </c>
      <c r="P13" s="5">
        <f t="shared" si="0"/>
        <v>1.4445074375820286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0</v>
      </c>
      <c r="G14" s="5">
        <v>34.080106999999998</v>
      </c>
      <c r="H14" s="5">
        <v>41.982489999999999</v>
      </c>
      <c r="I14" s="70">
        <v>0</v>
      </c>
      <c r="J14" s="5">
        <v>0</v>
      </c>
      <c r="K14" s="5">
        <v>106.08112</v>
      </c>
      <c r="L14" s="5">
        <v>60.644840000000002</v>
      </c>
      <c r="M14" s="70">
        <v>0</v>
      </c>
      <c r="N14" s="5">
        <v>0</v>
      </c>
      <c r="O14" s="5">
        <f t="shared" si="0"/>
        <v>3.1126991473354235</v>
      </c>
      <c r="P14" s="5">
        <f t="shared" si="0"/>
        <v>1.4445269920864627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0</v>
      </c>
      <c r="G15" s="5">
        <v>34.014423000000001</v>
      </c>
      <c r="H15" s="5">
        <v>41.966639999999998</v>
      </c>
      <c r="I15" s="70">
        <v>0</v>
      </c>
      <c r="J15" s="5">
        <v>0</v>
      </c>
      <c r="K15" s="5">
        <v>105.81876</v>
      </c>
      <c r="L15" s="5">
        <v>60.622810000000001</v>
      </c>
      <c r="M15" s="70">
        <v>0</v>
      </c>
      <c r="N15" s="5">
        <v>0</v>
      </c>
      <c r="O15" s="5">
        <f t="shared" si="0"/>
        <v>3.1109967674594978</v>
      </c>
      <c r="P15" s="5">
        <f t="shared" si="0"/>
        <v>1.444547621634708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0</v>
      </c>
      <c r="G16" s="5">
        <v>33.944612999999997</v>
      </c>
      <c r="H16" s="5">
        <v>41.949689999999997</v>
      </c>
      <c r="I16" s="70">
        <v>0</v>
      </c>
      <c r="J16" s="5">
        <v>0</v>
      </c>
      <c r="K16" s="5">
        <v>105.53832</v>
      </c>
      <c r="L16" s="5">
        <v>60.599240000000002</v>
      </c>
      <c r="M16" s="70">
        <v>0</v>
      </c>
      <c r="N16" s="5">
        <v>0</v>
      </c>
      <c r="O16" s="5">
        <f t="shared" si="0"/>
        <v>3.1091331045665482</v>
      </c>
      <c r="P16" s="5">
        <f t="shared" si="0"/>
        <v>1.4445694354356375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0</v>
      </c>
      <c r="G17" s="5">
        <v>51.591740000000001</v>
      </c>
      <c r="H17" s="5">
        <v>64.315269999999998</v>
      </c>
      <c r="I17" s="70">
        <v>0</v>
      </c>
      <c r="J17" s="5">
        <v>0</v>
      </c>
      <c r="K17" s="5">
        <v>149.19848999999999</v>
      </c>
      <c r="L17" s="5">
        <v>81.86354</v>
      </c>
      <c r="M17" s="70">
        <v>0</v>
      </c>
      <c r="N17" s="5">
        <v>0</v>
      </c>
      <c r="O17" s="5">
        <f t="shared" si="0"/>
        <v>2.8919065338753835</v>
      </c>
      <c r="P17" s="5">
        <f t="shared" si="0"/>
        <v>1.2728476456679729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0</v>
      </c>
      <c r="G18" s="5">
        <v>51.460940000000001</v>
      </c>
      <c r="H18" s="5">
        <v>64.282899999999998</v>
      </c>
      <c r="I18" s="70">
        <v>0</v>
      </c>
      <c r="J18" s="5">
        <v>0</v>
      </c>
      <c r="K18" s="5">
        <v>148.71306000000001</v>
      </c>
      <c r="L18" s="5">
        <v>81.823880000000003</v>
      </c>
      <c r="M18" s="70">
        <v>0</v>
      </c>
      <c r="N18" s="5">
        <v>0</v>
      </c>
      <c r="O18" s="5">
        <f t="shared" si="0"/>
        <v>2.8898240102104626</v>
      </c>
      <c r="P18" s="5">
        <f t="shared" si="0"/>
        <v>1.2728716346026705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0</v>
      </c>
      <c r="G19" s="5">
        <v>51.320723999999998</v>
      </c>
      <c r="H19" s="5">
        <v>64.247720000000001</v>
      </c>
      <c r="I19" s="70">
        <v>0</v>
      </c>
      <c r="J19" s="5">
        <v>0</v>
      </c>
      <c r="K19" s="5">
        <v>148.19217</v>
      </c>
      <c r="L19" s="5">
        <v>81.780770000000004</v>
      </c>
      <c r="M19" s="70">
        <v>0</v>
      </c>
      <c r="N19" s="5">
        <v>0</v>
      </c>
      <c r="O19" s="5">
        <f t="shared" si="0"/>
        <v>2.8875697466777752</v>
      </c>
      <c r="P19" s="5">
        <f t="shared" si="0"/>
        <v>1.2728976218922634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0</v>
      </c>
      <c r="G20" s="5">
        <v>51.172071000000003</v>
      </c>
      <c r="H20" s="5">
        <v>64.208849999999998</v>
      </c>
      <c r="I20" s="70">
        <v>0</v>
      </c>
      <c r="J20" s="5">
        <v>0</v>
      </c>
      <c r="K20" s="5">
        <v>147.63371000000001</v>
      </c>
      <c r="L20" s="5">
        <v>81.733040000000003</v>
      </c>
      <c r="M20" s="70">
        <v>0</v>
      </c>
      <c r="N20" s="5">
        <v>0</v>
      </c>
      <c r="O20" s="5">
        <f t="shared" si="0"/>
        <v>2.8850446564884975</v>
      </c>
      <c r="P20" s="5">
        <f t="shared" si="0"/>
        <v>1.2729248382427034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0</v>
      </c>
      <c r="G21" s="5">
        <v>51.026989999999998</v>
      </c>
      <c r="H21" s="5">
        <v>64.178210000000007</v>
      </c>
      <c r="I21" s="70">
        <v>0</v>
      </c>
      <c r="J21" s="5">
        <v>0</v>
      </c>
      <c r="K21" s="5">
        <v>147.05247</v>
      </c>
      <c r="L21" s="5">
        <v>81.695570000000004</v>
      </c>
      <c r="M21" s="70">
        <v>0</v>
      </c>
      <c r="N21" s="5">
        <v>0</v>
      </c>
      <c r="O21" s="5">
        <f t="shared" si="0"/>
        <v>2.8818566409658888</v>
      </c>
      <c r="P21" s="5">
        <f t="shared" si="0"/>
        <v>1.2729487157712873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0</v>
      </c>
      <c r="G22" s="5">
        <v>71.178584000000001</v>
      </c>
      <c r="H22" s="5">
        <v>90.566429999999997</v>
      </c>
      <c r="I22" s="70">
        <v>0</v>
      </c>
      <c r="J22" s="5">
        <v>0</v>
      </c>
      <c r="K22" s="5">
        <v>190.14487</v>
      </c>
      <c r="L22" s="5">
        <v>99.255949999999999</v>
      </c>
      <c r="M22" s="70">
        <v>0</v>
      </c>
      <c r="N22" s="5">
        <v>0</v>
      </c>
      <c r="O22" s="5">
        <f t="shared" si="0"/>
        <v>2.6713775311967431</v>
      </c>
      <c r="P22" s="5">
        <f t="shared" si="0"/>
        <v>1.095946367765628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0</v>
      </c>
      <c r="G23" s="5">
        <v>70.855536999999998</v>
      </c>
      <c r="H23" s="5">
        <v>90.497169999999997</v>
      </c>
      <c r="I23" s="70">
        <v>0</v>
      </c>
      <c r="J23" s="5">
        <v>0</v>
      </c>
      <c r="K23" s="5">
        <v>188.97095999999999</v>
      </c>
      <c r="L23" s="5">
        <v>99.183189999999996</v>
      </c>
      <c r="M23" s="70">
        <v>0</v>
      </c>
      <c r="N23" s="5">
        <v>0</v>
      </c>
      <c r="O23" s="5">
        <f t="shared" si="0"/>
        <v>2.6669893137638629</v>
      </c>
      <c r="P23" s="5">
        <f t="shared" si="0"/>
        <v>1.0959811229456125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0</v>
      </c>
      <c r="G24" s="5">
        <v>70.443487000000005</v>
      </c>
      <c r="H24" s="5">
        <v>90.407340000000005</v>
      </c>
      <c r="I24" s="70">
        <v>0</v>
      </c>
      <c r="J24" s="5">
        <v>0</v>
      </c>
      <c r="K24" s="5">
        <v>187.52116000000001</v>
      </c>
      <c r="L24" s="5">
        <v>99.08896</v>
      </c>
      <c r="M24" s="70">
        <v>0</v>
      </c>
      <c r="N24" s="5">
        <v>0</v>
      </c>
      <c r="O24" s="5">
        <f t="shared" si="0"/>
        <v>2.6620084834812334</v>
      </c>
      <c r="P24" s="5">
        <f t="shared" si="0"/>
        <v>1.0960278225197202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0</v>
      </c>
      <c r="G25" s="5">
        <v>69.902669000000003</v>
      </c>
      <c r="H25" s="5">
        <v>90.24794</v>
      </c>
      <c r="I25" s="70">
        <v>0</v>
      </c>
      <c r="J25" s="5">
        <v>0</v>
      </c>
      <c r="K25" s="5">
        <v>185.73660000000001</v>
      </c>
      <c r="L25" s="5">
        <v>98.920320000000004</v>
      </c>
      <c r="M25" s="70">
        <v>0</v>
      </c>
      <c r="N25" s="5">
        <v>0</v>
      </c>
      <c r="O25" s="5">
        <f t="shared" si="0"/>
        <v>2.6570745102737066</v>
      </c>
      <c r="P25" s="5">
        <f t="shared" si="0"/>
        <v>1.0960950466016177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0</v>
      </c>
      <c r="G26" s="5">
        <v>69.431523999999996</v>
      </c>
      <c r="H26" s="5">
        <v>90.124160000000003</v>
      </c>
      <c r="I26" s="70">
        <v>0</v>
      </c>
      <c r="J26" s="5">
        <v>0</v>
      </c>
      <c r="K26" s="5">
        <v>184.10061999999999</v>
      </c>
      <c r="L26" s="5">
        <v>98.789599999999993</v>
      </c>
      <c r="M26" s="70">
        <v>0</v>
      </c>
      <c r="N26" s="5">
        <v>0</v>
      </c>
      <c r="O26" s="5">
        <f t="shared" si="0"/>
        <v>2.6515422591040925</v>
      </c>
      <c r="P26" s="5">
        <f t="shared" si="0"/>
        <v>1.0961500223691405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0</v>
      </c>
      <c r="G27" s="5">
        <v>85.403948999999997</v>
      </c>
      <c r="H27" s="5">
        <v>112.90259</v>
      </c>
      <c r="I27" s="70">
        <v>0</v>
      </c>
      <c r="J27" s="5">
        <v>0</v>
      </c>
      <c r="K27" s="5">
        <v>206.37461999999999</v>
      </c>
      <c r="L27" s="5">
        <v>107.33391</v>
      </c>
      <c r="M27" s="70">
        <v>0</v>
      </c>
      <c r="N27" s="5">
        <v>0</v>
      </c>
      <c r="O27" s="5">
        <f t="shared" si="0"/>
        <v>2.4164528972776189</v>
      </c>
      <c r="P27" s="5">
        <f t="shared" si="0"/>
        <v>0.95067712795605486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0</v>
      </c>
      <c r="G28" s="5">
        <v>84.609987000000004</v>
      </c>
      <c r="H28" s="5">
        <v>112.69158</v>
      </c>
      <c r="I28" s="70">
        <v>0</v>
      </c>
      <c r="J28" s="5">
        <v>0</v>
      </c>
      <c r="K28" s="5">
        <v>203.92442</v>
      </c>
      <c r="L28" s="5">
        <v>107.14082999999999</v>
      </c>
      <c r="M28" s="70">
        <v>0</v>
      </c>
      <c r="N28" s="5">
        <v>0</v>
      </c>
      <c r="O28" s="5">
        <f t="shared" si="0"/>
        <v>2.4101696174471696</v>
      </c>
      <c r="P28" s="5">
        <f t="shared" si="0"/>
        <v>0.95074387988880793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0</v>
      </c>
      <c r="G29" s="5">
        <v>83.718114999999997</v>
      </c>
      <c r="H29" s="5">
        <v>112.42846</v>
      </c>
      <c r="I29" s="70">
        <v>0</v>
      </c>
      <c r="J29" s="5">
        <v>0</v>
      </c>
      <c r="K29" s="5">
        <v>201.23665</v>
      </c>
      <c r="L29" s="5">
        <v>106.89945</v>
      </c>
      <c r="M29" s="70">
        <v>0</v>
      </c>
      <c r="N29" s="5">
        <v>0</v>
      </c>
      <c r="O29" s="5">
        <f t="shared" si="0"/>
        <v>2.4037408152345523</v>
      </c>
      <c r="P29" s="5">
        <f t="shared" si="0"/>
        <v>0.95082197158975579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0</v>
      </c>
      <c r="G30" s="5">
        <v>82.855542999999997</v>
      </c>
      <c r="H30" s="5">
        <v>112.17613</v>
      </c>
      <c r="I30" s="70">
        <v>0</v>
      </c>
      <c r="J30" s="5">
        <v>0</v>
      </c>
      <c r="K30" s="5">
        <v>198.58860999999999</v>
      </c>
      <c r="L30" s="5">
        <v>106.66784</v>
      </c>
      <c r="M30" s="70">
        <v>0</v>
      </c>
      <c r="N30" s="5">
        <v>0</v>
      </c>
      <c r="O30" s="5">
        <f t="shared" si="0"/>
        <v>2.3968053652125603</v>
      </c>
      <c r="P30" s="5">
        <f t="shared" si="0"/>
        <v>0.95089605961624812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0</v>
      </c>
      <c r="G31" s="5">
        <v>82.015853000000007</v>
      </c>
      <c r="H31" s="5">
        <v>111.96426</v>
      </c>
      <c r="I31" s="70">
        <v>0</v>
      </c>
      <c r="J31" s="5">
        <v>0</v>
      </c>
      <c r="K31" s="5">
        <v>195.88721000000001</v>
      </c>
      <c r="L31" s="5">
        <v>106.47398</v>
      </c>
      <c r="M31" s="70">
        <v>0</v>
      </c>
      <c r="N31" s="5">
        <v>0</v>
      </c>
      <c r="O31" s="5">
        <f t="shared" si="0"/>
        <v>2.3884066657210772</v>
      </c>
      <c r="P31" s="5">
        <f t="shared" si="0"/>
        <v>0.95096399511772778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F36" s="95" t="s">
        <v>92</v>
      </c>
      <c r="G36" s="95" t="s">
        <v>93</v>
      </c>
      <c r="H36" s="95" t="s">
        <v>94</v>
      </c>
      <c r="I36" s="95" t="s">
        <v>91</v>
      </c>
      <c r="J36" s="95" t="s">
        <v>92</v>
      </c>
      <c r="K36" s="95" t="s">
        <v>93</v>
      </c>
      <c r="L36" s="95" t="s">
        <v>94</v>
      </c>
      <c r="M36" s="95" t="s">
        <v>91</v>
      </c>
      <c r="N36" s="95" t="s">
        <v>92</v>
      </c>
      <c r="O36" s="95" t="s">
        <v>93</v>
      </c>
      <c r="P36" s="95" t="s">
        <v>94</v>
      </c>
    </row>
    <row r="37" spans="2:18" x14ac:dyDescent="0.2">
      <c r="B37" s="5"/>
      <c r="C37" s="5"/>
      <c r="D37" s="5"/>
      <c r="E37" s="63" t="s">
        <v>91</v>
      </c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</row>
    <row r="38" spans="2:18" x14ac:dyDescent="0.2">
      <c r="B38" s="5"/>
      <c r="C38" s="5"/>
      <c r="D38" s="5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2:18" x14ac:dyDescent="0.2">
      <c r="B39" s="5"/>
      <c r="C39" s="5"/>
      <c r="D39" s="5"/>
      <c r="E39" s="64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8" x14ac:dyDescent="0.2">
      <c r="B40" s="5"/>
      <c r="C40" s="5"/>
      <c r="D40" s="5"/>
      <c r="E40" s="64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63"/>
    </row>
    <row r="41" spans="2:18" x14ac:dyDescent="0.2">
      <c r="B41" s="5"/>
      <c r="C41" s="5"/>
      <c r="D41" s="5"/>
      <c r="E41" s="64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2">
      <c r="B42" s="5"/>
      <c r="C42" s="5"/>
      <c r="D42" s="5"/>
      <c r="E42" s="64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2">
      <c r="B43" s="5"/>
      <c r="C43" s="5"/>
      <c r="D43" s="5"/>
      <c r="E43" s="64">
        <v>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4">
        <v>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4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4">
        <v>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4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4">
        <v>10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4">
        <v>11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4">
        <v>12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4">
        <v>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4">
        <v>14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4">
        <v>15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4">
        <v>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4">
        <v>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4">
        <v>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4">
        <v>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4">
        <v>20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4">
        <v>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4">
        <v>22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4">
        <v>23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4">
        <v>24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4">
        <v>25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4">
        <v>26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4">
        <v>27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4">
        <v>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4">
        <v>29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4">
        <v>30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4">
        <v>25</v>
      </c>
      <c r="F69" s="6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5:18" x14ac:dyDescent="0.2">
      <c r="E70" s="64">
        <v>26</v>
      </c>
      <c r="F70" s="64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5:18" x14ac:dyDescent="0.2">
      <c r="E71" s="64">
        <v>27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8" x14ac:dyDescent="0.2">
      <c r="E72" s="64">
        <v>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5:18" x14ac:dyDescent="0.2">
      <c r="E73" s="64">
        <v>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5:18" x14ac:dyDescent="0.2">
      <c r="E74" s="64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11">
    <mergeCell ref="P36:P37"/>
    <mergeCell ref="K36:K37"/>
    <mergeCell ref="L36:L37"/>
    <mergeCell ref="M36:M37"/>
    <mergeCell ref="N36:N37"/>
    <mergeCell ref="O36:O37"/>
    <mergeCell ref="F36:F37"/>
    <mergeCell ref="G36:G37"/>
    <mergeCell ref="H36:H37"/>
    <mergeCell ref="I36:I37"/>
    <mergeCell ref="J36:J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R72"/>
  <sheetViews>
    <sheetView workbookViewId="0">
      <selection activeCell="F55" sqref="F55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1.86</v>
      </c>
      <c r="D2" s="5">
        <v>0</v>
      </c>
      <c r="E2" s="70">
        <v>0</v>
      </c>
      <c r="F2" s="5">
        <v>0</v>
      </c>
      <c r="G2" s="5">
        <v>1.86</v>
      </c>
      <c r="H2" s="5">
        <v>0</v>
      </c>
      <c r="I2" s="70">
        <v>0</v>
      </c>
      <c r="J2" s="5">
        <v>0</v>
      </c>
      <c r="K2" s="5">
        <v>11.822279999999999</v>
      </c>
      <c r="L2" s="5">
        <v>0</v>
      </c>
      <c r="M2" s="70">
        <v>0</v>
      </c>
      <c r="N2" s="5">
        <v>0</v>
      </c>
      <c r="O2" s="5">
        <f>K2/G2</f>
        <v>6.3560645161290319</v>
      </c>
      <c r="P2" s="5">
        <v>0</v>
      </c>
      <c r="Q2" s="5">
        <v>0</v>
      </c>
    </row>
    <row r="3" spans="1:17" x14ac:dyDescent="0.2">
      <c r="A3" s="62">
        <v>51</v>
      </c>
      <c r="B3" s="5">
        <v>0</v>
      </c>
      <c r="C3" s="5">
        <v>1.86</v>
      </c>
      <c r="D3" s="5">
        <v>0</v>
      </c>
      <c r="E3" s="70">
        <v>0</v>
      </c>
      <c r="F3" s="5">
        <v>0</v>
      </c>
      <c r="G3" s="5">
        <v>1.86</v>
      </c>
      <c r="H3" s="5">
        <v>0</v>
      </c>
      <c r="I3" s="70">
        <v>0</v>
      </c>
      <c r="J3" s="5">
        <v>0</v>
      </c>
      <c r="K3" s="5">
        <v>11.822279999999999</v>
      </c>
      <c r="L3" s="5">
        <v>0</v>
      </c>
      <c r="M3" s="70">
        <v>0</v>
      </c>
      <c r="N3" s="5">
        <v>0</v>
      </c>
      <c r="O3" s="5">
        <f t="shared" ref="O3:O31" si="0">K3/G3</f>
        <v>6.3560645161290319</v>
      </c>
      <c r="P3" s="5">
        <v>0</v>
      </c>
      <c r="Q3" s="5">
        <v>0</v>
      </c>
    </row>
    <row r="4" spans="1:17" x14ac:dyDescent="0.2">
      <c r="A4" s="62">
        <v>52</v>
      </c>
      <c r="B4" s="5">
        <v>0</v>
      </c>
      <c r="C4" s="5">
        <v>1.86</v>
      </c>
      <c r="D4" s="5">
        <v>0</v>
      </c>
      <c r="E4" s="70">
        <v>0</v>
      </c>
      <c r="F4" s="5">
        <v>0</v>
      </c>
      <c r="G4" s="5">
        <v>1.86</v>
      </c>
      <c r="H4" s="5">
        <v>0</v>
      </c>
      <c r="I4" s="70">
        <v>0</v>
      </c>
      <c r="J4" s="5">
        <v>0</v>
      </c>
      <c r="K4" s="5">
        <v>11.822279999999999</v>
      </c>
      <c r="L4" s="5">
        <v>0</v>
      </c>
      <c r="M4" s="70">
        <v>0</v>
      </c>
      <c r="N4" s="5">
        <v>0</v>
      </c>
      <c r="O4" s="5">
        <f t="shared" si="0"/>
        <v>6.3560645161290319</v>
      </c>
      <c r="P4" s="5">
        <v>0</v>
      </c>
      <c r="Q4" s="5">
        <v>0</v>
      </c>
    </row>
    <row r="5" spans="1:17" x14ac:dyDescent="0.2">
      <c r="A5" s="62">
        <v>53</v>
      </c>
      <c r="B5" s="5">
        <v>0</v>
      </c>
      <c r="C5" s="5">
        <v>1.86</v>
      </c>
      <c r="D5" s="5">
        <v>0</v>
      </c>
      <c r="E5" s="70">
        <v>0</v>
      </c>
      <c r="F5" s="5">
        <v>0</v>
      </c>
      <c r="G5" s="5">
        <v>1.86</v>
      </c>
      <c r="H5" s="5">
        <v>0</v>
      </c>
      <c r="I5" s="70">
        <v>0</v>
      </c>
      <c r="J5" s="5">
        <v>0</v>
      </c>
      <c r="K5" s="5">
        <v>11.822279999999999</v>
      </c>
      <c r="L5" s="5">
        <v>0</v>
      </c>
      <c r="M5" s="70">
        <v>0</v>
      </c>
      <c r="N5" s="5">
        <v>0</v>
      </c>
      <c r="O5" s="5">
        <f t="shared" si="0"/>
        <v>6.3560645161290319</v>
      </c>
      <c r="P5" s="5">
        <v>0</v>
      </c>
      <c r="Q5" s="5">
        <v>0</v>
      </c>
    </row>
    <row r="6" spans="1:17" x14ac:dyDescent="0.2">
      <c r="A6" s="62">
        <v>54</v>
      </c>
      <c r="B6" s="5">
        <v>0</v>
      </c>
      <c r="C6" s="5">
        <v>1.86</v>
      </c>
      <c r="D6" s="5">
        <v>0</v>
      </c>
      <c r="E6" s="70">
        <v>0</v>
      </c>
      <c r="F6" s="5">
        <v>0</v>
      </c>
      <c r="G6" s="5">
        <v>1.86</v>
      </c>
      <c r="H6" s="5">
        <v>0</v>
      </c>
      <c r="I6" s="70">
        <v>0</v>
      </c>
      <c r="J6" s="5">
        <v>0</v>
      </c>
      <c r="K6" s="5">
        <v>11.822279999999999</v>
      </c>
      <c r="L6" s="5">
        <v>0</v>
      </c>
      <c r="M6" s="70">
        <v>0</v>
      </c>
      <c r="N6" s="5">
        <v>0</v>
      </c>
      <c r="O6" s="5">
        <f t="shared" si="0"/>
        <v>6.3560645161290319</v>
      </c>
      <c r="P6" s="5">
        <v>0</v>
      </c>
      <c r="Q6" s="5">
        <v>0</v>
      </c>
    </row>
    <row r="7" spans="1:17" x14ac:dyDescent="0.2">
      <c r="A7" s="62">
        <v>55</v>
      </c>
      <c r="B7" s="5">
        <v>0</v>
      </c>
      <c r="C7" s="5">
        <v>4.51</v>
      </c>
      <c r="D7" s="5">
        <v>0</v>
      </c>
      <c r="E7" s="70">
        <v>0</v>
      </c>
      <c r="F7" s="5">
        <v>0</v>
      </c>
      <c r="G7" s="5">
        <v>4.51</v>
      </c>
      <c r="H7" s="5">
        <v>0</v>
      </c>
      <c r="I7" s="70">
        <v>0</v>
      </c>
      <c r="J7" s="5">
        <v>0</v>
      </c>
      <c r="K7" s="5">
        <v>28.24033</v>
      </c>
      <c r="L7" s="5">
        <v>0</v>
      </c>
      <c r="M7" s="70">
        <v>0</v>
      </c>
      <c r="N7" s="5">
        <v>0</v>
      </c>
      <c r="O7" s="5">
        <f t="shared" si="0"/>
        <v>6.2617139689578716</v>
      </c>
      <c r="P7" s="5">
        <v>0</v>
      </c>
      <c r="Q7" s="5">
        <v>0</v>
      </c>
    </row>
    <row r="8" spans="1:17" x14ac:dyDescent="0.2">
      <c r="A8" s="62">
        <v>56</v>
      </c>
      <c r="B8" s="5">
        <v>0</v>
      </c>
      <c r="C8" s="5">
        <v>4.51</v>
      </c>
      <c r="D8" s="5">
        <v>0</v>
      </c>
      <c r="E8" s="70">
        <v>0</v>
      </c>
      <c r="F8" s="5">
        <v>0</v>
      </c>
      <c r="G8" s="5">
        <v>4.51</v>
      </c>
      <c r="H8" s="5">
        <v>0</v>
      </c>
      <c r="I8" s="70">
        <v>0</v>
      </c>
      <c r="J8" s="5">
        <v>0</v>
      </c>
      <c r="K8" s="5">
        <v>28.24033</v>
      </c>
      <c r="L8" s="5">
        <v>0</v>
      </c>
      <c r="M8" s="70">
        <v>0</v>
      </c>
      <c r="N8" s="5">
        <v>0</v>
      </c>
      <c r="O8" s="5">
        <f t="shared" si="0"/>
        <v>6.2617139689578716</v>
      </c>
      <c r="P8" s="5">
        <v>0</v>
      </c>
      <c r="Q8" s="5">
        <v>0</v>
      </c>
    </row>
    <row r="9" spans="1:17" x14ac:dyDescent="0.2">
      <c r="A9" s="62">
        <v>57</v>
      </c>
      <c r="B9" s="5">
        <v>0</v>
      </c>
      <c r="C9" s="5">
        <v>4.51</v>
      </c>
      <c r="D9" s="5">
        <v>0</v>
      </c>
      <c r="E9" s="70">
        <v>0</v>
      </c>
      <c r="F9" s="5">
        <v>0</v>
      </c>
      <c r="G9" s="5">
        <v>4.51</v>
      </c>
      <c r="H9" s="5">
        <v>0</v>
      </c>
      <c r="I9" s="70">
        <v>0</v>
      </c>
      <c r="J9" s="5">
        <v>0</v>
      </c>
      <c r="K9" s="5">
        <v>28.24033</v>
      </c>
      <c r="L9" s="5">
        <v>0</v>
      </c>
      <c r="M9" s="70">
        <v>0</v>
      </c>
      <c r="N9" s="5">
        <v>0</v>
      </c>
      <c r="O9" s="5">
        <f t="shared" si="0"/>
        <v>6.2617139689578716</v>
      </c>
      <c r="P9" s="5">
        <v>0</v>
      </c>
      <c r="Q9" s="5">
        <v>0</v>
      </c>
    </row>
    <row r="10" spans="1:17" x14ac:dyDescent="0.2">
      <c r="A10" s="62">
        <v>58</v>
      </c>
      <c r="B10" s="5">
        <v>0</v>
      </c>
      <c r="C10" s="5">
        <v>4.51</v>
      </c>
      <c r="D10" s="5">
        <v>0</v>
      </c>
      <c r="E10" s="70">
        <v>0</v>
      </c>
      <c r="F10" s="5">
        <v>0</v>
      </c>
      <c r="G10" s="5">
        <v>4.51</v>
      </c>
      <c r="H10" s="5">
        <v>0</v>
      </c>
      <c r="I10" s="70">
        <v>0</v>
      </c>
      <c r="J10" s="5">
        <v>0</v>
      </c>
      <c r="K10" s="5">
        <v>28.24033</v>
      </c>
      <c r="L10" s="5">
        <v>0</v>
      </c>
      <c r="M10" s="70">
        <v>0</v>
      </c>
      <c r="N10" s="5">
        <v>0</v>
      </c>
      <c r="O10" s="5">
        <f t="shared" si="0"/>
        <v>6.2617139689578716</v>
      </c>
      <c r="P10" s="5">
        <v>0</v>
      </c>
      <c r="Q10" s="5">
        <v>0</v>
      </c>
    </row>
    <row r="11" spans="1:17" x14ac:dyDescent="0.2">
      <c r="A11" s="62">
        <v>59</v>
      </c>
      <c r="B11" s="5">
        <v>0</v>
      </c>
      <c r="C11" s="5">
        <v>4.51</v>
      </c>
      <c r="D11" s="5">
        <v>0</v>
      </c>
      <c r="E11" s="70">
        <v>0</v>
      </c>
      <c r="F11" s="5">
        <v>0</v>
      </c>
      <c r="G11" s="5">
        <v>4.51</v>
      </c>
      <c r="H11" s="5">
        <v>0</v>
      </c>
      <c r="I11" s="70">
        <v>0</v>
      </c>
      <c r="J11" s="5">
        <v>0</v>
      </c>
      <c r="K11" s="5">
        <v>28.24033</v>
      </c>
      <c r="L11" s="5">
        <v>0</v>
      </c>
      <c r="M11" s="70">
        <v>0</v>
      </c>
      <c r="N11" s="5">
        <v>0</v>
      </c>
      <c r="O11" s="5">
        <f t="shared" si="0"/>
        <v>6.2617139689578716</v>
      </c>
      <c r="P11" s="5">
        <v>0</v>
      </c>
      <c r="Q11" s="5">
        <v>0</v>
      </c>
    </row>
    <row r="12" spans="1:17" x14ac:dyDescent="0.2">
      <c r="A12" s="62">
        <v>60</v>
      </c>
      <c r="B12" s="5">
        <v>0</v>
      </c>
      <c r="C12" s="5">
        <v>9.6199999999999992</v>
      </c>
      <c r="D12" s="5">
        <v>0</v>
      </c>
      <c r="E12" s="70">
        <v>0</v>
      </c>
      <c r="F12" s="5">
        <v>0</v>
      </c>
      <c r="G12" s="5">
        <v>9.6199999999999992</v>
      </c>
      <c r="H12" s="5">
        <v>0</v>
      </c>
      <c r="I12" s="70">
        <v>0</v>
      </c>
      <c r="J12" s="5">
        <v>0</v>
      </c>
      <c r="K12" s="5">
        <v>44.880830000000003</v>
      </c>
      <c r="L12" s="5">
        <v>0</v>
      </c>
      <c r="M12" s="70">
        <v>0</v>
      </c>
      <c r="N12" s="5">
        <v>0</v>
      </c>
      <c r="O12" s="5">
        <f t="shared" si="0"/>
        <v>4.6653669438669443</v>
      </c>
      <c r="P12" s="5">
        <v>0</v>
      </c>
      <c r="Q12" s="5">
        <v>0</v>
      </c>
    </row>
    <row r="13" spans="1:17" x14ac:dyDescent="0.2">
      <c r="A13" s="62">
        <v>61</v>
      </c>
      <c r="B13" s="5">
        <v>0</v>
      </c>
      <c r="C13" s="5">
        <v>9.6199999999999992</v>
      </c>
      <c r="D13" s="5">
        <v>0</v>
      </c>
      <c r="E13" s="70">
        <v>0</v>
      </c>
      <c r="F13" s="5">
        <v>0</v>
      </c>
      <c r="G13" s="5">
        <v>9.6199999999999992</v>
      </c>
      <c r="H13" s="5">
        <v>0</v>
      </c>
      <c r="I13" s="70">
        <v>0</v>
      </c>
      <c r="J13" s="5">
        <v>0</v>
      </c>
      <c r="K13" s="5">
        <v>44.880830000000003</v>
      </c>
      <c r="L13" s="5">
        <v>0</v>
      </c>
      <c r="M13" s="70">
        <v>0</v>
      </c>
      <c r="N13" s="5">
        <v>0</v>
      </c>
      <c r="O13" s="5">
        <f t="shared" si="0"/>
        <v>4.6653669438669443</v>
      </c>
      <c r="P13" s="5">
        <v>0</v>
      </c>
      <c r="Q13" s="5">
        <v>0</v>
      </c>
    </row>
    <row r="14" spans="1:17" x14ac:dyDescent="0.2">
      <c r="A14" s="62">
        <v>62</v>
      </c>
      <c r="B14" s="5">
        <v>0</v>
      </c>
      <c r="C14" s="5">
        <v>9.6199999999999992</v>
      </c>
      <c r="D14" s="5">
        <v>0</v>
      </c>
      <c r="E14" s="70">
        <v>0</v>
      </c>
      <c r="F14" s="5">
        <v>0</v>
      </c>
      <c r="G14" s="5">
        <v>9.6199999999999992</v>
      </c>
      <c r="H14" s="5">
        <v>0</v>
      </c>
      <c r="I14" s="70">
        <v>0</v>
      </c>
      <c r="J14" s="5">
        <v>0</v>
      </c>
      <c r="K14" s="5">
        <v>44.880830000000003</v>
      </c>
      <c r="L14" s="5">
        <v>0</v>
      </c>
      <c r="M14" s="70">
        <v>0</v>
      </c>
      <c r="N14" s="5">
        <v>0</v>
      </c>
      <c r="O14" s="5">
        <f t="shared" si="0"/>
        <v>4.6653669438669443</v>
      </c>
      <c r="P14" s="5">
        <v>0</v>
      </c>
      <c r="Q14" s="5">
        <v>0</v>
      </c>
    </row>
    <row r="15" spans="1:17" x14ac:dyDescent="0.2">
      <c r="A15" s="62">
        <v>63</v>
      </c>
      <c r="B15" s="5">
        <v>0</v>
      </c>
      <c r="C15" s="5">
        <v>9.6199999999999992</v>
      </c>
      <c r="D15" s="5">
        <v>0</v>
      </c>
      <c r="E15" s="70">
        <v>0</v>
      </c>
      <c r="F15" s="5">
        <v>0</v>
      </c>
      <c r="G15" s="5">
        <v>9.6199999999999992</v>
      </c>
      <c r="H15" s="5">
        <v>0</v>
      </c>
      <c r="I15" s="70">
        <v>0</v>
      </c>
      <c r="J15" s="5">
        <v>0</v>
      </c>
      <c r="K15" s="5">
        <v>44.880830000000003</v>
      </c>
      <c r="L15" s="5">
        <v>0</v>
      </c>
      <c r="M15" s="70">
        <v>0</v>
      </c>
      <c r="N15" s="5">
        <v>0</v>
      </c>
      <c r="O15" s="5">
        <f t="shared" si="0"/>
        <v>4.6653669438669443</v>
      </c>
      <c r="P15" s="5">
        <v>0</v>
      </c>
      <c r="Q15" s="5">
        <v>0</v>
      </c>
    </row>
    <row r="16" spans="1:17" x14ac:dyDescent="0.2">
      <c r="A16" s="62">
        <v>64</v>
      </c>
      <c r="B16" s="5">
        <v>0</v>
      </c>
      <c r="C16" s="5">
        <v>9.6199999999999992</v>
      </c>
      <c r="D16" s="5">
        <v>0</v>
      </c>
      <c r="E16" s="70">
        <v>0</v>
      </c>
      <c r="F16" s="5">
        <v>0</v>
      </c>
      <c r="G16" s="5">
        <v>9.6199999999999992</v>
      </c>
      <c r="H16" s="5">
        <v>0</v>
      </c>
      <c r="I16" s="70">
        <v>0</v>
      </c>
      <c r="J16" s="5">
        <v>0</v>
      </c>
      <c r="K16" s="5">
        <v>44.880830000000003</v>
      </c>
      <c r="L16" s="5">
        <v>0</v>
      </c>
      <c r="M16" s="70">
        <v>0</v>
      </c>
      <c r="N16" s="5">
        <v>0</v>
      </c>
      <c r="O16" s="5">
        <f t="shared" si="0"/>
        <v>4.6653669438669443</v>
      </c>
      <c r="P16" s="5">
        <v>0</v>
      </c>
      <c r="Q16" s="5">
        <v>0</v>
      </c>
    </row>
    <row r="17" spans="1:17" x14ac:dyDescent="0.2">
      <c r="A17" s="62">
        <v>65</v>
      </c>
      <c r="B17" s="5">
        <v>0</v>
      </c>
      <c r="C17" s="5">
        <v>15.24</v>
      </c>
      <c r="D17" s="5">
        <v>0</v>
      </c>
      <c r="E17" s="70">
        <v>0</v>
      </c>
      <c r="F17" s="5">
        <v>0</v>
      </c>
      <c r="G17" s="5">
        <v>15.24</v>
      </c>
      <c r="H17" s="5">
        <v>0</v>
      </c>
      <c r="I17" s="70">
        <v>0</v>
      </c>
      <c r="J17" s="5">
        <v>0</v>
      </c>
      <c r="K17" s="5">
        <v>46.458579999999998</v>
      </c>
      <c r="L17" s="5">
        <v>0</v>
      </c>
      <c r="M17" s="70">
        <v>0</v>
      </c>
      <c r="N17" s="5">
        <v>0</v>
      </c>
      <c r="O17" s="5">
        <f t="shared" si="0"/>
        <v>3.0484632545931758</v>
      </c>
      <c r="P17" s="5">
        <v>0</v>
      </c>
      <c r="Q17" s="5">
        <v>0</v>
      </c>
    </row>
    <row r="18" spans="1:17" x14ac:dyDescent="0.2">
      <c r="A18" s="62">
        <v>66</v>
      </c>
      <c r="B18" s="5">
        <v>0</v>
      </c>
      <c r="C18" s="5">
        <v>15.24</v>
      </c>
      <c r="D18" s="5">
        <v>0</v>
      </c>
      <c r="E18" s="70">
        <v>0</v>
      </c>
      <c r="F18" s="5">
        <v>0</v>
      </c>
      <c r="G18" s="5">
        <v>15.24</v>
      </c>
      <c r="H18" s="5">
        <v>0</v>
      </c>
      <c r="I18" s="70">
        <v>0</v>
      </c>
      <c r="J18" s="5">
        <v>0</v>
      </c>
      <c r="K18" s="5">
        <v>46.458579999999998</v>
      </c>
      <c r="L18" s="5">
        <v>0</v>
      </c>
      <c r="M18" s="70">
        <v>0</v>
      </c>
      <c r="N18" s="5">
        <v>0</v>
      </c>
      <c r="O18" s="5">
        <f t="shared" si="0"/>
        <v>3.0484632545931758</v>
      </c>
      <c r="P18" s="5">
        <v>0</v>
      </c>
      <c r="Q18" s="5">
        <v>0</v>
      </c>
    </row>
    <row r="19" spans="1:17" x14ac:dyDescent="0.2">
      <c r="A19" s="62">
        <v>67</v>
      </c>
      <c r="B19" s="5">
        <v>0</v>
      </c>
      <c r="C19" s="5">
        <v>15.24</v>
      </c>
      <c r="D19" s="5">
        <v>0</v>
      </c>
      <c r="E19" s="70">
        <v>0</v>
      </c>
      <c r="F19" s="5">
        <v>0</v>
      </c>
      <c r="G19" s="5">
        <v>15.24</v>
      </c>
      <c r="H19" s="5">
        <v>0</v>
      </c>
      <c r="I19" s="70">
        <v>0</v>
      </c>
      <c r="J19" s="5">
        <v>0</v>
      </c>
      <c r="K19" s="5">
        <v>46.458579999999998</v>
      </c>
      <c r="L19" s="5">
        <v>0</v>
      </c>
      <c r="M19" s="70">
        <v>0</v>
      </c>
      <c r="N19" s="5">
        <v>0</v>
      </c>
      <c r="O19" s="5">
        <f t="shared" si="0"/>
        <v>3.0484632545931758</v>
      </c>
      <c r="P19" s="5">
        <v>0</v>
      </c>
      <c r="Q19" s="5">
        <v>0</v>
      </c>
    </row>
    <row r="20" spans="1:17" x14ac:dyDescent="0.2">
      <c r="A20" s="62">
        <v>68</v>
      </c>
      <c r="B20" s="5">
        <v>0</v>
      </c>
      <c r="C20" s="5">
        <v>15.24</v>
      </c>
      <c r="D20" s="5">
        <v>0</v>
      </c>
      <c r="E20" s="70">
        <v>0</v>
      </c>
      <c r="F20" s="5">
        <v>0</v>
      </c>
      <c r="G20" s="5">
        <v>15.24</v>
      </c>
      <c r="H20" s="5">
        <v>0</v>
      </c>
      <c r="I20" s="70">
        <v>0</v>
      </c>
      <c r="J20" s="5">
        <v>0</v>
      </c>
      <c r="K20" s="5">
        <v>46.458579999999998</v>
      </c>
      <c r="L20" s="5">
        <v>0</v>
      </c>
      <c r="M20" s="70">
        <v>0</v>
      </c>
      <c r="N20" s="5">
        <v>0</v>
      </c>
      <c r="O20" s="5">
        <f t="shared" si="0"/>
        <v>3.0484632545931758</v>
      </c>
      <c r="P20" s="5">
        <v>0</v>
      </c>
      <c r="Q20" s="5">
        <v>0</v>
      </c>
    </row>
    <row r="21" spans="1:17" x14ac:dyDescent="0.2">
      <c r="A21" s="62">
        <v>69</v>
      </c>
      <c r="B21" s="5">
        <v>0</v>
      </c>
      <c r="C21" s="5">
        <v>15.24</v>
      </c>
      <c r="D21" s="5">
        <v>0</v>
      </c>
      <c r="E21" s="70">
        <v>0</v>
      </c>
      <c r="F21" s="5">
        <v>0</v>
      </c>
      <c r="G21" s="5">
        <v>15.24</v>
      </c>
      <c r="H21" s="5">
        <v>0</v>
      </c>
      <c r="I21" s="70">
        <v>0</v>
      </c>
      <c r="J21" s="5">
        <v>0</v>
      </c>
      <c r="K21" s="5">
        <v>46.458579999999998</v>
      </c>
      <c r="L21" s="5">
        <v>0</v>
      </c>
      <c r="M21" s="70">
        <v>0</v>
      </c>
      <c r="N21" s="5">
        <v>0</v>
      </c>
      <c r="O21" s="5">
        <f t="shared" si="0"/>
        <v>3.0484632545931758</v>
      </c>
      <c r="P21" s="5">
        <v>0</v>
      </c>
      <c r="Q21" s="5">
        <v>0</v>
      </c>
    </row>
    <row r="22" spans="1:17" x14ac:dyDescent="0.2">
      <c r="A22" s="62">
        <v>70</v>
      </c>
      <c r="B22" s="5">
        <v>0</v>
      </c>
      <c r="C22" s="5">
        <v>23.26</v>
      </c>
      <c r="D22" s="5">
        <v>0</v>
      </c>
      <c r="E22" s="70">
        <v>0</v>
      </c>
      <c r="F22" s="5">
        <v>0</v>
      </c>
      <c r="G22" s="5">
        <v>23.26</v>
      </c>
      <c r="H22" s="5">
        <v>0</v>
      </c>
      <c r="I22" s="70">
        <v>0</v>
      </c>
      <c r="J22" s="5">
        <v>0</v>
      </c>
      <c r="K22" s="5">
        <v>63.064520000000002</v>
      </c>
      <c r="L22" s="5">
        <v>0</v>
      </c>
      <c r="M22" s="70">
        <v>0</v>
      </c>
      <c r="N22" s="5">
        <v>0</v>
      </c>
      <c r="O22" s="5">
        <f t="shared" si="0"/>
        <v>2.711286328460877</v>
      </c>
      <c r="P22" s="5">
        <v>0</v>
      </c>
      <c r="Q22" s="5">
        <v>0</v>
      </c>
    </row>
    <row r="23" spans="1:17" x14ac:dyDescent="0.2">
      <c r="A23" s="62">
        <v>71</v>
      </c>
      <c r="B23" s="5">
        <v>0</v>
      </c>
      <c r="C23" s="5">
        <v>23.26</v>
      </c>
      <c r="D23" s="5">
        <v>0</v>
      </c>
      <c r="E23" s="70">
        <v>0</v>
      </c>
      <c r="F23" s="5">
        <v>0</v>
      </c>
      <c r="G23" s="5">
        <v>23.26</v>
      </c>
      <c r="H23" s="5">
        <v>0</v>
      </c>
      <c r="I23" s="70">
        <v>0</v>
      </c>
      <c r="J23" s="5">
        <v>0</v>
      </c>
      <c r="K23" s="5">
        <v>63.064520000000002</v>
      </c>
      <c r="L23" s="5">
        <v>0</v>
      </c>
      <c r="M23" s="70">
        <v>0</v>
      </c>
      <c r="N23" s="5">
        <v>0</v>
      </c>
      <c r="O23" s="5">
        <f t="shared" si="0"/>
        <v>2.711286328460877</v>
      </c>
      <c r="P23" s="5">
        <v>0</v>
      </c>
      <c r="Q23" s="5">
        <v>0</v>
      </c>
    </row>
    <row r="24" spans="1:17" x14ac:dyDescent="0.2">
      <c r="A24" s="62">
        <v>72</v>
      </c>
      <c r="B24" s="5">
        <v>0</v>
      </c>
      <c r="C24" s="5">
        <v>23.26</v>
      </c>
      <c r="D24" s="5">
        <v>0</v>
      </c>
      <c r="E24" s="70">
        <v>0</v>
      </c>
      <c r="F24" s="5">
        <v>0</v>
      </c>
      <c r="G24" s="5">
        <v>23.26</v>
      </c>
      <c r="H24" s="5">
        <v>0</v>
      </c>
      <c r="I24" s="70">
        <v>0</v>
      </c>
      <c r="J24" s="5">
        <v>0</v>
      </c>
      <c r="K24" s="5">
        <v>63.064520000000002</v>
      </c>
      <c r="L24" s="5">
        <v>0</v>
      </c>
      <c r="M24" s="70">
        <v>0</v>
      </c>
      <c r="N24" s="5">
        <v>0</v>
      </c>
      <c r="O24" s="5">
        <f t="shared" si="0"/>
        <v>2.711286328460877</v>
      </c>
      <c r="P24" s="5">
        <v>0</v>
      </c>
      <c r="Q24" s="5">
        <v>0</v>
      </c>
    </row>
    <row r="25" spans="1:17" x14ac:dyDescent="0.2">
      <c r="A25" s="62">
        <v>73</v>
      </c>
      <c r="B25" s="5">
        <v>0</v>
      </c>
      <c r="C25" s="5">
        <v>23.26</v>
      </c>
      <c r="D25" s="5">
        <v>0</v>
      </c>
      <c r="E25" s="70">
        <v>0</v>
      </c>
      <c r="F25" s="5">
        <v>0</v>
      </c>
      <c r="G25" s="5">
        <v>23.26</v>
      </c>
      <c r="H25" s="5">
        <v>0</v>
      </c>
      <c r="I25" s="70">
        <v>0</v>
      </c>
      <c r="J25" s="5">
        <v>0</v>
      </c>
      <c r="K25" s="5">
        <v>63.064520000000002</v>
      </c>
      <c r="L25" s="5">
        <v>0</v>
      </c>
      <c r="M25" s="70">
        <v>0</v>
      </c>
      <c r="N25" s="5">
        <v>0</v>
      </c>
      <c r="O25" s="5">
        <f t="shared" si="0"/>
        <v>2.711286328460877</v>
      </c>
      <c r="P25" s="5">
        <v>0</v>
      </c>
      <c r="Q25" s="5">
        <v>0</v>
      </c>
    </row>
    <row r="26" spans="1:17" x14ac:dyDescent="0.2">
      <c r="A26" s="62">
        <v>74</v>
      </c>
      <c r="B26" s="5">
        <v>0</v>
      </c>
      <c r="C26" s="5">
        <v>23.26</v>
      </c>
      <c r="D26" s="5">
        <v>0</v>
      </c>
      <c r="E26" s="70">
        <v>0</v>
      </c>
      <c r="F26" s="5">
        <v>0</v>
      </c>
      <c r="G26" s="5">
        <v>23.26</v>
      </c>
      <c r="H26" s="5">
        <v>0</v>
      </c>
      <c r="I26" s="70">
        <v>0</v>
      </c>
      <c r="J26" s="5">
        <v>0</v>
      </c>
      <c r="K26" s="5">
        <v>63.064520000000002</v>
      </c>
      <c r="L26" s="5">
        <v>0</v>
      </c>
      <c r="M26" s="70">
        <v>0</v>
      </c>
      <c r="N26" s="5">
        <v>0</v>
      </c>
      <c r="O26" s="5">
        <f t="shared" si="0"/>
        <v>2.711286328460877</v>
      </c>
      <c r="P26" s="5">
        <v>0</v>
      </c>
      <c r="Q26" s="5">
        <v>0</v>
      </c>
    </row>
    <row r="27" spans="1:17" x14ac:dyDescent="0.2">
      <c r="A27" s="62">
        <v>75</v>
      </c>
      <c r="B27" s="5">
        <v>0</v>
      </c>
      <c r="C27" s="5">
        <v>30</v>
      </c>
      <c r="D27" s="5">
        <v>0</v>
      </c>
      <c r="E27" s="70">
        <v>0</v>
      </c>
      <c r="F27" s="5">
        <v>0</v>
      </c>
      <c r="G27" s="5">
        <v>30</v>
      </c>
      <c r="H27" s="5">
        <v>0</v>
      </c>
      <c r="I27" s="70">
        <v>0</v>
      </c>
      <c r="J27" s="5">
        <v>0</v>
      </c>
      <c r="K27" s="5">
        <v>60.711849999999998</v>
      </c>
      <c r="L27" s="5">
        <v>0</v>
      </c>
      <c r="M27" s="70">
        <v>0</v>
      </c>
      <c r="N27" s="5">
        <v>0</v>
      </c>
      <c r="O27" s="5">
        <f t="shared" si="0"/>
        <v>2.0237283333333331</v>
      </c>
      <c r="P27" s="5">
        <v>0</v>
      </c>
      <c r="Q27" s="5">
        <v>0</v>
      </c>
    </row>
    <row r="28" spans="1:17" x14ac:dyDescent="0.2">
      <c r="A28" s="62">
        <v>76</v>
      </c>
      <c r="B28" s="5">
        <v>0</v>
      </c>
      <c r="C28" s="5">
        <v>30</v>
      </c>
      <c r="D28" s="5">
        <v>0</v>
      </c>
      <c r="E28" s="70">
        <v>0</v>
      </c>
      <c r="F28" s="5">
        <v>0</v>
      </c>
      <c r="G28" s="5">
        <v>30</v>
      </c>
      <c r="H28" s="5">
        <v>0</v>
      </c>
      <c r="I28" s="70">
        <v>0</v>
      </c>
      <c r="J28" s="5">
        <v>0</v>
      </c>
      <c r="K28" s="5">
        <v>60.711849999999998</v>
      </c>
      <c r="L28" s="5">
        <v>0</v>
      </c>
      <c r="M28" s="70">
        <v>0</v>
      </c>
      <c r="N28" s="5">
        <v>0</v>
      </c>
      <c r="O28" s="5">
        <f t="shared" si="0"/>
        <v>2.0237283333333331</v>
      </c>
      <c r="P28" s="5">
        <v>0</v>
      </c>
      <c r="Q28" s="5">
        <v>0</v>
      </c>
    </row>
    <row r="29" spans="1:17" x14ac:dyDescent="0.2">
      <c r="A29" s="62">
        <v>77</v>
      </c>
      <c r="B29" s="5">
        <v>0</v>
      </c>
      <c r="C29" s="5">
        <v>30</v>
      </c>
      <c r="D29" s="5">
        <v>0</v>
      </c>
      <c r="E29" s="70">
        <v>0</v>
      </c>
      <c r="F29" s="5">
        <v>0</v>
      </c>
      <c r="G29" s="5">
        <v>30</v>
      </c>
      <c r="H29" s="5">
        <v>0</v>
      </c>
      <c r="I29" s="70">
        <v>0</v>
      </c>
      <c r="J29" s="5">
        <v>0</v>
      </c>
      <c r="K29" s="5">
        <v>60.711849999999998</v>
      </c>
      <c r="L29" s="5">
        <v>0</v>
      </c>
      <c r="M29" s="70">
        <v>0</v>
      </c>
      <c r="N29" s="5">
        <v>0</v>
      </c>
      <c r="O29" s="5">
        <f t="shared" si="0"/>
        <v>2.0237283333333331</v>
      </c>
      <c r="P29" s="5">
        <v>0</v>
      </c>
      <c r="Q29" s="5">
        <v>0</v>
      </c>
    </row>
    <row r="30" spans="1:17" x14ac:dyDescent="0.2">
      <c r="A30" s="62">
        <v>78</v>
      </c>
      <c r="B30" s="5">
        <v>0</v>
      </c>
      <c r="C30" s="5">
        <v>30</v>
      </c>
      <c r="D30" s="5">
        <v>0</v>
      </c>
      <c r="E30" s="70">
        <v>0</v>
      </c>
      <c r="F30" s="5">
        <v>0</v>
      </c>
      <c r="G30" s="5">
        <v>30</v>
      </c>
      <c r="H30" s="5">
        <v>0</v>
      </c>
      <c r="I30" s="70">
        <v>0</v>
      </c>
      <c r="J30" s="5">
        <v>0</v>
      </c>
      <c r="K30" s="5">
        <v>60.711849999999998</v>
      </c>
      <c r="L30" s="5">
        <v>0</v>
      </c>
      <c r="M30" s="70">
        <v>0</v>
      </c>
      <c r="N30" s="5">
        <v>0</v>
      </c>
      <c r="O30" s="5">
        <f t="shared" si="0"/>
        <v>2.0237283333333331</v>
      </c>
      <c r="P30" s="5">
        <v>0</v>
      </c>
      <c r="Q30" s="5">
        <v>0</v>
      </c>
    </row>
    <row r="31" spans="1:17" x14ac:dyDescent="0.2">
      <c r="A31" s="62">
        <v>79</v>
      </c>
      <c r="B31" s="5">
        <v>0</v>
      </c>
      <c r="C31" s="5">
        <v>30</v>
      </c>
      <c r="D31" s="5">
        <v>0</v>
      </c>
      <c r="E31" s="70">
        <v>0</v>
      </c>
      <c r="F31" s="5">
        <v>0</v>
      </c>
      <c r="G31" s="5">
        <v>30</v>
      </c>
      <c r="H31" s="5">
        <v>0</v>
      </c>
      <c r="I31" s="70">
        <v>0</v>
      </c>
      <c r="J31" s="5">
        <v>0</v>
      </c>
      <c r="K31" s="5">
        <v>60.711849999999998</v>
      </c>
      <c r="L31" s="5">
        <v>0</v>
      </c>
      <c r="M31" s="70">
        <v>0</v>
      </c>
      <c r="N31" s="5">
        <v>0</v>
      </c>
      <c r="O31" s="5">
        <f t="shared" si="0"/>
        <v>2.0237283333333331</v>
      </c>
      <c r="P31" s="5">
        <v>0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G36" s="95" t="s">
        <v>92</v>
      </c>
      <c r="H36" s="95" t="s">
        <v>93</v>
      </c>
      <c r="I36" s="95" t="s">
        <v>94</v>
      </c>
      <c r="J36" s="95" t="s">
        <v>91</v>
      </c>
      <c r="K36" s="95" t="s">
        <v>92</v>
      </c>
      <c r="L36" s="95" t="s">
        <v>93</v>
      </c>
      <c r="M36" s="95" t="s">
        <v>94</v>
      </c>
      <c r="N36" s="95" t="s">
        <v>91</v>
      </c>
      <c r="O36" s="95" t="s">
        <v>92</v>
      </c>
      <c r="P36" s="95" t="s">
        <v>93</v>
      </c>
      <c r="Q36" s="95" t="s">
        <v>94</v>
      </c>
    </row>
    <row r="37" spans="2:18" x14ac:dyDescent="0.2">
      <c r="B37" s="5"/>
      <c r="C37" s="5"/>
      <c r="D37" s="5"/>
      <c r="E37" s="5"/>
      <c r="F37" s="63" t="s">
        <v>91</v>
      </c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</row>
    <row r="38" spans="2:18" x14ac:dyDescent="0.2">
      <c r="B38" s="5"/>
      <c r="C38" s="5"/>
      <c r="D38" s="5"/>
      <c r="F38" s="95" t="s">
        <v>92</v>
      </c>
      <c r="G38" s="95" t="s">
        <v>93</v>
      </c>
      <c r="H38" s="95" t="s">
        <v>94</v>
      </c>
      <c r="I38" s="95" t="s">
        <v>91</v>
      </c>
      <c r="J38" s="95" t="s">
        <v>92</v>
      </c>
      <c r="K38" s="95" t="s">
        <v>93</v>
      </c>
      <c r="L38" s="95" t="s">
        <v>94</v>
      </c>
      <c r="M38" s="95" t="s">
        <v>91</v>
      </c>
      <c r="N38" s="95" t="s">
        <v>92</v>
      </c>
      <c r="O38" s="95" t="s">
        <v>93</v>
      </c>
      <c r="P38" s="95" t="s">
        <v>94</v>
      </c>
      <c r="R38" s="63"/>
    </row>
    <row r="39" spans="2:18" x14ac:dyDescent="0.2">
      <c r="B39" s="5"/>
      <c r="C39" s="5"/>
      <c r="D39" s="5"/>
      <c r="E39" s="63" t="s">
        <v>91</v>
      </c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R39" s="1"/>
    </row>
    <row r="40" spans="2:18" x14ac:dyDescent="0.2">
      <c r="B40" s="5"/>
      <c r="C40" s="5"/>
      <c r="D40" s="5"/>
      <c r="F40" s="95" t="s">
        <v>92</v>
      </c>
      <c r="G40" s="95" t="s">
        <v>93</v>
      </c>
      <c r="H40" s="95" t="s">
        <v>94</v>
      </c>
      <c r="I40" s="95" t="s">
        <v>91</v>
      </c>
      <c r="J40" s="95" t="s">
        <v>92</v>
      </c>
      <c r="K40" s="95" t="s">
        <v>93</v>
      </c>
      <c r="L40" s="95" t="s">
        <v>94</v>
      </c>
      <c r="M40" s="95" t="s">
        <v>91</v>
      </c>
      <c r="N40" s="95" t="s">
        <v>92</v>
      </c>
      <c r="O40" s="95" t="s">
        <v>93</v>
      </c>
      <c r="P40" s="95" t="s">
        <v>94</v>
      </c>
      <c r="R40" s="1"/>
    </row>
    <row r="41" spans="2:18" x14ac:dyDescent="0.2">
      <c r="B41" s="5"/>
      <c r="C41" s="5"/>
      <c r="D41" s="5"/>
      <c r="E41" s="63" t="s">
        <v>91</v>
      </c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R41" s="1"/>
    </row>
    <row r="42" spans="2:18" x14ac:dyDescent="0.2">
      <c r="B42" s="5"/>
      <c r="C42" s="5"/>
      <c r="D42" s="5"/>
      <c r="E42" s="63"/>
      <c r="F42" s="1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1"/>
    </row>
    <row r="43" spans="2:18" x14ac:dyDescent="0.2">
      <c r="B43" s="5"/>
      <c r="C43" s="5"/>
      <c r="D43" s="5"/>
      <c r="E43" s="64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4">
        <v>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4">
        <v>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4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4">
        <v>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4">
        <v>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4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4">
        <v>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4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4">
        <v>10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4">
        <v>11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4">
        <v>12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4">
        <v>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4">
        <v>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4">
        <v>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4">
        <v>16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4">
        <v>17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4">
        <v>18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4">
        <v>19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4">
        <v>20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4">
        <v>21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4">
        <v>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4">
        <v>23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4">
        <v>24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4">
        <v>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4">
        <v>26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4">
        <v>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8" x14ac:dyDescent="0.2">
      <c r="E70" s="64">
        <v>28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18" x14ac:dyDescent="0.2">
      <c r="E71" s="64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8" x14ac:dyDescent="0.2">
      <c r="E72" s="64">
        <v>30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33">
    <mergeCell ref="Q36:Q37"/>
    <mergeCell ref="F38:F39"/>
    <mergeCell ref="G38:G39"/>
    <mergeCell ref="H38:H39"/>
    <mergeCell ref="I38:I39"/>
    <mergeCell ref="J38:J39"/>
    <mergeCell ref="G36:G37"/>
    <mergeCell ref="H36:H37"/>
    <mergeCell ref="I36:I37"/>
    <mergeCell ref="J36:J37"/>
    <mergeCell ref="K36:K37"/>
    <mergeCell ref="L36:L37"/>
    <mergeCell ref="P38:P39"/>
    <mergeCell ref="M36:M37"/>
    <mergeCell ref="N36:N37"/>
    <mergeCell ref="O36:O37"/>
    <mergeCell ref="P36:P37"/>
    <mergeCell ref="K38:K39"/>
    <mergeCell ref="L38:L39"/>
    <mergeCell ref="M38:M39"/>
    <mergeCell ref="N38:N39"/>
    <mergeCell ref="O38:O39"/>
    <mergeCell ref="F40:F41"/>
    <mergeCell ref="G40:G41"/>
    <mergeCell ref="H40:H41"/>
    <mergeCell ref="I40:I41"/>
    <mergeCell ref="J40:J41"/>
    <mergeCell ref="P40:P41"/>
    <mergeCell ref="K40:K41"/>
    <mergeCell ref="L40:L41"/>
    <mergeCell ref="M40:M41"/>
    <mergeCell ref="N40:N41"/>
    <mergeCell ref="O40:O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Y85"/>
  <sheetViews>
    <sheetView topLeftCell="A33" workbookViewId="0">
      <selection activeCell="N67" sqref="N67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0</v>
      </c>
      <c r="H2" s="5">
        <v>22.487210000000001</v>
      </c>
      <c r="I2" s="70">
        <v>18.823340000000002</v>
      </c>
      <c r="J2" s="5">
        <v>0</v>
      </c>
      <c r="K2" s="5">
        <v>0</v>
      </c>
      <c r="L2" s="5">
        <v>42.215130000000002</v>
      </c>
      <c r="M2" s="70">
        <v>14.64728</v>
      </c>
      <c r="N2" s="5">
        <v>0</v>
      </c>
      <c r="O2" s="5">
        <v>0</v>
      </c>
      <c r="P2" s="5">
        <f t="shared" ref="P2:Q17" si="0">L2/H2</f>
        <v>1.8772951379917739</v>
      </c>
      <c r="Q2" s="5">
        <f t="shared" si="0"/>
        <v>0.778144580079837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0</v>
      </c>
      <c r="H3" s="5">
        <v>22.477450000000001</v>
      </c>
      <c r="I3" s="70">
        <v>18.822900000000001</v>
      </c>
      <c r="J3" s="5">
        <v>0</v>
      </c>
      <c r="K3" s="5">
        <v>0</v>
      </c>
      <c r="L3" s="5">
        <v>42.193660000000001</v>
      </c>
      <c r="M3" s="70">
        <v>14.64695</v>
      </c>
      <c r="N3" s="5">
        <v>0</v>
      </c>
      <c r="O3" s="5">
        <v>0</v>
      </c>
      <c r="P3" s="5">
        <f t="shared" si="0"/>
        <v>1.8771551043379031</v>
      </c>
      <c r="Q3" s="5">
        <f t="shared" si="0"/>
        <v>0.77814523798139501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0</v>
      </c>
      <c r="H4" s="5">
        <v>22.467680000000001</v>
      </c>
      <c r="I4" s="70">
        <v>18.82245</v>
      </c>
      <c r="J4" s="5">
        <v>0</v>
      </c>
      <c r="K4" s="5">
        <v>0</v>
      </c>
      <c r="L4" s="5">
        <v>42.172240000000002</v>
      </c>
      <c r="M4" s="70">
        <v>14.646610000000001</v>
      </c>
      <c r="N4" s="5">
        <v>0</v>
      </c>
      <c r="O4" s="5">
        <v>0</v>
      </c>
      <c r="P4" s="5">
        <f t="shared" si="0"/>
        <v>1.8770180098701779</v>
      </c>
      <c r="Q4" s="5">
        <f t="shared" si="0"/>
        <v>0.77814577804695995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0</v>
      </c>
      <c r="H5" s="5">
        <v>22.459499999999998</v>
      </c>
      <c r="I5" s="70">
        <v>18.822150000000001</v>
      </c>
      <c r="J5" s="5">
        <v>0</v>
      </c>
      <c r="K5" s="5">
        <v>0</v>
      </c>
      <c r="L5" s="5">
        <v>42.152740000000001</v>
      </c>
      <c r="M5" s="70">
        <v>14.64639</v>
      </c>
      <c r="N5" s="5">
        <v>0</v>
      </c>
      <c r="O5" s="5">
        <v>0</v>
      </c>
      <c r="P5" s="5">
        <f t="shared" si="0"/>
        <v>1.8768334112513638</v>
      </c>
      <c r="Q5" s="5">
        <f t="shared" si="0"/>
        <v>0.77814649229763866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0</v>
      </c>
      <c r="H6" s="5">
        <v>22.446470000000001</v>
      </c>
      <c r="I6" s="70">
        <v>18.821560000000002</v>
      </c>
      <c r="J6" s="5">
        <v>0</v>
      </c>
      <c r="K6" s="5">
        <v>0</v>
      </c>
      <c r="L6" s="5">
        <v>42.124119999999998</v>
      </c>
      <c r="M6" s="70">
        <v>14.645949999999999</v>
      </c>
      <c r="N6" s="5">
        <v>0</v>
      </c>
      <c r="O6" s="5">
        <v>0</v>
      </c>
      <c r="P6" s="5">
        <f t="shared" si="0"/>
        <v>1.8766478648981331</v>
      </c>
      <c r="Q6" s="5">
        <f t="shared" si="0"/>
        <v>0.77814750743296501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0</v>
      </c>
      <c r="H7" s="5">
        <v>45.414490000000001</v>
      </c>
      <c r="I7" s="70">
        <v>38.146360000000001</v>
      </c>
      <c r="J7" s="5">
        <v>0</v>
      </c>
      <c r="K7" s="5">
        <v>0</v>
      </c>
      <c r="L7" s="5">
        <v>73.005160000000004</v>
      </c>
      <c r="M7" s="70">
        <v>19.764489999999999</v>
      </c>
      <c r="N7" s="5">
        <v>0</v>
      </c>
      <c r="O7" s="5">
        <v>0</v>
      </c>
      <c r="P7" s="5">
        <f t="shared" si="0"/>
        <v>1.6075301076814912</v>
      </c>
      <c r="Q7" s="5">
        <f t="shared" si="0"/>
        <v>0.51812256791997968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0</v>
      </c>
      <c r="H8" s="5">
        <v>45.391210000000001</v>
      </c>
      <c r="I8" s="70">
        <v>38.145449999999997</v>
      </c>
      <c r="J8" s="5">
        <v>0</v>
      </c>
      <c r="K8" s="5">
        <v>0</v>
      </c>
      <c r="L8" s="5">
        <v>72.956580000000002</v>
      </c>
      <c r="M8" s="70">
        <v>19.764040000000001</v>
      </c>
      <c r="N8" s="5">
        <v>0</v>
      </c>
      <c r="O8" s="5">
        <v>0</v>
      </c>
      <c r="P8" s="5">
        <f t="shared" si="0"/>
        <v>1.6072843178227678</v>
      </c>
      <c r="Q8" s="5">
        <f t="shared" si="0"/>
        <v>0.51812313133021115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0</v>
      </c>
      <c r="H9" s="5">
        <v>45.358710000000002</v>
      </c>
      <c r="I9" s="70">
        <v>38.144129999999997</v>
      </c>
      <c r="J9" s="5">
        <v>0</v>
      </c>
      <c r="K9" s="5">
        <v>0</v>
      </c>
      <c r="L9" s="5">
        <v>72.890749999999997</v>
      </c>
      <c r="M9" s="70">
        <v>19.763380000000002</v>
      </c>
      <c r="N9" s="5">
        <v>0</v>
      </c>
      <c r="O9" s="5">
        <v>0</v>
      </c>
      <c r="P9" s="5">
        <f t="shared" si="0"/>
        <v>1.6069846342631877</v>
      </c>
      <c r="Q9" s="5">
        <f t="shared" si="0"/>
        <v>0.5181237584918047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0</v>
      </c>
      <c r="H10" s="5">
        <v>45.315840000000001</v>
      </c>
      <c r="I10" s="70">
        <v>38.142270000000003</v>
      </c>
      <c r="J10" s="5">
        <v>0</v>
      </c>
      <c r="K10" s="5">
        <v>0</v>
      </c>
      <c r="L10" s="5">
        <v>72.807419999999993</v>
      </c>
      <c r="M10" s="70">
        <v>19.762450000000001</v>
      </c>
      <c r="N10" s="5">
        <v>0</v>
      </c>
      <c r="O10" s="5">
        <v>0</v>
      </c>
      <c r="P10" s="5">
        <f t="shared" si="0"/>
        <v>1.6066660134734343</v>
      </c>
      <c r="Q10" s="5">
        <f t="shared" si="0"/>
        <v>0.51812464229318289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0</v>
      </c>
      <c r="H11" s="5">
        <v>45.266829999999999</v>
      </c>
      <c r="I11" s="70">
        <v>38.13993</v>
      </c>
      <c r="J11" s="5">
        <v>0</v>
      </c>
      <c r="K11" s="5">
        <v>0</v>
      </c>
      <c r="L11" s="5">
        <v>72.716049999999996</v>
      </c>
      <c r="M11" s="70">
        <v>19.761289999999999</v>
      </c>
      <c r="N11" s="5">
        <v>0</v>
      </c>
      <c r="O11" s="5">
        <v>0</v>
      </c>
      <c r="P11" s="5">
        <f t="shared" si="0"/>
        <v>1.6063870609008848</v>
      </c>
      <c r="Q11" s="5">
        <f t="shared" si="0"/>
        <v>0.51812601648718282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0</v>
      </c>
      <c r="H12" s="5">
        <v>82.747900000000001</v>
      </c>
      <c r="I12" s="70">
        <v>69.906109999999998</v>
      </c>
      <c r="J12" s="5">
        <v>0</v>
      </c>
      <c r="K12" s="5">
        <v>0</v>
      </c>
      <c r="L12" s="5">
        <v>127.69859</v>
      </c>
      <c r="M12" s="70">
        <v>33.296109999999999</v>
      </c>
      <c r="N12" s="5">
        <v>0</v>
      </c>
      <c r="O12" s="5">
        <v>0</v>
      </c>
      <c r="P12" s="5">
        <f t="shared" si="0"/>
        <v>1.5432245410457546</v>
      </c>
      <c r="Q12" s="5">
        <f t="shared" si="0"/>
        <v>0.47629756540594231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0</v>
      </c>
      <c r="H13" s="5">
        <v>82.668450000000007</v>
      </c>
      <c r="I13" s="70">
        <v>69.902670000000001</v>
      </c>
      <c r="J13" s="5">
        <v>0</v>
      </c>
      <c r="K13" s="5">
        <v>0</v>
      </c>
      <c r="L13" s="5">
        <v>127.54876</v>
      </c>
      <c r="M13" s="70">
        <v>33.294530000000002</v>
      </c>
      <c r="N13" s="5">
        <v>0</v>
      </c>
      <c r="O13" s="5">
        <v>0</v>
      </c>
      <c r="P13" s="5">
        <f t="shared" si="0"/>
        <v>1.5428952641545837</v>
      </c>
      <c r="Q13" s="5">
        <f t="shared" si="0"/>
        <v>0.47629840176348059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0</v>
      </c>
      <c r="H14" s="5">
        <v>82.576779999999999</v>
      </c>
      <c r="I14" s="70">
        <v>69.898589999999999</v>
      </c>
      <c r="J14" s="5">
        <v>0</v>
      </c>
      <c r="K14" s="5">
        <v>0</v>
      </c>
      <c r="L14" s="5">
        <v>127.37858</v>
      </c>
      <c r="M14" s="70">
        <v>33.292659999999998</v>
      </c>
      <c r="N14" s="5">
        <v>0</v>
      </c>
      <c r="O14" s="5">
        <v>0</v>
      </c>
      <c r="P14" s="5">
        <f t="shared" si="0"/>
        <v>1.5425471906267112</v>
      </c>
      <c r="Q14" s="5">
        <f t="shared" si="0"/>
        <v>0.47629945038948568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0</v>
      </c>
      <c r="H15" s="5">
        <v>82.480109999999996</v>
      </c>
      <c r="I15" s="70">
        <v>69.894289999999998</v>
      </c>
      <c r="J15" s="5">
        <v>0</v>
      </c>
      <c r="K15" s="5">
        <v>0</v>
      </c>
      <c r="L15" s="5">
        <v>127.19908</v>
      </c>
      <c r="M15" s="70">
        <v>33.290680000000002</v>
      </c>
      <c r="N15" s="5">
        <v>0</v>
      </c>
      <c r="O15" s="5">
        <v>0</v>
      </c>
      <c r="P15" s="5">
        <f t="shared" si="0"/>
        <v>1.542178835600486</v>
      </c>
      <c r="Q15" s="5">
        <f t="shared" si="0"/>
        <v>0.47630042454111776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0</v>
      </c>
      <c r="H16" s="5">
        <v>82.377309999999994</v>
      </c>
      <c r="I16" s="70">
        <v>69.889600000000002</v>
      </c>
      <c r="J16" s="5">
        <v>0</v>
      </c>
      <c r="K16" s="5">
        <v>0</v>
      </c>
      <c r="L16" s="5">
        <v>127.00921</v>
      </c>
      <c r="M16" s="70">
        <v>33.288530000000002</v>
      </c>
      <c r="N16" s="5">
        <v>0</v>
      </c>
      <c r="O16" s="5">
        <v>0</v>
      </c>
      <c r="P16" s="5">
        <f t="shared" si="0"/>
        <v>1.5417984636788942</v>
      </c>
      <c r="Q16" s="5">
        <f t="shared" si="0"/>
        <v>0.47630162427600103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0</v>
      </c>
      <c r="H17" s="5">
        <v>125.78363</v>
      </c>
      <c r="I17" s="70">
        <v>106.95685</v>
      </c>
      <c r="J17" s="5">
        <v>0</v>
      </c>
      <c r="K17" s="5">
        <v>0</v>
      </c>
      <c r="L17" s="5">
        <v>183.29244</v>
      </c>
      <c r="M17" s="70">
        <v>42.816000000000003</v>
      </c>
      <c r="N17" s="5">
        <v>0</v>
      </c>
      <c r="O17" s="5">
        <v>0</v>
      </c>
      <c r="P17" s="5">
        <f t="shared" si="0"/>
        <v>1.4572042482793668</v>
      </c>
      <c r="Q17" s="5">
        <f t="shared" si="0"/>
        <v>0.40031096652528569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0</v>
      </c>
      <c r="H18" s="5">
        <v>125.58687</v>
      </c>
      <c r="I18" s="70">
        <v>106.9481</v>
      </c>
      <c r="J18" s="5">
        <v>0</v>
      </c>
      <c r="K18" s="5">
        <v>0</v>
      </c>
      <c r="L18" s="5">
        <v>182.94502</v>
      </c>
      <c r="M18" s="70">
        <v>42.812620000000003</v>
      </c>
      <c r="N18" s="5">
        <v>0</v>
      </c>
      <c r="O18" s="5">
        <v>0</v>
      </c>
      <c r="P18" s="5">
        <f t="shared" ref="P18:P30" si="1">L18/H18</f>
        <v>1.4567209135795804</v>
      </c>
      <c r="Q18" s="5">
        <f t="shared" ref="Q18:Q30" si="2">M18/I18</f>
        <v>0.40031211400670047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0</v>
      </c>
      <c r="H19" s="5">
        <v>125.37381000000001</v>
      </c>
      <c r="I19" s="70">
        <v>106.93859</v>
      </c>
      <c r="J19" s="5">
        <v>0</v>
      </c>
      <c r="K19" s="5">
        <v>0</v>
      </c>
      <c r="L19" s="5">
        <v>182.57145</v>
      </c>
      <c r="M19" s="70">
        <v>42.808950000000003</v>
      </c>
      <c r="N19" s="5">
        <v>0</v>
      </c>
      <c r="O19" s="5">
        <v>0</v>
      </c>
      <c r="P19" s="5">
        <f t="shared" si="1"/>
        <v>1.4562168127458197</v>
      </c>
      <c r="Q19" s="5">
        <f t="shared" si="2"/>
        <v>0.40031339481846545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0</v>
      </c>
      <c r="H20" s="5">
        <v>125.14292</v>
      </c>
      <c r="I20" s="70">
        <v>106.92756</v>
      </c>
      <c r="J20" s="5">
        <v>0</v>
      </c>
      <c r="K20" s="5">
        <v>0</v>
      </c>
      <c r="L20" s="5">
        <v>182.17681999999999</v>
      </c>
      <c r="M20" s="70">
        <v>42.804699999999997</v>
      </c>
      <c r="N20" s="5">
        <v>0</v>
      </c>
      <c r="O20" s="5">
        <v>0</v>
      </c>
      <c r="P20" s="5">
        <f t="shared" si="1"/>
        <v>1.4557501135501711</v>
      </c>
      <c r="Q20" s="5">
        <f t="shared" si="2"/>
        <v>0.40031494219076913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0</v>
      </c>
      <c r="H21" s="5">
        <v>124.95355000000001</v>
      </c>
      <c r="I21" s="70">
        <v>106.91934000000001</v>
      </c>
      <c r="J21" s="5">
        <v>0</v>
      </c>
      <c r="K21" s="5">
        <v>0</v>
      </c>
      <c r="L21" s="5">
        <v>181.82944000000001</v>
      </c>
      <c r="M21" s="70">
        <v>42.80153</v>
      </c>
      <c r="N21" s="5">
        <v>0</v>
      </c>
      <c r="O21" s="5">
        <v>0</v>
      </c>
      <c r="P21" s="5">
        <f t="shared" si="1"/>
        <v>1.4551762634995165</v>
      </c>
      <c r="Q21" s="5">
        <f t="shared" si="2"/>
        <v>0.40031607003933989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0</v>
      </c>
      <c r="H22" s="5">
        <v>173.13871</v>
      </c>
      <c r="I22" s="70">
        <v>148.57849999999999</v>
      </c>
      <c r="J22" s="5">
        <v>0</v>
      </c>
      <c r="K22" s="5">
        <v>0</v>
      </c>
      <c r="L22" s="5">
        <v>247.41686000000001</v>
      </c>
      <c r="M22" s="70">
        <v>55.032710000000002</v>
      </c>
      <c r="N22" s="5">
        <v>0</v>
      </c>
      <c r="O22" s="5">
        <v>0</v>
      </c>
      <c r="P22" s="5">
        <f t="shared" si="1"/>
        <v>1.4290094918692648</v>
      </c>
      <c r="Q22" s="5">
        <f t="shared" si="2"/>
        <v>0.37039484178397281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0</v>
      </c>
      <c r="H23" s="5">
        <v>172.71156999999999</v>
      </c>
      <c r="I23" s="70">
        <v>148.56085999999999</v>
      </c>
      <c r="J23" s="5">
        <v>0</v>
      </c>
      <c r="K23" s="5">
        <v>0</v>
      </c>
      <c r="L23" s="5">
        <v>246.63146</v>
      </c>
      <c r="M23" s="70">
        <v>55.026409999999998</v>
      </c>
      <c r="N23" s="5">
        <v>0</v>
      </c>
      <c r="O23" s="5">
        <v>0</v>
      </c>
      <c r="P23" s="5">
        <f t="shared" si="1"/>
        <v>1.4279961672515629</v>
      </c>
      <c r="Q23" s="5">
        <f t="shared" si="2"/>
        <v>0.37039641531423556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0</v>
      </c>
      <c r="H24" s="5">
        <v>172.15047000000001</v>
      </c>
      <c r="I24" s="70">
        <v>148.53945999999999</v>
      </c>
      <c r="J24" s="5">
        <v>0</v>
      </c>
      <c r="K24" s="5">
        <v>0</v>
      </c>
      <c r="L24" s="5">
        <v>245.59280000000001</v>
      </c>
      <c r="M24" s="70">
        <v>55.018790000000003</v>
      </c>
      <c r="N24" s="5">
        <v>0</v>
      </c>
      <c r="O24" s="5">
        <v>0</v>
      </c>
      <c r="P24" s="5">
        <f t="shared" si="1"/>
        <v>1.4266170751668583</v>
      </c>
      <c r="Q24" s="5">
        <f t="shared" si="2"/>
        <v>0.37039847862648756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0</v>
      </c>
      <c r="H25" s="5">
        <v>171.22945000000001</v>
      </c>
      <c r="I25" s="70">
        <v>148.49457000000001</v>
      </c>
      <c r="J25" s="5">
        <v>0</v>
      </c>
      <c r="K25" s="5">
        <v>0</v>
      </c>
      <c r="L25" s="5">
        <v>244.08004</v>
      </c>
      <c r="M25" s="70">
        <v>55.002760000000002</v>
      </c>
      <c r="N25" s="5">
        <v>0</v>
      </c>
      <c r="O25" s="5">
        <v>0</v>
      </c>
      <c r="P25" s="5">
        <f t="shared" si="1"/>
        <v>1.4254559598246679</v>
      </c>
      <c r="Q25" s="5">
        <f t="shared" si="2"/>
        <v>0.37040250023957105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0</v>
      </c>
      <c r="H26" s="5">
        <v>170.50279</v>
      </c>
      <c r="I26" s="70">
        <v>148.46010000000001</v>
      </c>
      <c r="J26" s="5">
        <v>0</v>
      </c>
      <c r="K26" s="5">
        <v>0</v>
      </c>
      <c r="L26" s="5">
        <v>242.84451999999999</v>
      </c>
      <c r="M26" s="70">
        <v>54.990450000000003</v>
      </c>
      <c r="N26" s="5">
        <v>0</v>
      </c>
      <c r="O26" s="5">
        <v>0</v>
      </c>
      <c r="P26" s="5">
        <f t="shared" si="1"/>
        <v>1.4242847287132367</v>
      </c>
      <c r="Q26" s="5">
        <f t="shared" si="2"/>
        <v>0.3704055837224951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0</v>
      </c>
      <c r="H27" s="5">
        <v>208.14051000000001</v>
      </c>
      <c r="I27" s="70">
        <v>182.11832000000001</v>
      </c>
      <c r="J27" s="5">
        <v>0</v>
      </c>
      <c r="K27" s="5">
        <v>0</v>
      </c>
      <c r="L27" s="5">
        <v>276.82177000000001</v>
      </c>
      <c r="M27" s="70">
        <v>57.332329999999999</v>
      </c>
      <c r="N27" s="5">
        <v>0</v>
      </c>
      <c r="O27" s="5">
        <v>0</v>
      </c>
      <c r="P27" s="5">
        <f t="shared" si="1"/>
        <v>1.3299754574445888</v>
      </c>
      <c r="Q27" s="5">
        <f t="shared" si="2"/>
        <v>0.31480814231099868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0</v>
      </c>
      <c r="H28" s="5">
        <v>206.90698</v>
      </c>
      <c r="I28" s="70">
        <v>182.06419</v>
      </c>
      <c r="J28" s="5">
        <v>0</v>
      </c>
      <c r="K28" s="5">
        <v>0</v>
      </c>
      <c r="L28" s="5">
        <v>274.81011999999998</v>
      </c>
      <c r="M28" s="70">
        <v>57.315910000000002</v>
      </c>
      <c r="N28" s="5">
        <v>0</v>
      </c>
      <c r="O28" s="5">
        <v>0</v>
      </c>
      <c r="P28" s="5">
        <f t="shared" si="1"/>
        <v>1.3281819685348459</v>
      </c>
      <c r="Q28" s="5">
        <f t="shared" si="2"/>
        <v>0.31481155080524076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0</v>
      </c>
      <c r="H29" s="5">
        <v>205.40754000000001</v>
      </c>
      <c r="I29" s="70">
        <v>181.99331000000001</v>
      </c>
      <c r="J29" s="5">
        <v>0</v>
      </c>
      <c r="K29" s="5">
        <v>0</v>
      </c>
      <c r="L29" s="5">
        <v>272.46683000000002</v>
      </c>
      <c r="M29" s="70">
        <v>57.294400000000003</v>
      </c>
      <c r="N29" s="5">
        <v>0</v>
      </c>
      <c r="O29" s="5">
        <v>0</v>
      </c>
      <c r="P29" s="5">
        <f t="shared" si="1"/>
        <v>1.3264694665054653</v>
      </c>
      <c r="Q29" s="5">
        <f t="shared" si="2"/>
        <v>0.31481596768584513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0</v>
      </c>
      <c r="H30" s="5">
        <v>203.97559000000001</v>
      </c>
      <c r="I30" s="70">
        <v>181.92416</v>
      </c>
      <c r="J30" s="5">
        <v>0</v>
      </c>
      <c r="K30" s="5">
        <v>0</v>
      </c>
      <c r="L30" s="5">
        <v>270.23599999999999</v>
      </c>
      <c r="M30" s="70">
        <v>57.273409999999998</v>
      </c>
      <c r="N30" s="5">
        <v>0</v>
      </c>
      <c r="O30" s="5">
        <v>0</v>
      </c>
      <c r="P30" s="5">
        <f t="shared" si="1"/>
        <v>1.3248448012823495</v>
      </c>
      <c r="Q30" s="5">
        <f t="shared" si="2"/>
        <v>0.31482025257118129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0</v>
      </c>
      <c r="H31" s="5">
        <v>202.73445000000001</v>
      </c>
      <c r="I31" s="70">
        <v>181.86906999999999</v>
      </c>
      <c r="J31" s="5">
        <v>0</v>
      </c>
      <c r="K31" s="5">
        <v>0</v>
      </c>
      <c r="L31" s="5">
        <v>268.19002</v>
      </c>
      <c r="M31" s="70">
        <v>57.256700000000002</v>
      </c>
      <c r="N31" s="5">
        <v>0</v>
      </c>
      <c r="O31" s="5">
        <v>0</v>
      </c>
      <c r="P31" s="5">
        <f>L31/H31</f>
        <v>1.3228635784396781</v>
      </c>
      <c r="Q31" s="5">
        <f>M31/I31</f>
        <v>0.31482373555877313</v>
      </c>
    </row>
    <row r="32" spans="1:17" x14ac:dyDescent="0.2">
      <c r="A32" s="2"/>
      <c r="B32" s="6"/>
      <c r="C32" s="6"/>
      <c r="D32" s="6"/>
      <c r="E32" s="11"/>
      <c r="F32" s="8"/>
    </row>
    <row r="33" spans="2:25" x14ac:dyDescent="0.2">
      <c r="B33" s="5"/>
      <c r="C33" s="5"/>
      <c r="D33" s="5"/>
      <c r="E33" s="5"/>
      <c r="F33" s="5"/>
    </row>
    <row r="34" spans="2:25" x14ac:dyDescent="0.2">
      <c r="B34" s="5"/>
      <c r="C34" s="5"/>
      <c r="D34" s="5"/>
      <c r="E34" s="5"/>
      <c r="F34" s="5"/>
    </row>
    <row r="35" spans="2:25" x14ac:dyDescent="0.2">
      <c r="B35" s="5"/>
      <c r="C35" s="5"/>
      <c r="D35" s="5"/>
      <c r="E35" s="5"/>
      <c r="F35" s="5"/>
    </row>
    <row r="36" spans="2:25" x14ac:dyDescent="0.2">
      <c r="B36" s="5"/>
      <c r="C36" s="5"/>
      <c r="D36" s="5"/>
      <c r="E36" s="5"/>
      <c r="F36" s="5"/>
      <c r="N36" s="95" t="s">
        <v>92</v>
      </c>
      <c r="O36" s="95" t="s">
        <v>93</v>
      </c>
      <c r="P36" s="95" t="s">
        <v>94</v>
      </c>
      <c r="Q36" s="95" t="s">
        <v>91</v>
      </c>
      <c r="R36" s="95" t="s">
        <v>92</v>
      </c>
      <c r="S36" s="95" t="s">
        <v>93</v>
      </c>
      <c r="T36" s="95" t="s">
        <v>94</v>
      </c>
      <c r="U36" s="95" t="s">
        <v>91</v>
      </c>
      <c r="V36" s="95" t="s">
        <v>92</v>
      </c>
      <c r="W36" s="95" t="s">
        <v>93</v>
      </c>
      <c r="X36" s="95" t="s">
        <v>94</v>
      </c>
    </row>
    <row r="37" spans="2:25" x14ac:dyDescent="0.2">
      <c r="B37" s="5"/>
      <c r="C37" s="5"/>
      <c r="D37" s="5"/>
      <c r="E37" s="5"/>
      <c r="F37" s="5"/>
      <c r="M37" s="63" t="s">
        <v>91</v>
      </c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2:25" x14ac:dyDescent="0.2">
      <c r="B38" s="5"/>
      <c r="C38" s="5"/>
      <c r="D38" s="5"/>
      <c r="E38" s="5"/>
      <c r="F38" s="5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2:25" x14ac:dyDescent="0.2">
      <c r="B39" s="5"/>
      <c r="D39" s="95" t="s">
        <v>92</v>
      </c>
      <c r="E39" s="95" t="s">
        <v>93</v>
      </c>
      <c r="F39" s="95" t="s">
        <v>94</v>
      </c>
      <c r="G39" s="95" t="s">
        <v>91</v>
      </c>
      <c r="H39" s="95" t="s">
        <v>92</v>
      </c>
      <c r="I39" s="95" t="s">
        <v>93</v>
      </c>
      <c r="J39" s="95" t="s">
        <v>94</v>
      </c>
      <c r="K39" s="95" t="s">
        <v>91</v>
      </c>
      <c r="L39" s="95" t="s">
        <v>92</v>
      </c>
      <c r="M39" s="95" t="s">
        <v>93</v>
      </c>
      <c r="N39" s="95" t="s">
        <v>94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">
      <c r="B40" s="5"/>
      <c r="C40" s="63" t="s">
        <v>91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">
      <c r="B41" s="5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">
      <c r="B42" s="5"/>
      <c r="C42" s="64">
        <v>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">
      <c r="B43" s="5"/>
      <c r="C43" s="64">
        <v>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">
      <c r="B44" s="5"/>
      <c r="C44" s="64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">
      <c r="B45" s="5"/>
      <c r="C45" s="64">
        <v>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">
      <c r="B46" s="5"/>
      <c r="C46" s="64">
        <v>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2">
      <c r="B47" s="5"/>
      <c r="C47" s="64">
        <v>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2">
      <c r="B48" s="5"/>
      <c r="C48" s="64">
        <v>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2">
      <c r="B49" s="5"/>
      <c r="C49" s="64">
        <v>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2">
      <c r="B50" s="5"/>
      <c r="C50" s="64"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2">
      <c r="B51" s="5"/>
      <c r="C51" s="64">
        <v>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2">
      <c r="C52" s="64">
        <v>11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2">
      <c r="C53" s="64">
        <v>12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95" t="s">
        <v>94</v>
      </c>
      <c r="R53" s="1"/>
      <c r="S53" s="1"/>
      <c r="T53" s="1"/>
      <c r="U53" s="1"/>
      <c r="V53" s="1"/>
      <c r="W53" s="1"/>
      <c r="X53" s="1"/>
      <c r="Y53" s="1"/>
    </row>
    <row r="54" spans="2:25" x14ac:dyDescent="0.2">
      <c r="C54" s="64">
        <v>13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95"/>
      <c r="R54" s="1"/>
      <c r="S54" s="1"/>
      <c r="T54" s="1"/>
      <c r="U54" s="1"/>
      <c r="V54" s="1"/>
      <c r="W54" s="1"/>
      <c r="X54" s="1"/>
      <c r="Y54" s="1"/>
    </row>
    <row r="55" spans="2:25" x14ac:dyDescent="0.2">
      <c r="C55" s="64">
        <v>14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63"/>
      <c r="Q55" s="63"/>
      <c r="R55" s="1"/>
      <c r="S55" s="1"/>
      <c r="T55" s="1"/>
      <c r="U55" s="1"/>
      <c r="V55" s="1"/>
      <c r="W55" s="1"/>
      <c r="X55" s="1"/>
      <c r="Y55" s="1"/>
    </row>
    <row r="56" spans="2:25" x14ac:dyDescent="0.2">
      <c r="C56" s="64">
        <v>15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2">
      <c r="C57" s="64">
        <v>16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2">
      <c r="C58" s="64">
        <v>17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2">
      <c r="C59" s="64">
        <v>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2">
      <c r="C60" s="64">
        <v>19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2">
      <c r="C61" s="64">
        <v>20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2">
      <c r="C62" s="64">
        <v>21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2">
      <c r="C63" s="64">
        <v>22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2">
      <c r="C64" s="64">
        <v>23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3:25" x14ac:dyDescent="0.2">
      <c r="C65" s="64">
        <v>24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3:25" x14ac:dyDescent="0.2">
      <c r="C66" s="64">
        <v>25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3:25" x14ac:dyDescent="0.2">
      <c r="C67" s="64">
        <v>26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3:25" x14ac:dyDescent="0.2">
      <c r="C68" s="64">
        <v>27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3:25" x14ac:dyDescent="0.2">
      <c r="C69" s="64">
        <v>28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3:25" x14ac:dyDescent="0.2">
      <c r="C70" s="64">
        <v>29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3:25" x14ac:dyDescent="0.2">
      <c r="C71" s="64">
        <v>30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3:25" x14ac:dyDescent="0.2">
      <c r="E72" s="64">
        <v>17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3:25" x14ac:dyDescent="0.2">
      <c r="E73" s="64">
        <v>18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3:25" x14ac:dyDescent="0.2">
      <c r="E74" s="64">
        <v>19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3:25" x14ac:dyDescent="0.2">
      <c r="E75" s="64">
        <v>20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3:25" x14ac:dyDescent="0.2">
      <c r="E76" s="64">
        <v>21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3:25" x14ac:dyDescent="0.2">
      <c r="E77" s="64">
        <v>22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3:25" x14ac:dyDescent="0.2">
      <c r="E78" s="64">
        <v>23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3:25" x14ac:dyDescent="0.2">
      <c r="E79" s="64">
        <v>24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3:25" x14ac:dyDescent="0.2">
      <c r="E80" s="64">
        <v>25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5:17" x14ac:dyDescent="0.2">
      <c r="E81" s="64">
        <v>26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5:17" x14ac:dyDescent="0.2">
      <c r="E82" s="64">
        <v>27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5:17" x14ac:dyDescent="0.2">
      <c r="E83" s="64">
        <v>28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5:17" x14ac:dyDescent="0.2">
      <c r="E84" s="64">
        <v>29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5:17" x14ac:dyDescent="0.2">
      <c r="E85" s="64">
        <v>30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</sheetData>
  <mergeCells count="23">
    <mergeCell ref="N39:N40"/>
    <mergeCell ref="I39:I40"/>
    <mergeCell ref="J39:J40"/>
    <mergeCell ref="K39:K40"/>
    <mergeCell ref="L39:L40"/>
    <mergeCell ref="M39:M40"/>
    <mergeCell ref="D39:D40"/>
    <mergeCell ref="E39:E40"/>
    <mergeCell ref="F39:F40"/>
    <mergeCell ref="G39:G40"/>
    <mergeCell ref="H39:H40"/>
    <mergeCell ref="X36:X37"/>
    <mergeCell ref="S36:S37"/>
    <mergeCell ref="N36:N37"/>
    <mergeCell ref="O36:O37"/>
    <mergeCell ref="P36:P37"/>
    <mergeCell ref="Q36:Q37"/>
    <mergeCell ref="R36:R37"/>
    <mergeCell ref="P53:P54"/>
    <mergeCell ref="T36:T37"/>
    <mergeCell ref="U36:U37"/>
    <mergeCell ref="V36:V37"/>
    <mergeCell ref="W36:W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Q74"/>
  <sheetViews>
    <sheetView workbookViewId="0">
      <selection activeCell="C45" sqref="C45:O76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6.72</v>
      </c>
      <c r="E2" s="70">
        <v>0</v>
      </c>
      <c r="F2" s="5">
        <v>0</v>
      </c>
      <c r="G2" s="5">
        <v>0</v>
      </c>
      <c r="H2" s="5">
        <v>6.72</v>
      </c>
      <c r="I2" s="70">
        <v>0</v>
      </c>
      <c r="J2" s="5">
        <v>0</v>
      </c>
      <c r="K2" s="5">
        <v>0</v>
      </c>
      <c r="L2" s="5">
        <v>12.12323</v>
      </c>
      <c r="M2" s="70">
        <v>0</v>
      </c>
      <c r="N2" s="5">
        <v>0</v>
      </c>
      <c r="O2" s="5">
        <v>0</v>
      </c>
      <c r="P2" s="5">
        <f t="shared" ref="P2:P17" si="0">L2/H2</f>
        <v>1.8040520833333333</v>
      </c>
      <c r="Q2" s="5">
        <v>0</v>
      </c>
    </row>
    <row r="3" spans="1:17" x14ac:dyDescent="0.2">
      <c r="A3" s="62">
        <v>51</v>
      </c>
      <c r="B3" s="5">
        <v>0</v>
      </c>
      <c r="C3" s="5">
        <v>0</v>
      </c>
      <c r="D3" s="5">
        <v>6.72</v>
      </c>
      <c r="E3" s="70">
        <v>0</v>
      </c>
      <c r="F3" s="5">
        <v>0</v>
      </c>
      <c r="G3" s="5">
        <v>0</v>
      </c>
      <c r="H3" s="5">
        <v>6.72</v>
      </c>
      <c r="I3" s="70">
        <v>0</v>
      </c>
      <c r="J3" s="5">
        <v>0</v>
      </c>
      <c r="K3" s="5">
        <v>0</v>
      </c>
      <c r="L3" s="5">
        <v>12.12323</v>
      </c>
      <c r="M3" s="70">
        <v>0</v>
      </c>
      <c r="N3" s="5">
        <v>0</v>
      </c>
      <c r="O3" s="5">
        <v>0</v>
      </c>
      <c r="P3" s="5">
        <f t="shared" si="0"/>
        <v>1.8040520833333333</v>
      </c>
      <c r="Q3" s="5">
        <v>0</v>
      </c>
    </row>
    <row r="4" spans="1:17" x14ac:dyDescent="0.2">
      <c r="A4" s="62">
        <v>52</v>
      </c>
      <c r="B4" s="5">
        <v>0</v>
      </c>
      <c r="C4" s="5">
        <v>0</v>
      </c>
      <c r="D4" s="5">
        <v>6.72</v>
      </c>
      <c r="E4" s="70">
        <v>0</v>
      </c>
      <c r="F4" s="5">
        <v>0</v>
      </c>
      <c r="G4" s="5">
        <v>0</v>
      </c>
      <c r="H4" s="5">
        <v>6.72</v>
      </c>
      <c r="I4" s="70">
        <v>0</v>
      </c>
      <c r="J4" s="5">
        <v>0</v>
      </c>
      <c r="K4" s="5">
        <v>0</v>
      </c>
      <c r="L4" s="5">
        <v>12.12323</v>
      </c>
      <c r="M4" s="70">
        <v>0</v>
      </c>
      <c r="N4" s="5">
        <v>0</v>
      </c>
      <c r="O4" s="5">
        <v>0</v>
      </c>
      <c r="P4" s="5">
        <f t="shared" si="0"/>
        <v>1.8040520833333333</v>
      </c>
      <c r="Q4" s="5">
        <v>0</v>
      </c>
    </row>
    <row r="5" spans="1:17" x14ac:dyDescent="0.2">
      <c r="A5" s="62">
        <v>53</v>
      </c>
      <c r="B5" s="5">
        <v>0</v>
      </c>
      <c r="C5" s="5">
        <v>0</v>
      </c>
      <c r="D5" s="5">
        <v>6.72</v>
      </c>
      <c r="E5" s="70">
        <v>0</v>
      </c>
      <c r="F5" s="5">
        <v>0</v>
      </c>
      <c r="G5" s="5">
        <v>0</v>
      </c>
      <c r="H5" s="5">
        <v>6.72</v>
      </c>
      <c r="I5" s="70">
        <v>0</v>
      </c>
      <c r="J5" s="5">
        <v>0</v>
      </c>
      <c r="K5" s="5">
        <v>0</v>
      </c>
      <c r="L5" s="5">
        <v>12.12323</v>
      </c>
      <c r="M5" s="70">
        <v>0</v>
      </c>
      <c r="N5" s="5">
        <v>0</v>
      </c>
      <c r="O5" s="5">
        <v>0</v>
      </c>
      <c r="P5" s="5">
        <f t="shared" si="0"/>
        <v>1.8040520833333333</v>
      </c>
      <c r="Q5" s="5">
        <v>0</v>
      </c>
    </row>
    <row r="6" spans="1:17" x14ac:dyDescent="0.2">
      <c r="A6" s="62">
        <v>54</v>
      </c>
      <c r="B6" s="5">
        <v>0</v>
      </c>
      <c r="C6" s="5">
        <v>0</v>
      </c>
      <c r="D6" s="5">
        <v>6.72</v>
      </c>
      <c r="E6" s="70">
        <v>0</v>
      </c>
      <c r="F6" s="5">
        <v>0</v>
      </c>
      <c r="G6" s="5">
        <v>0</v>
      </c>
      <c r="H6" s="5">
        <v>6.72</v>
      </c>
      <c r="I6" s="70">
        <v>0</v>
      </c>
      <c r="J6" s="5">
        <v>0</v>
      </c>
      <c r="K6" s="5">
        <v>0</v>
      </c>
      <c r="L6" s="5">
        <v>12.12323</v>
      </c>
      <c r="M6" s="70">
        <v>0</v>
      </c>
      <c r="N6" s="5">
        <v>0</v>
      </c>
      <c r="O6" s="5">
        <v>0</v>
      </c>
      <c r="P6" s="5">
        <f t="shared" si="0"/>
        <v>1.8040520833333333</v>
      </c>
      <c r="Q6" s="5">
        <v>0</v>
      </c>
    </row>
    <row r="7" spans="1:17" x14ac:dyDescent="0.2">
      <c r="A7" s="62">
        <v>55</v>
      </c>
      <c r="B7" s="5">
        <v>0</v>
      </c>
      <c r="C7" s="5">
        <v>0</v>
      </c>
      <c r="D7" s="5">
        <v>14.49</v>
      </c>
      <c r="E7" s="70">
        <v>0</v>
      </c>
      <c r="F7" s="5">
        <v>0</v>
      </c>
      <c r="G7" s="5">
        <v>0</v>
      </c>
      <c r="H7" s="5">
        <v>14.49</v>
      </c>
      <c r="I7" s="70">
        <v>0</v>
      </c>
      <c r="J7" s="5">
        <v>0</v>
      </c>
      <c r="K7" s="5">
        <v>0</v>
      </c>
      <c r="L7" s="5">
        <v>21.858969999999999</v>
      </c>
      <c r="M7" s="70">
        <v>0</v>
      </c>
      <c r="N7" s="5">
        <v>0</v>
      </c>
      <c r="O7" s="5">
        <v>0</v>
      </c>
      <c r="P7" s="5">
        <f t="shared" si="0"/>
        <v>1.5085555555555554</v>
      </c>
      <c r="Q7" s="5">
        <v>0</v>
      </c>
    </row>
    <row r="8" spans="1:17" x14ac:dyDescent="0.2">
      <c r="A8" s="62">
        <v>56</v>
      </c>
      <c r="B8" s="5">
        <v>0</v>
      </c>
      <c r="C8" s="5">
        <v>0</v>
      </c>
      <c r="D8" s="5">
        <v>14.49</v>
      </c>
      <c r="E8" s="70">
        <v>0</v>
      </c>
      <c r="F8" s="5">
        <v>0</v>
      </c>
      <c r="G8" s="5">
        <v>0</v>
      </c>
      <c r="H8" s="5">
        <v>14.49</v>
      </c>
      <c r="I8" s="70">
        <v>0</v>
      </c>
      <c r="J8" s="5">
        <v>0</v>
      </c>
      <c r="K8" s="5">
        <v>0</v>
      </c>
      <c r="L8" s="5">
        <v>21.858969999999999</v>
      </c>
      <c r="M8" s="70">
        <v>0</v>
      </c>
      <c r="N8" s="5">
        <v>0</v>
      </c>
      <c r="O8" s="5">
        <v>0</v>
      </c>
      <c r="P8" s="5">
        <f t="shared" si="0"/>
        <v>1.5085555555555554</v>
      </c>
      <c r="Q8" s="5">
        <v>0</v>
      </c>
    </row>
    <row r="9" spans="1:17" x14ac:dyDescent="0.2">
      <c r="A9" s="62">
        <v>57</v>
      </c>
      <c r="B9" s="5">
        <v>0</v>
      </c>
      <c r="C9" s="5">
        <v>0</v>
      </c>
      <c r="D9" s="5">
        <v>14.49</v>
      </c>
      <c r="E9" s="70">
        <v>0</v>
      </c>
      <c r="F9" s="5">
        <v>0</v>
      </c>
      <c r="G9" s="5">
        <v>0</v>
      </c>
      <c r="H9" s="5">
        <v>14.49</v>
      </c>
      <c r="I9" s="70">
        <v>0</v>
      </c>
      <c r="J9" s="5">
        <v>0</v>
      </c>
      <c r="K9" s="5">
        <v>0</v>
      </c>
      <c r="L9" s="5">
        <v>21.858969999999999</v>
      </c>
      <c r="M9" s="70">
        <v>0</v>
      </c>
      <c r="N9" s="5">
        <v>0</v>
      </c>
      <c r="O9" s="5">
        <v>0</v>
      </c>
      <c r="P9" s="5">
        <f t="shared" si="0"/>
        <v>1.5085555555555554</v>
      </c>
      <c r="Q9" s="5">
        <v>0</v>
      </c>
    </row>
    <row r="10" spans="1:17" x14ac:dyDescent="0.2">
      <c r="A10" s="62">
        <v>58</v>
      </c>
      <c r="B10" s="5">
        <v>0</v>
      </c>
      <c r="C10" s="5">
        <v>0</v>
      </c>
      <c r="D10" s="5">
        <v>14.49</v>
      </c>
      <c r="E10" s="70">
        <v>0</v>
      </c>
      <c r="F10" s="5">
        <v>0</v>
      </c>
      <c r="G10" s="5">
        <v>0</v>
      </c>
      <c r="H10" s="5">
        <v>14.49</v>
      </c>
      <c r="I10" s="70">
        <v>0</v>
      </c>
      <c r="J10" s="5">
        <v>0</v>
      </c>
      <c r="K10" s="5">
        <v>0</v>
      </c>
      <c r="L10" s="5">
        <v>21.858969999999999</v>
      </c>
      <c r="M10" s="70">
        <v>0</v>
      </c>
      <c r="N10" s="5">
        <v>0</v>
      </c>
      <c r="O10" s="5">
        <v>0</v>
      </c>
      <c r="P10" s="5">
        <f t="shared" si="0"/>
        <v>1.5085555555555554</v>
      </c>
      <c r="Q10" s="5">
        <v>0</v>
      </c>
    </row>
    <row r="11" spans="1:17" x14ac:dyDescent="0.2">
      <c r="A11" s="62">
        <v>59</v>
      </c>
      <c r="B11" s="5">
        <v>0</v>
      </c>
      <c r="C11" s="5">
        <v>0</v>
      </c>
      <c r="D11" s="5">
        <v>14.49</v>
      </c>
      <c r="E11" s="70">
        <v>0</v>
      </c>
      <c r="F11" s="5">
        <v>0</v>
      </c>
      <c r="G11" s="5">
        <v>0</v>
      </c>
      <c r="H11" s="5">
        <v>14.49</v>
      </c>
      <c r="I11" s="70">
        <v>0</v>
      </c>
      <c r="J11" s="5">
        <v>0</v>
      </c>
      <c r="K11" s="5">
        <v>0</v>
      </c>
      <c r="L11" s="5">
        <v>21.858969999999999</v>
      </c>
      <c r="M11" s="70">
        <v>0</v>
      </c>
      <c r="N11" s="5">
        <v>0</v>
      </c>
      <c r="O11" s="5">
        <v>0</v>
      </c>
      <c r="P11" s="5">
        <f t="shared" si="0"/>
        <v>1.5085555555555554</v>
      </c>
      <c r="Q11" s="5">
        <v>0</v>
      </c>
    </row>
    <row r="12" spans="1:17" x14ac:dyDescent="0.2">
      <c r="A12" s="62">
        <v>60</v>
      </c>
      <c r="B12" s="5">
        <v>0</v>
      </c>
      <c r="C12" s="5">
        <v>0</v>
      </c>
      <c r="D12" s="5">
        <v>26.97</v>
      </c>
      <c r="E12" s="70">
        <v>0</v>
      </c>
      <c r="F12" s="5">
        <v>0</v>
      </c>
      <c r="G12" s="5">
        <v>0</v>
      </c>
      <c r="H12" s="5">
        <v>26.97</v>
      </c>
      <c r="I12" s="70">
        <v>0</v>
      </c>
      <c r="J12" s="5">
        <v>0</v>
      </c>
      <c r="K12" s="5">
        <v>0</v>
      </c>
      <c r="L12" s="5">
        <v>39.557960000000001</v>
      </c>
      <c r="M12" s="70">
        <v>0</v>
      </c>
      <c r="N12" s="5">
        <v>0</v>
      </c>
      <c r="O12" s="5">
        <v>0</v>
      </c>
      <c r="P12" s="5">
        <f t="shared" si="0"/>
        <v>1.4667393400074158</v>
      </c>
      <c r="Q12" s="5">
        <v>0</v>
      </c>
    </row>
    <row r="13" spans="1:17" x14ac:dyDescent="0.2">
      <c r="A13" s="62">
        <v>61</v>
      </c>
      <c r="B13" s="5">
        <v>0</v>
      </c>
      <c r="C13" s="5">
        <v>0</v>
      </c>
      <c r="D13" s="5">
        <v>26.97</v>
      </c>
      <c r="E13" s="70">
        <v>0</v>
      </c>
      <c r="F13" s="5">
        <v>0</v>
      </c>
      <c r="G13" s="5">
        <v>0</v>
      </c>
      <c r="H13" s="5">
        <v>26.97</v>
      </c>
      <c r="I13" s="70">
        <v>0</v>
      </c>
      <c r="J13" s="5">
        <v>0</v>
      </c>
      <c r="K13" s="5">
        <v>0</v>
      </c>
      <c r="L13" s="5">
        <v>39.557960000000001</v>
      </c>
      <c r="M13" s="70">
        <v>0</v>
      </c>
      <c r="N13" s="5">
        <v>0</v>
      </c>
      <c r="O13" s="5">
        <v>0</v>
      </c>
      <c r="P13" s="5">
        <f t="shared" si="0"/>
        <v>1.4667393400074158</v>
      </c>
      <c r="Q13" s="5">
        <v>0</v>
      </c>
    </row>
    <row r="14" spans="1:17" x14ac:dyDescent="0.2">
      <c r="A14" s="62">
        <v>62</v>
      </c>
      <c r="B14" s="5">
        <v>0</v>
      </c>
      <c r="C14" s="5">
        <v>0</v>
      </c>
      <c r="D14" s="5">
        <v>26.97</v>
      </c>
      <c r="E14" s="70">
        <v>0</v>
      </c>
      <c r="F14" s="5">
        <v>0</v>
      </c>
      <c r="G14" s="5">
        <v>0</v>
      </c>
      <c r="H14" s="5">
        <v>26.97</v>
      </c>
      <c r="I14" s="70">
        <v>0</v>
      </c>
      <c r="J14" s="5">
        <v>0</v>
      </c>
      <c r="K14" s="5">
        <v>0</v>
      </c>
      <c r="L14" s="5">
        <v>39.557960000000001</v>
      </c>
      <c r="M14" s="70">
        <v>0</v>
      </c>
      <c r="N14" s="5">
        <v>0</v>
      </c>
      <c r="O14" s="5">
        <v>0</v>
      </c>
      <c r="P14" s="5">
        <f t="shared" si="0"/>
        <v>1.4667393400074158</v>
      </c>
      <c r="Q14" s="5">
        <v>0</v>
      </c>
    </row>
    <row r="15" spans="1:17" x14ac:dyDescent="0.2">
      <c r="A15" s="62">
        <v>63</v>
      </c>
      <c r="B15" s="5">
        <v>0</v>
      </c>
      <c r="C15" s="5">
        <v>0</v>
      </c>
      <c r="D15" s="5">
        <v>26.97</v>
      </c>
      <c r="E15" s="70">
        <v>0</v>
      </c>
      <c r="F15" s="5">
        <v>0</v>
      </c>
      <c r="G15" s="5">
        <v>0</v>
      </c>
      <c r="H15" s="5">
        <v>26.97</v>
      </c>
      <c r="I15" s="70">
        <v>0</v>
      </c>
      <c r="J15" s="5">
        <v>0</v>
      </c>
      <c r="K15" s="5">
        <v>0</v>
      </c>
      <c r="L15" s="5">
        <v>39.557960000000001</v>
      </c>
      <c r="M15" s="70">
        <v>0</v>
      </c>
      <c r="N15" s="5">
        <v>0</v>
      </c>
      <c r="O15" s="5">
        <v>0</v>
      </c>
      <c r="P15" s="5">
        <f t="shared" si="0"/>
        <v>1.4667393400074158</v>
      </c>
      <c r="Q15" s="5">
        <v>0</v>
      </c>
    </row>
    <row r="16" spans="1:17" x14ac:dyDescent="0.2">
      <c r="A16" s="62">
        <v>64</v>
      </c>
      <c r="B16" s="5">
        <v>0</v>
      </c>
      <c r="C16" s="5">
        <v>0</v>
      </c>
      <c r="D16" s="5">
        <v>26.97</v>
      </c>
      <c r="E16" s="70">
        <v>0</v>
      </c>
      <c r="F16" s="5">
        <v>0</v>
      </c>
      <c r="G16" s="5">
        <v>0</v>
      </c>
      <c r="H16" s="5">
        <v>26.97</v>
      </c>
      <c r="I16" s="70">
        <v>0</v>
      </c>
      <c r="J16" s="5">
        <v>0</v>
      </c>
      <c r="K16" s="5">
        <v>0</v>
      </c>
      <c r="L16" s="5">
        <v>39.557960000000001</v>
      </c>
      <c r="M16" s="70">
        <v>0</v>
      </c>
      <c r="N16" s="5">
        <v>0</v>
      </c>
      <c r="O16" s="5">
        <v>0</v>
      </c>
      <c r="P16" s="5">
        <f t="shared" si="0"/>
        <v>1.4667393400074158</v>
      </c>
      <c r="Q16" s="5">
        <v>0</v>
      </c>
    </row>
    <row r="17" spans="1:17" x14ac:dyDescent="0.2">
      <c r="A17" s="62">
        <v>65</v>
      </c>
      <c r="B17" s="5">
        <v>0</v>
      </c>
      <c r="C17" s="5">
        <v>0</v>
      </c>
      <c r="D17" s="5">
        <v>41.37</v>
      </c>
      <c r="E17" s="70">
        <v>0</v>
      </c>
      <c r="F17" s="5">
        <v>0</v>
      </c>
      <c r="G17" s="5">
        <v>0</v>
      </c>
      <c r="H17" s="5">
        <v>41.37</v>
      </c>
      <c r="I17" s="70">
        <v>0</v>
      </c>
      <c r="J17" s="5">
        <v>0</v>
      </c>
      <c r="K17" s="5">
        <v>0</v>
      </c>
      <c r="L17" s="5">
        <v>53.461730000000003</v>
      </c>
      <c r="M17" s="70">
        <v>0</v>
      </c>
      <c r="N17" s="5">
        <v>0</v>
      </c>
      <c r="O17" s="5">
        <v>0</v>
      </c>
      <c r="P17" s="5">
        <f t="shared" si="0"/>
        <v>1.2922825719120137</v>
      </c>
      <c r="Q17" s="5">
        <v>0</v>
      </c>
    </row>
    <row r="18" spans="1:17" x14ac:dyDescent="0.2">
      <c r="A18" s="62">
        <v>66</v>
      </c>
      <c r="B18" s="5">
        <v>0</v>
      </c>
      <c r="C18" s="5">
        <v>0</v>
      </c>
      <c r="D18" s="5">
        <v>41.37</v>
      </c>
      <c r="E18" s="70">
        <v>0</v>
      </c>
      <c r="F18" s="5">
        <v>0</v>
      </c>
      <c r="G18" s="5">
        <v>0</v>
      </c>
      <c r="H18" s="5">
        <v>41.37</v>
      </c>
      <c r="I18" s="70">
        <v>0</v>
      </c>
      <c r="J18" s="5">
        <v>0</v>
      </c>
      <c r="K18" s="5">
        <v>0</v>
      </c>
      <c r="L18" s="5">
        <v>53.461730000000003</v>
      </c>
      <c r="M18" s="70">
        <v>0</v>
      </c>
      <c r="N18" s="5">
        <v>0</v>
      </c>
      <c r="O18" s="5">
        <v>0</v>
      </c>
      <c r="P18" s="5">
        <f t="shared" ref="P18:P31" si="1">L18/H18</f>
        <v>1.2922825719120137</v>
      </c>
      <c r="Q18" s="5">
        <v>0</v>
      </c>
    </row>
    <row r="19" spans="1:17" x14ac:dyDescent="0.2">
      <c r="A19" s="62">
        <v>67</v>
      </c>
      <c r="B19" s="5">
        <v>0</v>
      </c>
      <c r="C19" s="5">
        <v>0</v>
      </c>
      <c r="D19" s="5">
        <v>41.37</v>
      </c>
      <c r="E19" s="70">
        <v>0</v>
      </c>
      <c r="F19" s="5">
        <v>0</v>
      </c>
      <c r="G19" s="5">
        <v>0</v>
      </c>
      <c r="H19" s="5">
        <v>41.37</v>
      </c>
      <c r="I19" s="70">
        <v>0</v>
      </c>
      <c r="J19" s="5">
        <v>0</v>
      </c>
      <c r="K19" s="5">
        <v>0</v>
      </c>
      <c r="L19" s="5">
        <v>53.461730000000003</v>
      </c>
      <c r="M19" s="70">
        <v>0</v>
      </c>
      <c r="N19" s="5">
        <v>0</v>
      </c>
      <c r="O19" s="5">
        <v>0</v>
      </c>
      <c r="P19" s="5">
        <f t="shared" si="1"/>
        <v>1.2922825719120137</v>
      </c>
      <c r="Q19" s="5">
        <v>0</v>
      </c>
    </row>
    <row r="20" spans="1:17" x14ac:dyDescent="0.2">
      <c r="A20" s="62">
        <v>68</v>
      </c>
      <c r="B20" s="5">
        <v>0</v>
      </c>
      <c r="C20" s="5">
        <v>0</v>
      </c>
      <c r="D20" s="5">
        <v>41.37</v>
      </c>
      <c r="E20" s="70">
        <v>0</v>
      </c>
      <c r="F20" s="5">
        <v>0</v>
      </c>
      <c r="G20" s="5">
        <v>0</v>
      </c>
      <c r="H20" s="5">
        <v>41.37</v>
      </c>
      <c r="I20" s="70">
        <v>0</v>
      </c>
      <c r="J20" s="5">
        <v>0</v>
      </c>
      <c r="K20" s="5">
        <v>0</v>
      </c>
      <c r="L20" s="5">
        <v>53.461730000000003</v>
      </c>
      <c r="M20" s="70">
        <v>0</v>
      </c>
      <c r="N20" s="5">
        <v>0</v>
      </c>
      <c r="O20" s="5">
        <v>0</v>
      </c>
      <c r="P20" s="5">
        <f t="shared" si="1"/>
        <v>1.2922825719120137</v>
      </c>
      <c r="Q20" s="5">
        <v>0</v>
      </c>
    </row>
    <row r="21" spans="1:17" x14ac:dyDescent="0.2">
      <c r="A21" s="62">
        <v>69</v>
      </c>
      <c r="B21" s="5">
        <v>0</v>
      </c>
      <c r="C21" s="5">
        <v>0</v>
      </c>
      <c r="D21" s="5">
        <v>41.37</v>
      </c>
      <c r="E21" s="70">
        <v>0</v>
      </c>
      <c r="F21" s="5">
        <v>0</v>
      </c>
      <c r="G21" s="5">
        <v>0</v>
      </c>
      <c r="H21" s="5">
        <v>41.37</v>
      </c>
      <c r="I21" s="70">
        <v>0</v>
      </c>
      <c r="J21" s="5">
        <v>0</v>
      </c>
      <c r="K21" s="5">
        <v>0</v>
      </c>
      <c r="L21" s="5">
        <v>53.461730000000003</v>
      </c>
      <c r="M21" s="70">
        <v>0</v>
      </c>
      <c r="N21" s="5">
        <v>0</v>
      </c>
      <c r="O21" s="5">
        <v>0</v>
      </c>
      <c r="P21" s="5">
        <f t="shared" si="1"/>
        <v>1.2922825719120137</v>
      </c>
      <c r="Q21" s="5">
        <v>0</v>
      </c>
    </row>
    <row r="22" spans="1:17" x14ac:dyDescent="0.2">
      <c r="A22" s="62">
        <v>70</v>
      </c>
      <c r="B22" s="5">
        <v>0</v>
      </c>
      <c r="C22" s="5">
        <v>0</v>
      </c>
      <c r="D22" s="5">
        <v>58.42</v>
      </c>
      <c r="E22" s="70">
        <v>0</v>
      </c>
      <c r="F22" s="5">
        <v>0</v>
      </c>
      <c r="G22" s="5">
        <v>0</v>
      </c>
      <c r="H22" s="5">
        <v>58.42</v>
      </c>
      <c r="I22" s="70">
        <v>0</v>
      </c>
      <c r="J22" s="5">
        <v>0</v>
      </c>
      <c r="K22" s="5">
        <v>0</v>
      </c>
      <c r="L22" s="5">
        <v>64.999409999999997</v>
      </c>
      <c r="M22" s="70">
        <v>0</v>
      </c>
      <c r="N22" s="5">
        <v>0</v>
      </c>
      <c r="O22" s="5">
        <v>0</v>
      </c>
      <c r="P22" s="5">
        <f t="shared" si="1"/>
        <v>1.1126225607668605</v>
      </c>
      <c r="Q22" s="5">
        <v>0</v>
      </c>
    </row>
    <row r="23" spans="1:17" x14ac:dyDescent="0.2">
      <c r="A23" s="62">
        <v>71</v>
      </c>
      <c r="B23" s="5">
        <v>0</v>
      </c>
      <c r="C23" s="5">
        <v>0</v>
      </c>
      <c r="D23" s="5">
        <v>58.42</v>
      </c>
      <c r="E23" s="70">
        <v>0</v>
      </c>
      <c r="F23" s="5">
        <v>0</v>
      </c>
      <c r="G23" s="5">
        <v>0</v>
      </c>
      <c r="H23" s="5">
        <v>58.42</v>
      </c>
      <c r="I23" s="70">
        <v>0</v>
      </c>
      <c r="J23" s="5">
        <v>0</v>
      </c>
      <c r="K23" s="5">
        <v>0</v>
      </c>
      <c r="L23" s="5">
        <v>64.999409999999997</v>
      </c>
      <c r="M23" s="70">
        <v>0</v>
      </c>
      <c r="N23" s="5">
        <v>0</v>
      </c>
      <c r="O23" s="5">
        <v>0</v>
      </c>
      <c r="P23" s="5">
        <f t="shared" si="1"/>
        <v>1.1126225607668605</v>
      </c>
      <c r="Q23" s="5">
        <v>0</v>
      </c>
    </row>
    <row r="24" spans="1:17" x14ac:dyDescent="0.2">
      <c r="A24" s="62">
        <v>72</v>
      </c>
      <c r="B24" s="5">
        <v>0</v>
      </c>
      <c r="C24" s="5">
        <v>0</v>
      </c>
      <c r="D24" s="5">
        <v>58.42</v>
      </c>
      <c r="E24" s="70">
        <v>0</v>
      </c>
      <c r="F24" s="5">
        <v>0</v>
      </c>
      <c r="G24" s="5">
        <v>0</v>
      </c>
      <c r="H24" s="5">
        <v>58.42</v>
      </c>
      <c r="I24" s="70">
        <v>0</v>
      </c>
      <c r="J24" s="5">
        <v>0</v>
      </c>
      <c r="K24" s="5">
        <v>0</v>
      </c>
      <c r="L24" s="5">
        <v>64.999409999999997</v>
      </c>
      <c r="M24" s="70">
        <v>0</v>
      </c>
      <c r="N24" s="5">
        <v>0</v>
      </c>
      <c r="O24" s="5">
        <v>0</v>
      </c>
      <c r="P24" s="5">
        <f t="shared" si="1"/>
        <v>1.1126225607668605</v>
      </c>
      <c r="Q24" s="5">
        <v>0</v>
      </c>
    </row>
    <row r="25" spans="1:17" x14ac:dyDescent="0.2">
      <c r="A25" s="62">
        <v>73</v>
      </c>
      <c r="B25" s="5">
        <v>0</v>
      </c>
      <c r="C25" s="5">
        <v>0</v>
      </c>
      <c r="D25" s="5">
        <v>58.42</v>
      </c>
      <c r="E25" s="70">
        <v>0</v>
      </c>
      <c r="F25" s="5">
        <v>0</v>
      </c>
      <c r="G25" s="5">
        <v>0</v>
      </c>
      <c r="H25" s="5">
        <v>58.42</v>
      </c>
      <c r="I25" s="70">
        <v>0</v>
      </c>
      <c r="J25" s="5">
        <v>0</v>
      </c>
      <c r="K25" s="5">
        <v>0</v>
      </c>
      <c r="L25" s="5">
        <v>64.999409999999997</v>
      </c>
      <c r="M25" s="70">
        <v>0</v>
      </c>
      <c r="N25" s="5">
        <v>0</v>
      </c>
      <c r="O25" s="5">
        <v>0</v>
      </c>
      <c r="P25" s="5">
        <f t="shared" si="1"/>
        <v>1.1126225607668605</v>
      </c>
      <c r="Q25" s="5">
        <v>0</v>
      </c>
    </row>
    <row r="26" spans="1:17" x14ac:dyDescent="0.2">
      <c r="A26" s="62">
        <v>74</v>
      </c>
      <c r="B26" s="5">
        <v>0</v>
      </c>
      <c r="C26" s="5">
        <v>0</v>
      </c>
      <c r="D26" s="5">
        <v>58.42</v>
      </c>
      <c r="E26" s="70">
        <v>0</v>
      </c>
      <c r="F26" s="5">
        <v>0</v>
      </c>
      <c r="G26" s="5">
        <v>0</v>
      </c>
      <c r="H26" s="5">
        <v>58.42</v>
      </c>
      <c r="I26" s="70">
        <v>0</v>
      </c>
      <c r="J26" s="5">
        <v>0</v>
      </c>
      <c r="K26" s="5">
        <v>0</v>
      </c>
      <c r="L26" s="5">
        <v>64.999409999999997</v>
      </c>
      <c r="M26" s="70">
        <v>0</v>
      </c>
      <c r="N26" s="5">
        <v>0</v>
      </c>
      <c r="O26" s="5">
        <v>0</v>
      </c>
      <c r="P26" s="5">
        <f t="shared" si="1"/>
        <v>1.1126225607668605</v>
      </c>
      <c r="Q26" s="5">
        <v>0</v>
      </c>
    </row>
    <row r="27" spans="1:17" x14ac:dyDescent="0.2">
      <c r="A27" s="62">
        <v>75</v>
      </c>
      <c r="B27" s="5">
        <v>0</v>
      </c>
      <c r="C27" s="5">
        <v>0</v>
      </c>
      <c r="D27" s="5">
        <v>73.28</v>
      </c>
      <c r="E27" s="70">
        <v>0</v>
      </c>
      <c r="F27" s="5">
        <v>0</v>
      </c>
      <c r="G27" s="5">
        <v>0</v>
      </c>
      <c r="H27" s="5">
        <v>73.28</v>
      </c>
      <c r="I27" s="70">
        <v>0</v>
      </c>
      <c r="J27" s="5">
        <v>0</v>
      </c>
      <c r="K27" s="5">
        <v>0</v>
      </c>
      <c r="L27" s="5">
        <v>70.701120000000003</v>
      </c>
      <c r="M27" s="70">
        <v>0</v>
      </c>
      <c r="N27" s="5">
        <v>0</v>
      </c>
      <c r="O27" s="5">
        <v>0</v>
      </c>
      <c r="P27" s="5">
        <f t="shared" si="1"/>
        <v>0.96480786026200871</v>
      </c>
      <c r="Q27" s="5">
        <v>0</v>
      </c>
    </row>
    <row r="28" spans="1:17" x14ac:dyDescent="0.2">
      <c r="A28" s="62">
        <v>76</v>
      </c>
      <c r="B28" s="5">
        <v>0</v>
      </c>
      <c r="C28" s="5">
        <v>0</v>
      </c>
      <c r="D28" s="5">
        <v>73.28</v>
      </c>
      <c r="E28" s="70">
        <v>0</v>
      </c>
      <c r="F28" s="5">
        <v>0</v>
      </c>
      <c r="G28" s="5">
        <v>0</v>
      </c>
      <c r="H28" s="5">
        <v>73.28</v>
      </c>
      <c r="I28" s="70">
        <v>0</v>
      </c>
      <c r="J28" s="5">
        <v>0</v>
      </c>
      <c r="K28" s="5">
        <v>0</v>
      </c>
      <c r="L28" s="5">
        <v>70.701120000000003</v>
      </c>
      <c r="M28" s="70">
        <v>0</v>
      </c>
      <c r="N28" s="5">
        <v>0</v>
      </c>
      <c r="O28" s="5">
        <v>0</v>
      </c>
      <c r="P28" s="5">
        <f t="shared" si="1"/>
        <v>0.96480786026200871</v>
      </c>
      <c r="Q28" s="5">
        <v>0</v>
      </c>
    </row>
    <row r="29" spans="1:17" x14ac:dyDescent="0.2">
      <c r="A29" s="62">
        <v>77</v>
      </c>
      <c r="B29" s="5">
        <v>0</v>
      </c>
      <c r="C29" s="5">
        <v>0</v>
      </c>
      <c r="D29" s="5">
        <v>73.28</v>
      </c>
      <c r="E29" s="70">
        <v>0</v>
      </c>
      <c r="F29" s="5">
        <v>0</v>
      </c>
      <c r="G29" s="5">
        <v>0</v>
      </c>
      <c r="H29" s="5">
        <v>73.28</v>
      </c>
      <c r="I29" s="70">
        <v>0</v>
      </c>
      <c r="J29" s="5">
        <v>0</v>
      </c>
      <c r="K29" s="5">
        <v>0</v>
      </c>
      <c r="L29" s="5">
        <v>70.701120000000003</v>
      </c>
      <c r="M29" s="70">
        <v>0</v>
      </c>
      <c r="N29" s="5">
        <v>0</v>
      </c>
      <c r="O29" s="5">
        <v>0</v>
      </c>
      <c r="P29" s="5">
        <f t="shared" si="1"/>
        <v>0.96480786026200871</v>
      </c>
      <c r="Q29" s="5">
        <v>0</v>
      </c>
    </row>
    <row r="30" spans="1:17" x14ac:dyDescent="0.2">
      <c r="A30" s="62">
        <v>78</v>
      </c>
      <c r="B30" s="5">
        <v>0</v>
      </c>
      <c r="C30" s="5">
        <v>0</v>
      </c>
      <c r="D30" s="5">
        <v>73.28</v>
      </c>
      <c r="E30" s="70">
        <v>0</v>
      </c>
      <c r="F30" s="5">
        <v>0</v>
      </c>
      <c r="G30" s="5">
        <v>0</v>
      </c>
      <c r="H30" s="5">
        <v>73.28</v>
      </c>
      <c r="I30" s="70">
        <v>0</v>
      </c>
      <c r="J30" s="5">
        <v>0</v>
      </c>
      <c r="K30" s="5">
        <v>0</v>
      </c>
      <c r="L30" s="5">
        <v>70.701120000000003</v>
      </c>
      <c r="M30" s="70">
        <v>0</v>
      </c>
      <c r="N30" s="5">
        <v>0</v>
      </c>
      <c r="O30" s="5">
        <v>0</v>
      </c>
      <c r="P30" s="5">
        <f t="shared" si="1"/>
        <v>0.96480786026200871</v>
      </c>
      <c r="Q30" s="5">
        <v>0</v>
      </c>
    </row>
    <row r="31" spans="1:17" x14ac:dyDescent="0.2">
      <c r="A31" s="62">
        <v>79</v>
      </c>
      <c r="B31" s="5">
        <v>0</v>
      </c>
      <c r="C31" s="5">
        <v>0</v>
      </c>
      <c r="D31" s="5">
        <v>73.28</v>
      </c>
      <c r="E31" s="70">
        <v>0</v>
      </c>
      <c r="F31" s="5">
        <v>0</v>
      </c>
      <c r="G31" s="5">
        <v>0</v>
      </c>
      <c r="H31" s="5">
        <v>73.28</v>
      </c>
      <c r="I31" s="70">
        <v>0</v>
      </c>
      <c r="J31" s="5">
        <v>0</v>
      </c>
      <c r="K31" s="5">
        <v>0</v>
      </c>
      <c r="L31" s="5">
        <v>70.701120000000003</v>
      </c>
      <c r="M31" s="70">
        <v>0</v>
      </c>
      <c r="N31" s="5">
        <v>0</v>
      </c>
      <c r="O31" s="5">
        <v>0</v>
      </c>
      <c r="P31" s="5">
        <f t="shared" si="1"/>
        <v>0.96480786026200871</v>
      </c>
      <c r="Q31" s="5">
        <v>0</v>
      </c>
    </row>
    <row r="32" spans="1:17" x14ac:dyDescent="0.2">
      <c r="A32" s="2"/>
      <c r="B32" s="6"/>
      <c r="C32" s="6"/>
      <c r="D32" s="6"/>
      <c r="E32" s="11"/>
      <c r="F32" s="8"/>
    </row>
    <row r="33" spans="2:17" x14ac:dyDescent="0.2">
      <c r="B33" s="5"/>
      <c r="C33" s="5"/>
      <c r="D33" s="5"/>
      <c r="E33" s="5"/>
      <c r="F33" s="5"/>
    </row>
    <row r="34" spans="2:17" x14ac:dyDescent="0.2">
      <c r="B34" s="5"/>
      <c r="C34" s="5"/>
      <c r="D34" s="5"/>
      <c r="E34" s="5"/>
      <c r="F34" s="5"/>
    </row>
    <row r="35" spans="2:17" x14ac:dyDescent="0.2">
      <c r="B35" s="5"/>
      <c r="C35" s="5"/>
      <c r="D35" s="5"/>
      <c r="E35" s="5"/>
      <c r="F35" s="5"/>
    </row>
    <row r="36" spans="2:17" x14ac:dyDescent="0.2">
      <c r="B36" s="5"/>
      <c r="C36" s="5"/>
      <c r="D36" s="5"/>
      <c r="E36" s="5"/>
      <c r="F36" s="5"/>
    </row>
    <row r="37" spans="2:17" x14ac:dyDescent="0.2">
      <c r="B37" s="5"/>
      <c r="C37" s="5"/>
      <c r="D37" s="5"/>
      <c r="E37" s="5"/>
      <c r="F37" s="5"/>
    </row>
    <row r="38" spans="2:17" x14ac:dyDescent="0.2">
      <c r="B38" s="5"/>
      <c r="C38" s="5"/>
      <c r="D38" s="5"/>
      <c r="E38" s="5"/>
      <c r="F38" s="5"/>
    </row>
    <row r="39" spans="2:17" x14ac:dyDescent="0.2">
      <c r="B39" s="5"/>
      <c r="C39" s="5"/>
      <c r="D39" s="5"/>
      <c r="E39" s="5"/>
      <c r="F39" s="5"/>
    </row>
    <row r="40" spans="2:17" x14ac:dyDescent="0.2">
      <c r="B40" s="5"/>
      <c r="C40" s="5"/>
      <c r="D40" s="5"/>
      <c r="F40" s="95" t="s">
        <v>92</v>
      </c>
      <c r="G40" s="95" t="s">
        <v>93</v>
      </c>
      <c r="H40" s="95" t="s">
        <v>94</v>
      </c>
      <c r="I40" s="95" t="s">
        <v>91</v>
      </c>
      <c r="J40" s="95" t="s">
        <v>92</v>
      </c>
      <c r="K40" s="95" t="s">
        <v>93</v>
      </c>
      <c r="L40" s="95" t="s">
        <v>94</v>
      </c>
      <c r="M40" s="95" t="s">
        <v>91</v>
      </c>
      <c r="N40" s="95" t="s">
        <v>92</v>
      </c>
      <c r="O40" s="95" t="s">
        <v>93</v>
      </c>
      <c r="P40" s="95" t="s">
        <v>94</v>
      </c>
    </row>
    <row r="41" spans="2:17" x14ac:dyDescent="0.2">
      <c r="B41" s="5"/>
      <c r="C41" s="5"/>
      <c r="D41" s="5"/>
      <c r="E41" s="63" t="s">
        <v>91</v>
      </c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</row>
    <row r="42" spans="2:17" x14ac:dyDescent="0.2">
      <c r="C42" s="95" t="s">
        <v>92</v>
      </c>
      <c r="D42" s="95" t="s">
        <v>93</v>
      </c>
      <c r="E42" s="95" t="s">
        <v>94</v>
      </c>
      <c r="F42" s="95" t="s">
        <v>91</v>
      </c>
      <c r="G42" s="95" t="s">
        <v>92</v>
      </c>
      <c r="H42" s="95" t="s">
        <v>93</v>
      </c>
      <c r="I42" s="95" t="s">
        <v>94</v>
      </c>
      <c r="J42" s="95" t="s">
        <v>91</v>
      </c>
      <c r="K42" s="95" t="s">
        <v>92</v>
      </c>
      <c r="L42" s="95" t="s">
        <v>93</v>
      </c>
      <c r="M42" s="95" t="s">
        <v>94</v>
      </c>
      <c r="O42" s="63"/>
      <c r="P42" s="63"/>
      <c r="Q42" s="63"/>
    </row>
    <row r="43" spans="2:17" x14ac:dyDescent="0.2">
      <c r="B43" s="63" t="s">
        <v>91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O43" s="1"/>
      <c r="P43" s="1"/>
      <c r="Q43" s="1"/>
    </row>
    <row r="44" spans="2:17" x14ac:dyDescent="0.2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"/>
      <c r="P44" s="1"/>
      <c r="Q44" s="1"/>
    </row>
    <row r="45" spans="2:17" x14ac:dyDescent="0.2">
      <c r="B45" s="64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">
      <c r="B46" s="64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">
      <c r="B47" s="64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">
      <c r="B48" s="64">
        <v>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64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64">
        <v>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64">
        <v>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B52" s="64">
        <v>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B53" s="64">
        <v>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B54" s="64">
        <v>10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B55" s="64">
        <v>11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B56" s="64">
        <v>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B57" s="64">
        <v>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B58" s="64">
        <v>14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B59" s="64">
        <v>15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B60" s="64">
        <v>16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B61" s="64">
        <v>17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B62" s="64">
        <v>18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B63" s="64">
        <v>19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B64" s="64">
        <v>20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2">
      <c r="B65" s="64">
        <v>21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2">
      <c r="B66" s="64">
        <v>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2">
      <c r="B67" s="64">
        <v>23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2">
      <c r="B68" s="64">
        <v>24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x14ac:dyDescent="0.2">
      <c r="B69" s="64">
        <v>25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x14ac:dyDescent="0.2">
      <c r="B70" s="64">
        <v>26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x14ac:dyDescent="0.2">
      <c r="B71" s="64">
        <v>27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x14ac:dyDescent="0.2">
      <c r="B72" s="64">
        <v>28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x14ac:dyDescent="0.2">
      <c r="B73" s="64">
        <v>29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7" x14ac:dyDescent="0.2">
      <c r="B74" s="64">
        <v>30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mergeCells count="22">
    <mergeCell ref="P40:P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C42:C43"/>
    <mergeCell ref="D42:D43"/>
    <mergeCell ref="E42:E43"/>
    <mergeCell ref="F42:F43"/>
    <mergeCell ref="G42:G43"/>
    <mergeCell ref="M42:M43"/>
    <mergeCell ref="H42:H43"/>
    <mergeCell ref="I42:I43"/>
    <mergeCell ref="J42:J43"/>
    <mergeCell ref="K42:K43"/>
    <mergeCell ref="L42:L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R76"/>
  <sheetViews>
    <sheetView workbookViewId="0">
      <selection activeCell="O70" sqref="O70"/>
    </sheetView>
  </sheetViews>
  <sheetFormatPr baseColWidth="10" defaultRowHeight="16" x14ac:dyDescent="0.2"/>
  <sheetData>
    <row r="1" spans="1:17" ht="102" x14ac:dyDescent="0.2">
      <c r="A1" s="68" t="s">
        <v>0</v>
      </c>
      <c r="B1" s="7" t="s">
        <v>23</v>
      </c>
      <c r="C1" s="7" t="s">
        <v>22</v>
      </c>
      <c r="D1" s="7" t="s">
        <v>24</v>
      </c>
      <c r="E1" s="61" t="s">
        <v>1</v>
      </c>
      <c r="F1" s="7" t="s">
        <v>2</v>
      </c>
      <c r="G1" s="7" t="s">
        <v>25</v>
      </c>
      <c r="H1" s="7" t="s">
        <v>26</v>
      </c>
      <c r="I1" s="61" t="s">
        <v>95</v>
      </c>
      <c r="J1" s="7" t="s">
        <v>96</v>
      </c>
      <c r="K1" s="7" t="s">
        <v>97</v>
      </c>
      <c r="L1" s="7" t="s">
        <v>98</v>
      </c>
      <c r="M1" s="61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2">
        <v>50</v>
      </c>
      <c r="B2" s="5">
        <v>0</v>
      </c>
      <c r="C2" s="5">
        <v>0</v>
      </c>
      <c r="D2" s="5">
        <v>0</v>
      </c>
      <c r="E2" s="70">
        <v>17.52</v>
      </c>
      <c r="F2" s="5">
        <v>0</v>
      </c>
      <c r="G2" s="5">
        <v>0</v>
      </c>
      <c r="H2" s="5">
        <v>0</v>
      </c>
      <c r="I2" s="70">
        <v>17.52</v>
      </c>
      <c r="J2" s="5">
        <v>0</v>
      </c>
      <c r="K2" s="5">
        <v>0</v>
      </c>
      <c r="L2" s="5">
        <v>0</v>
      </c>
      <c r="M2" s="70">
        <v>13.66741</v>
      </c>
      <c r="N2" s="5">
        <v>0</v>
      </c>
      <c r="O2" s="5">
        <v>0</v>
      </c>
      <c r="P2" s="5">
        <v>0</v>
      </c>
      <c r="Q2" s="5">
        <f t="shared" ref="Q2:Q17" si="0">M2/I2</f>
        <v>0.7801033105022831</v>
      </c>
    </row>
    <row r="3" spans="1:17" x14ac:dyDescent="0.2">
      <c r="A3" s="62">
        <v>51</v>
      </c>
      <c r="B3" s="5">
        <v>0</v>
      </c>
      <c r="C3" s="5">
        <v>0</v>
      </c>
      <c r="D3" s="5">
        <v>0</v>
      </c>
      <c r="E3" s="70">
        <v>17.52</v>
      </c>
      <c r="F3" s="5">
        <v>0</v>
      </c>
      <c r="G3" s="5">
        <v>0</v>
      </c>
      <c r="H3" s="5">
        <v>0</v>
      </c>
      <c r="I3" s="70">
        <v>17.52</v>
      </c>
      <c r="J3" s="5">
        <v>0</v>
      </c>
      <c r="K3" s="5">
        <v>0</v>
      </c>
      <c r="L3" s="5">
        <v>0</v>
      </c>
      <c r="M3" s="70">
        <v>13.66741</v>
      </c>
      <c r="N3" s="5">
        <v>0</v>
      </c>
      <c r="O3" s="5">
        <v>0</v>
      </c>
      <c r="P3" s="5">
        <v>0</v>
      </c>
      <c r="Q3" s="5">
        <f t="shared" si="0"/>
        <v>0.7801033105022831</v>
      </c>
    </row>
    <row r="4" spans="1:17" x14ac:dyDescent="0.2">
      <c r="A4" s="62">
        <v>52</v>
      </c>
      <c r="B4" s="5">
        <v>0</v>
      </c>
      <c r="C4" s="5">
        <v>0</v>
      </c>
      <c r="D4" s="5">
        <v>0</v>
      </c>
      <c r="E4" s="70">
        <v>17.52</v>
      </c>
      <c r="F4" s="5">
        <v>0</v>
      </c>
      <c r="G4" s="5">
        <v>0</v>
      </c>
      <c r="H4" s="5">
        <v>0</v>
      </c>
      <c r="I4" s="70">
        <v>17.52</v>
      </c>
      <c r="J4" s="5">
        <v>0</v>
      </c>
      <c r="K4" s="5">
        <v>0</v>
      </c>
      <c r="L4" s="5">
        <v>0</v>
      </c>
      <c r="M4" s="70">
        <v>13.66741</v>
      </c>
      <c r="N4" s="5">
        <v>0</v>
      </c>
      <c r="O4" s="5">
        <v>0</v>
      </c>
      <c r="P4" s="5">
        <v>0</v>
      </c>
      <c r="Q4" s="5">
        <f t="shared" si="0"/>
        <v>0.7801033105022831</v>
      </c>
    </row>
    <row r="5" spans="1:17" x14ac:dyDescent="0.2">
      <c r="A5" s="62">
        <v>53</v>
      </c>
      <c r="B5" s="5">
        <v>0</v>
      </c>
      <c r="C5" s="5">
        <v>0</v>
      </c>
      <c r="D5" s="5">
        <v>0</v>
      </c>
      <c r="E5" s="70">
        <v>17.52</v>
      </c>
      <c r="F5" s="5">
        <v>0</v>
      </c>
      <c r="G5" s="5">
        <v>0</v>
      </c>
      <c r="H5" s="5">
        <v>0</v>
      </c>
      <c r="I5" s="70">
        <v>17.52</v>
      </c>
      <c r="J5" s="5">
        <v>0</v>
      </c>
      <c r="K5" s="5">
        <v>0</v>
      </c>
      <c r="L5" s="5">
        <v>0</v>
      </c>
      <c r="M5" s="70">
        <v>13.66741</v>
      </c>
      <c r="N5" s="5">
        <v>0</v>
      </c>
      <c r="O5" s="5">
        <v>0</v>
      </c>
      <c r="P5" s="5">
        <v>0</v>
      </c>
      <c r="Q5" s="5">
        <f t="shared" si="0"/>
        <v>0.7801033105022831</v>
      </c>
    </row>
    <row r="6" spans="1:17" x14ac:dyDescent="0.2">
      <c r="A6" s="62">
        <v>54</v>
      </c>
      <c r="B6" s="5">
        <v>0</v>
      </c>
      <c r="C6" s="5">
        <v>0</v>
      </c>
      <c r="D6" s="5">
        <v>0</v>
      </c>
      <c r="E6" s="70">
        <v>17.52</v>
      </c>
      <c r="F6" s="5">
        <v>0</v>
      </c>
      <c r="G6" s="5">
        <v>0</v>
      </c>
      <c r="H6" s="5">
        <v>0</v>
      </c>
      <c r="I6" s="70">
        <v>17.52</v>
      </c>
      <c r="J6" s="5">
        <v>0</v>
      </c>
      <c r="K6" s="5">
        <v>0</v>
      </c>
      <c r="L6" s="5">
        <v>0</v>
      </c>
      <c r="M6" s="70">
        <v>13.66741</v>
      </c>
      <c r="N6" s="5">
        <v>0</v>
      </c>
      <c r="O6" s="5">
        <v>0</v>
      </c>
      <c r="P6" s="5">
        <v>0</v>
      </c>
      <c r="Q6" s="5">
        <f t="shared" si="0"/>
        <v>0.7801033105022831</v>
      </c>
    </row>
    <row r="7" spans="1:17" x14ac:dyDescent="0.2">
      <c r="A7" s="62">
        <v>55</v>
      </c>
      <c r="B7" s="5">
        <v>0</v>
      </c>
      <c r="C7" s="5">
        <v>0</v>
      </c>
      <c r="D7" s="5">
        <v>0</v>
      </c>
      <c r="E7" s="70">
        <v>35.51</v>
      </c>
      <c r="F7" s="5">
        <v>0</v>
      </c>
      <c r="G7" s="5">
        <v>0</v>
      </c>
      <c r="H7" s="5">
        <v>0</v>
      </c>
      <c r="I7" s="70">
        <v>35.51</v>
      </c>
      <c r="J7" s="5">
        <v>0</v>
      </c>
      <c r="K7" s="5">
        <v>0</v>
      </c>
      <c r="L7" s="5">
        <v>0</v>
      </c>
      <c r="M7" s="70">
        <v>18.44473</v>
      </c>
      <c r="N7" s="5">
        <v>0</v>
      </c>
      <c r="O7" s="5">
        <v>0</v>
      </c>
      <c r="P7" s="5">
        <v>0</v>
      </c>
      <c r="Q7" s="5">
        <f t="shared" si="0"/>
        <v>0.51942354266403834</v>
      </c>
    </row>
    <row r="8" spans="1:17" x14ac:dyDescent="0.2">
      <c r="A8" s="62">
        <v>56</v>
      </c>
      <c r="B8" s="5">
        <v>0</v>
      </c>
      <c r="C8" s="5">
        <v>0</v>
      </c>
      <c r="D8" s="5">
        <v>0</v>
      </c>
      <c r="E8" s="70">
        <v>35.51</v>
      </c>
      <c r="F8" s="5">
        <v>0</v>
      </c>
      <c r="G8" s="5">
        <v>0</v>
      </c>
      <c r="H8" s="5">
        <v>0</v>
      </c>
      <c r="I8" s="70">
        <v>35.51</v>
      </c>
      <c r="J8" s="5">
        <v>0</v>
      </c>
      <c r="K8" s="5">
        <v>0</v>
      </c>
      <c r="L8" s="5">
        <v>0</v>
      </c>
      <c r="M8" s="70">
        <v>18.44473</v>
      </c>
      <c r="N8" s="5">
        <v>0</v>
      </c>
      <c r="O8" s="5">
        <v>0</v>
      </c>
      <c r="P8" s="5">
        <v>0</v>
      </c>
      <c r="Q8" s="5">
        <f t="shared" si="0"/>
        <v>0.51942354266403834</v>
      </c>
    </row>
    <row r="9" spans="1:17" x14ac:dyDescent="0.2">
      <c r="A9" s="62">
        <v>57</v>
      </c>
      <c r="B9" s="5">
        <v>0</v>
      </c>
      <c r="C9" s="5">
        <v>0</v>
      </c>
      <c r="D9" s="5">
        <v>0</v>
      </c>
      <c r="E9" s="70">
        <v>35.51</v>
      </c>
      <c r="F9" s="5">
        <v>0</v>
      </c>
      <c r="G9" s="5">
        <v>0</v>
      </c>
      <c r="H9" s="5">
        <v>0</v>
      </c>
      <c r="I9" s="70">
        <v>35.51</v>
      </c>
      <c r="J9" s="5">
        <v>0</v>
      </c>
      <c r="K9" s="5">
        <v>0</v>
      </c>
      <c r="L9" s="5">
        <v>0</v>
      </c>
      <c r="M9" s="70">
        <v>18.44473</v>
      </c>
      <c r="N9" s="5">
        <v>0</v>
      </c>
      <c r="O9" s="5">
        <v>0</v>
      </c>
      <c r="P9" s="5">
        <v>0</v>
      </c>
      <c r="Q9" s="5">
        <f t="shared" si="0"/>
        <v>0.51942354266403834</v>
      </c>
    </row>
    <row r="10" spans="1:17" x14ac:dyDescent="0.2">
      <c r="A10" s="62">
        <v>58</v>
      </c>
      <c r="B10" s="5">
        <v>0</v>
      </c>
      <c r="C10" s="5">
        <v>0</v>
      </c>
      <c r="D10" s="5">
        <v>0</v>
      </c>
      <c r="E10" s="70">
        <v>35.51</v>
      </c>
      <c r="F10" s="5">
        <v>0</v>
      </c>
      <c r="G10" s="5">
        <v>0</v>
      </c>
      <c r="H10" s="5">
        <v>0</v>
      </c>
      <c r="I10" s="70">
        <v>35.51</v>
      </c>
      <c r="J10" s="5">
        <v>0</v>
      </c>
      <c r="K10" s="5">
        <v>0</v>
      </c>
      <c r="L10" s="5">
        <v>0</v>
      </c>
      <c r="M10" s="70">
        <v>18.44473</v>
      </c>
      <c r="N10" s="5">
        <v>0</v>
      </c>
      <c r="O10" s="5">
        <v>0</v>
      </c>
      <c r="P10" s="5">
        <v>0</v>
      </c>
      <c r="Q10" s="5">
        <f t="shared" si="0"/>
        <v>0.51942354266403834</v>
      </c>
    </row>
    <row r="11" spans="1:17" x14ac:dyDescent="0.2">
      <c r="A11" s="62">
        <v>59</v>
      </c>
      <c r="B11" s="5">
        <v>0</v>
      </c>
      <c r="C11" s="5">
        <v>0</v>
      </c>
      <c r="D11" s="5">
        <v>0</v>
      </c>
      <c r="E11" s="70">
        <v>35.51</v>
      </c>
      <c r="F11" s="5">
        <v>0</v>
      </c>
      <c r="G11" s="5">
        <v>0</v>
      </c>
      <c r="H11" s="5">
        <v>0</v>
      </c>
      <c r="I11" s="70">
        <v>35.51</v>
      </c>
      <c r="J11" s="5">
        <v>0</v>
      </c>
      <c r="K11" s="5">
        <v>0</v>
      </c>
      <c r="L11" s="5">
        <v>0</v>
      </c>
      <c r="M11" s="70">
        <v>18.44473</v>
      </c>
      <c r="N11" s="5">
        <v>0</v>
      </c>
      <c r="O11" s="5">
        <v>0</v>
      </c>
      <c r="P11" s="5">
        <v>0</v>
      </c>
      <c r="Q11" s="5">
        <f t="shared" si="0"/>
        <v>0.51942354266403834</v>
      </c>
    </row>
    <row r="12" spans="1:17" x14ac:dyDescent="0.2">
      <c r="A12" s="62">
        <v>60</v>
      </c>
      <c r="B12" s="5">
        <v>0</v>
      </c>
      <c r="C12" s="5">
        <v>0</v>
      </c>
      <c r="D12" s="5">
        <v>0</v>
      </c>
      <c r="E12" s="70">
        <v>65.09</v>
      </c>
      <c r="F12" s="5">
        <v>0</v>
      </c>
      <c r="G12" s="5">
        <v>0</v>
      </c>
      <c r="H12" s="5">
        <v>0</v>
      </c>
      <c r="I12" s="70">
        <v>65.09</v>
      </c>
      <c r="J12" s="5">
        <v>0</v>
      </c>
      <c r="K12" s="5">
        <v>0</v>
      </c>
      <c r="L12" s="5">
        <v>0</v>
      </c>
      <c r="M12" s="70">
        <v>31.079789999999999</v>
      </c>
      <c r="N12" s="5">
        <v>0</v>
      </c>
      <c r="O12" s="5">
        <v>0</v>
      </c>
      <c r="P12" s="5">
        <v>0</v>
      </c>
      <c r="Q12" s="5">
        <f t="shared" si="0"/>
        <v>0.47748947611000148</v>
      </c>
    </row>
    <row r="13" spans="1:17" x14ac:dyDescent="0.2">
      <c r="A13" s="62">
        <v>61</v>
      </c>
      <c r="B13" s="5">
        <v>0</v>
      </c>
      <c r="C13" s="5">
        <v>0</v>
      </c>
      <c r="D13" s="5">
        <v>0</v>
      </c>
      <c r="E13" s="70">
        <v>65.09</v>
      </c>
      <c r="F13" s="5">
        <v>0</v>
      </c>
      <c r="G13" s="5">
        <v>0</v>
      </c>
      <c r="H13" s="5">
        <v>0</v>
      </c>
      <c r="I13" s="70">
        <v>65.09</v>
      </c>
      <c r="J13" s="5">
        <v>0</v>
      </c>
      <c r="K13" s="5">
        <v>0</v>
      </c>
      <c r="L13" s="5">
        <v>0</v>
      </c>
      <c r="M13" s="70">
        <v>31.079789999999999</v>
      </c>
      <c r="N13" s="5">
        <v>0</v>
      </c>
      <c r="O13" s="5">
        <v>0</v>
      </c>
      <c r="P13" s="5">
        <v>0</v>
      </c>
      <c r="Q13" s="5">
        <f t="shared" si="0"/>
        <v>0.47748947611000148</v>
      </c>
    </row>
    <row r="14" spans="1:17" x14ac:dyDescent="0.2">
      <c r="A14" s="62">
        <v>62</v>
      </c>
      <c r="B14" s="5">
        <v>0</v>
      </c>
      <c r="C14" s="5">
        <v>0</v>
      </c>
      <c r="D14" s="5">
        <v>0</v>
      </c>
      <c r="E14" s="70">
        <v>65.09</v>
      </c>
      <c r="F14" s="5">
        <v>0</v>
      </c>
      <c r="G14" s="5">
        <v>0</v>
      </c>
      <c r="H14" s="5">
        <v>0</v>
      </c>
      <c r="I14" s="70">
        <v>65.09</v>
      </c>
      <c r="J14" s="5">
        <v>0</v>
      </c>
      <c r="K14" s="5">
        <v>0</v>
      </c>
      <c r="L14" s="5">
        <v>0</v>
      </c>
      <c r="M14" s="70">
        <v>31.079789999999999</v>
      </c>
      <c r="N14" s="5">
        <v>0</v>
      </c>
      <c r="O14" s="5">
        <v>0</v>
      </c>
      <c r="P14" s="5">
        <v>0</v>
      </c>
      <c r="Q14" s="5">
        <f t="shared" si="0"/>
        <v>0.47748947611000148</v>
      </c>
    </row>
    <row r="15" spans="1:17" x14ac:dyDescent="0.2">
      <c r="A15" s="62">
        <v>63</v>
      </c>
      <c r="B15" s="5">
        <v>0</v>
      </c>
      <c r="C15" s="5">
        <v>0</v>
      </c>
      <c r="D15" s="5">
        <v>0</v>
      </c>
      <c r="E15" s="70">
        <v>65.09</v>
      </c>
      <c r="F15" s="5">
        <v>0</v>
      </c>
      <c r="G15" s="5">
        <v>0</v>
      </c>
      <c r="H15" s="5">
        <v>0</v>
      </c>
      <c r="I15" s="70">
        <v>65.09</v>
      </c>
      <c r="J15" s="5">
        <v>0</v>
      </c>
      <c r="K15" s="5">
        <v>0</v>
      </c>
      <c r="L15" s="5">
        <v>0</v>
      </c>
      <c r="M15" s="70">
        <v>31.079789999999999</v>
      </c>
      <c r="N15" s="5">
        <v>0</v>
      </c>
      <c r="O15" s="5">
        <v>0</v>
      </c>
      <c r="P15" s="5">
        <v>0</v>
      </c>
      <c r="Q15" s="5">
        <f t="shared" si="0"/>
        <v>0.47748947611000148</v>
      </c>
    </row>
    <row r="16" spans="1:17" x14ac:dyDescent="0.2">
      <c r="A16" s="62">
        <v>64</v>
      </c>
      <c r="B16" s="5">
        <v>0</v>
      </c>
      <c r="C16" s="5">
        <v>0</v>
      </c>
      <c r="D16" s="5">
        <v>0</v>
      </c>
      <c r="E16" s="70">
        <v>65.09</v>
      </c>
      <c r="F16" s="5">
        <v>0</v>
      </c>
      <c r="G16" s="5">
        <v>0</v>
      </c>
      <c r="H16" s="5">
        <v>0</v>
      </c>
      <c r="I16" s="70">
        <v>65.09</v>
      </c>
      <c r="J16" s="5">
        <v>0</v>
      </c>
      <c r="K16" s="5">
        <v>0</v>
      </c>
      <c r="L16" s="5">
        <v>0</v>
      </c>
      <c r="M16" s="70">
        <v>31.079789999999999</v>
      </c>
      <c r="N16" s="5">
        <v>0</v>
      </c>
      <c r="O16" s="5">
        <v>0</v>
      </c>
      <c r="P16" s="5">
        <v>0</v>
      </c>
      <c r="Q16" s="5">
        <f t="shared" si="0"/>
        <v>0.47748947611000148</v>
      </c>
    </row>
    <row r="17" spans="1:17" x14ac:dyDescent="0.2">
      <c r="A17" s="62">
        <v>65</v>
      </c>
      <c r="B17" s="5">
        <v>0</v>
      </c>
      <c r="C17" s="5">
        <v>0</v>
      </c>
      <c r="D17" s="5">
        <v>0</v>
      </c>
      <c r="E17" s="70">
        <v>99.62</v>
      </c>
      <c r="F17" s="5">
        <v>0</v>
      </c>
      <c r="G17" s="5">
        <v>0</v>
      </c>
      <c r="H17" s="5">
        <v>0</v>
      </c>
      <c r="I17" s="70">
        <v>99.62</v>
      </c>
      <c r="J17" s="5">
        <v>0</v>
      </c>
      <c r="K17" s="5">
        <v>0</v>
      </c>
      <c r="L17" s="5">
        <v>0</v>
      </c>
      <c r="M17" s="70">
        <v>39.978299999999997</v>
      </c>
      <c r="N17" s="5">
        <v>0</v>
      </c>
      <c r="O17" s="5">
        <v>0</v>
      </c>
      <c r="P17" s="5">
        <v>0</v>
      </c>
      <c r="Q17" s="5">
        <f t="shared" si="0"/>
        <v>0.40130797028709092</v>
      </c>
    </row>
    <row r="18" spans="1:17" x14ac:dyDescent="0.2">
      <c r="A18" s="62">
        <v>66</v>
      </c>
      <c r="B18" s="5">
        <v>0</v>
      </c>
      <c r="C18" s="5">
        <v>0</v>
      </c>
      <c r="D18" s="5">
        <v>0</v>
      </c>
      <c r="E18" s="70">
        <v>99.62</v>
      </c>
      <c r="F18" s="5">
        <v>0</v>
      </c>
      <c r="G18" s="5">
        <v>0</v>
      </c>
      <c r="H18" s="5">
        <v>0</v>
      </c>
      <c r="I18" s="70">
        <v>99.62</v>
      </c>
      <c r="J18" s="5">
        <v>0</v>
      </c>
      <c r="K18" s="5">
        <v>0</v>
      </c>
      <c r="L18" s="5">
        <v>0</v>
      </c>
      <c r="M18" s="70">
        <v>39.978299999999997</v>
      </c>
      <c r="N18" s="5">
        <v>0</v>
      </c>
      <c r="O18" s="5">
        <v>0</v>
      </c>
      <c r="P18" s="5">
        <v>0</v>
      </c>
      <c r="Q18" s="5">
        <f t="shared" ref="Q18:Q31" si="1">M18/I18</f>
        <v>0.40130797028709092</v>
      </c>
    </row>
    <row r="19" spans="1:17" x14ac:dyDescent="0.2">
      <c r="A19" s="62">
        <v>67</v>
      </c>
      <c r="B19" s="5">
        <v>0</v>
      </c>
      <c r="C19" s="5">
        <v>0</v>
      </c>
      <c r="D19" s="5">
        <v>0</v>
      </c>
      <c r="E19" s="70">
        <v>99.62</v>
      </c>
      <c r="F19" s="5">
        <v>0</v>
      </c>
      <c r="G19" s="5">
        <v>0</v>
      </c>
      <c r="H19" s="5">
        <v>0</v>
      </c>
      <c r="I19" s="70">
        <v>99.62</v>
      </c>
      <c r="J19" s="5">
        <v>0</v>
      </c>
      <c r="K19" s="5">
        <v>0</v>
      </c>
      <c r="L19" s="5">
        <v>0</v>
      </c>
      <c r="M19" s="70">
        <v>39.978299999999997</v>
      </c>
      <c r="N19" s="5">
        <v>0</v>
      </c>
      <c r="O19" s="5">
        <v>0</v>
      </c>
      <c r="P19" s="5">
        <v>0</v>
      </c>
      <c r="Q19" s="5">
        <f t="shared" si="1"/>
        <v>0.40130797028709092</v>
      </c>
    </row>
    <row r="20" spans="1:17" x14ac:dyDescent="0.2">
      <c r="A20" s="62">
        <v>68</v>
      </c>
      <c r="B20" s="5">
        <v>0</v>
      </c>
      <c r="C20" s="5">
        <v>0</v>
      </c>
      <c r="D20" s="5">
        <v>0</v>
      </c>
      <c r="E20" s="70">
        <v>99.62</v>
      </c>
      <c r="F20" s="5">
        <v>0</v>
      </c>
      <c r="G20" s="5">
        <v>0</v>
      </c>
      <c r="H20" s="5">
        <v>0</v>
      </c>
      <c r="I20" s="70">
        <v>99.62</v>
      </c>
      <c r="J20" s="5">
        <v>0</v>
      </c>
      <c r="K20" s="5">
        <v>0</v>
      </c>
      <c r="L20" s="5">
        <v>0</v>
      </c>
      <c r="M20" s="70">
        <v>39.978299999999997</v>
      </c>
      <c r="N20" s="5">
        <v>0</v>
      </c>
      <c r="O20" s="5">
        <v>0</v>
      </c>
      <c r="P20" s="5">
        <v>0</v>
      </c>
      <c r="Q20" s="5">
        <f t="shared" si="1"/>
        <v>0.40130797028709092</v>
      </c>
    </row>
    <row r="21" spans="1:17" x14ac:dyDescent="0.2">
      <c r="A21" s="62">
        <v>69</v>
      </c>
      <c r="B21" s="5">
        <v>0</v>
      </c>
      <c r="C21" s="5">
        <v>0</v>
      </c>
      <c r="D21" s="5">
        <v>0</v>
      </c>
      <c r="E21" s="70">
        <v>99.62</v>
      </c>
      <c r="F21" s="5">
        <v>0</v>
      </c>
      <c r="G21" s="5">
        <v>0</v>
      </c>
      <c r="H21" s="5">
        <v>0</v>
      </c>
      <c r="I21" s="70">
        <v>99.62</v>
      </c>
      <c r="J21" s="5">
        <v>0</v>
      </c>
      <c r="K21" s="5">
        <v>0</v>
      </c>
      <c r="L21" s="5">
        <v>0</v>
      </c>
      <c r="M21" s="70">
        <v>39.978299999999997</v>
      </c>
      <c r="N21" s="5">
        <v>0</v>
      </c>
      <c r="O21" s="5">
        <v>0</v>
      </c>
      <c r="P21" s="5">
        <v>0</v>
      </c>
      <c r="Q21" s="5">
        <f>M21/I21</f>
        <v>0.40130797028709092</v>
      </c>
    </row>
    <row r="22" spans="1:17" x14ac:dyDescent="0.2">
      <c r="A22" s="62">
        <v>70</v>
      </c>
      <c r="B22" s="5">
        <v>0</v>
      </c>
      <c r="C22" s="5">
        <v>0</v>
      </c>
      <c r="D22" s="5">
        <v>0</v>
      </c>
      <c r="E22" s="70">
        <v>138.44999999999999</v>
      </c>
      <c r="F22" s="5">
        <v>0</v>
      </c>
      <c r="G22" s="5">
        <v>0</v>
      </c>
      <c r="H22" s="5">
        <v>0</v>
      </c>
      <c r="I22" s="70">
        <v>138.44999999999999</v>
      </c>
      <c r="J22" s="5">
        <v>0</v>
      </c>
      <c r="K22" s="5">
        <v>0</v>
      </c>
      <c r="L22" s="5">
        <v>0</v>
      </c>
      <c r="M22" s="70">
        <v>51.40802</v>
      </c>
      <c r="N22" s="5">
        <v>0</v>
      </c>
      <c r="O22" s="5">
        <v>0</v>
      </c>
      <c r="P22" s="5">
        <v>0</v>
      </c>
      <c r="Q22" s="5">
        <f t="shared" si="1"/>
        <v>0.37131108703503074</v>
      </c>
    </row>
    <row r="23" spans="1:17" x14ac:dyDescent="0.2">
      <c r="A23" s="62">
        <v>71</v>
      </c>
      <c r="B23" s="5">
        <v>0</v>
      </c>
      <c r="C23" s="5">
        <v>0</v>
      </c>
      <c r="D23" s="5">
        <v>0</v>
      </c>
      <c r="E23" s="70">
        <v>138.44999999999999</v>
      </c>
      <c r="F23" s="5">
        <v>0</v>
      </c>
      <c r="G23" s="5">
        <v>0</v>
      </c>
      <c r="H23" s="5">
        <v>0</v>
      </c>
      <c r="I23" s="70">
        <v>138.44999999999999</v>
      </c>
      <c r="J23" s="5">
        <v>0</v>
      </c>
      <c r="K23" s="5">
        <v>0</v>
      </c>
      <c r="L23" s="5">
        <v>0</v>
      </c>
      <c r="M23" s="70">
        <v>51.40802</v>
      </c>
      <c r="N23" s="5">
        <v>0</v>
      </c>
      <c r="O23" s="5">
        <v>0</v>
      </c>
      <c r="P23" s="5">
        <v>0</v>
      </c>
      <c r="Q23" s="5">
        <f t="shared" si="1"/>
        <v>0.37131108703503074</v>
      </c>
    </row>
    <row r="24" spans="1:17" x14ac:dyDescent="0.2">
      <c r="A24" s="62">
        <v>72</v>
      </c>
      <c r="B24" s="5">
        <v>0</v>
      </c>
      <c r="C24" s="5">
        <v>0</v>
      </c>
      <c r="D24" s="5">
        <v>0</v>
      </c>
      <c r="E24" s="70">
        <v>138.44999999999999</v>
      </c>
      <c r="F24" s="5">
        <v>0</v>
      </c>
      <c r="G24" s="5">
        <v>0</v>
      </c>
      <c r="H24" s="5">
        <v>0</v>
      </c>
      <c r="I24" s="70">
        <v>138.44999999999999</v>
      </c>
      <c r="J24" s="5">
        <v>0</v>
      </c>
      <c r="K24" s="5">
        <v>0</v>
      </c>
      <c r="L24" s="5">
        <v>0</v>
      </c>
      <c r="M24" s="70">
        <v>51.40802</v>
      </c>
      <c r="N24" s="5">
        <v>0</v>
      </c>
      <c r="O24" s="5">
        <v>0</v>
      </c>
      <c r="P24" s="5">
        <v>0</v>
      </c>
      <c r="Q24" s="5">
        <f t="shared" si="1"/>
        <v>0.37131108703503074</v>
      </c>
    </row>
    <row r="25" spans="1:17" x14ac:dyDescent="0.2">
      <c r="A25" s="62">
        <v>73</v>
      </c>
      <c r="B25" s="5">
        <v>0</v>
      </c>
      <c r="C25" s="5">
        <v>0</v>
      </c>
      <c r="D25" s="5">
        <v>0</v>
      </c>
      <c r="E25" s="70">
        <v>138.44999999999999</v>
      </c>
      <c r="F25" s="5">
        <v>0</v>
      </c>
      <c r="G25" s="5">
        <v>0</v>
      </c>
      <c r="H25" s="5">
        <v>0</v>
      </c>
      <c r="I25" s="70">
        <v>138.44999999999999</v>
      </c>
      <c r="J25" s="5">
        <v>0</v>
      </c>
      <c r="K25" s="5">
        <v>0</v>
      </c>
      <c r="L25" s="5">
        <v>0</v>
      </c>
      <c r="M25" s="70">
        <v>51.40802</v>
      </c>
      <c r="N25" s="5">
        <v>0</v>
      </c>
      <c r="O25" s="5">
        <v>0</v>
      </c>
      <c r="P25" s="5">
        <v>0</v>
      </c>
      <c r="Q25" s="5">
        <f t="shared" si="1"/>
        <v>0.37131108703503074</v>
      </c>
    </row>
    <row r="26" spans="1:17" x14ac:dyDescent="0.2">
      <c r="A26" s="62">
        <v>74</v>
      </c>
      <c r="B26" s="5">
        <v>0</v>
      </c>
      <c r="C26" s="5">
        <v>0</v>
      </c>
      <c r="D26" s="5">
        <v>0</v>
      </c>
      <c r="E26" s="70">
        <v>138.44999999999999</v>
      </c>
      <c r="F26" s="5">
        <v>0</v>
      </c>
      <c r="G26" s="5">
        <v>0</v>
      </c>
      <c r="H26" s="5">
        <v>0</v>
      </c>
      <c r="I26" s="70">
        <v>138.44999999999999</v>
      </c>
      <c r="J26" s="5">
        <v>0</v>
      </c>
      <c r="K26" s="5">
        <v>0</v>
      </c>
      <c r="L26" s="5">
        <v>0</v>
      </c>
      <c r="M26" s="70">
        <v>51.40802</v>
      </c>
      <c r="N26" s="5">
        <v>0</v>
      </c>
      <c r="O26" s="5">
        <v>0</v>
      </c>
      <c r="P26" s="5">
        <v>0</v>
      </c>
      <c r="Q26" s="5">
        <f t="shared" si="1"/>
        <v>0.37131108703503074</v>
      </c>
    </row>
    <row r="27" spans="1:17" x14ac:dyDescent="0.2">
      <c r="A27" s="62">
        <v>75</v>
      </c>
      <c r="B27" s="5">
        <v>0</v>
      </c>
      <c r="C27" s="5">
        <v>0</v>
      </c>
      <c r="D27" s="5">
        <v>0</v>
      </c>
      <c r="E27" s="70">
        <v>169.87</v>
      </c>
      <c r="F27" s="5">
        <v>0</v>
      </c>
      <c r="G27" s="5">
        <v>0</v>
      </c>
      <c r="H27" s="5">
        <v>0</v>
      </c>
      <c r="I27" s="70">
        <v>169.87</v>
      </c>
      <c r="J27" s="5">
        <v>0</v>
      </c>
      <c r="K27" s="5">
        <v>0</v>
      </c>
      <c r="L27" s="5">
        <v>0</v>
      </c>
      <c r="M27" s="70">
        <v>53.606810000000003</v>
      </c>
      <c r="N27" s="5">
        <v>0</v>
      </c>
      <c r="O27" s="5">
        <v>0</v>
      </c>
      <c r="P27" s="5">
        <v>0</v>
      </c>
      <c r="Q27" s="5">
        <f t="shared" si="1"/>
        <v>0.3155754989109319</v>
      </c>
    </row>
    <row r="28" spans="1:17" x14ac:dyDescent="0.2">
      <c r="A28" s="62">
        <v>76</v>
      </c>
      <c r="B28" s="5">
        <v>0</v>
      </c>
      <c r="C28" s="5">
        <v>0</v>
      </c>
      <c r="D28" s="5">
        <v>0</v>
      </c>
      <c r="E28" s="70">
        <v>169.87</v>
      </c>
      <c r="F28" s="5">
        <v>0</v>
      </c>
      <c r="G28" s="5">
        <v>0</v>
      </c>
      <c r="H28" s="5">
        <v>0</v>
      </c>
      <c r="I28" s="70">
        <v>169.87</v>
      </c>
      <c r="J28" s="5">
        <v>0</v>
      </c>
      <c r="K28" s="5">
        <v>0</v>
      </c>
      <c r="L28" s="5">
        <v>0</v>
      </c>
      <c r="M28" s="70">
        <v>53.606810000000003</v>
      </c>
      <c r="N28" s="5">
        <v>0</v>
      </c>
      <c r="O28" s="5">
        <v>0</v>
      </c>
      <c r="P28" s="5">
        <v>0</v>
      </c>
      <c r="Q28" s="5">
        <f t="shared" si="1"/>
        <v>0.3155754989109319</v>
      </c>
    </row>
    <row r="29" spans="1:17" x14ac:dyDescent="0.2">
      <c r="A29" s="62">
        <v>77</v>
      </c>
      <c r="B29" s="5">
        <v>0</v>
      </c>
      <c r="C29" s="5">
        <v>0</v>
      </c>
      <c r="D29" s="5">
        <v>0</v>
      </c>
      <c r="E29" s="70">
        <v>169.87</v>
      </c>
      <c r="F29" s="5">
        <v>0</v>
      </c>
      <c r="G29" s="5">
        <v>0</v>
      </c>
      <c r="H29" s="5">
        <v>0</v>
      </c>
      <c r="I29" s="70">
        <v>169.87</v>
      </c>
      <c r="J29" s="5">
        <v>0</v>
      </c>
      <c r="K29" s="5">
        <v>0</v>
      </c>
      <c r="L29" s="5">
        <v>0</v>
      </c>
      <c r="M29" s="70">
        <v>53.606810000000003</v>
      </c>
      <c r="N29" s="5">
        <v>0</v>
      </c>
      <c r="O29" s="5">
        <v>0</v>
      </c>
      <c r="P29" s="5">
        <v>0</v>
      </c>
      <c r="Q29" s="5">
        <f t="shared" si="1"/>
        <v>0.3155754989109319</v>
      </c>
    </row>
    <row r="30" spans="1:17" x14ac:dyDescent="0.2">
      <c r="A30" s="62">
        <v>78</v>
      </c>
      <c r="B30" s="5">
        <v>0</v>
      </c>
      <c r="C30" s="5">
        <v>0</v>
      </c>
      <c r="D30" s="5">
        <v>0</v>
      </c>
      <c r="E30" s="70">
        <v>169.87</v>
      </c>
      <c r="F30" s="5">
        <v>0</v>
      </c>
      <c r="G30" s="5">
        <v>0</v>
      </c>
      <c r="H30" s="5">
        <v>0</v>
      </c>
      <c r="I30" s="70">
        <v>169.87</v>
      </c>
      <c r="J30" s="5">
        <v>0</v>
      </c>
      <c r="K30" s="5">
        <v>0</v>
      </c>
      <c r="L30" s="5">
        <v>0</v>
      </c>
      <c r="M30" s="70">
        <v>53.606810000000003</v>
      </c>
      <c r="N30" s="5">
        <v>0</v>
      </c>
      <c r="O30" s="5">
        <v>0</v>
      </c>
      <c r="P30" s="5">
        <v>0</v>
      </c>
      <c r="Q30" s="5">
        <f t="shared" si="1"/>
        <v>0.3155754989109319</v>
      </c>
    </row>
    <row r="31" spans="1:17" x14ac:dyDescent="0.2">
      <c r="A31" s="62">
        <v>79</v>
      </c>
      <c r="B31" s="5">
        <v>0</v>
      </c>
      <c r="C31" s="5">
        <v>0</v>
      </c>
      <c r="D31" s="5">
        <v>0</v>
      </c>
      <c r="E31" s="70">
        <v>169.87</v>
      </c>
      <c r="F31" s="5">
        <v>0</v>
      </c>
      <c r="G31" s="5">
        <v>0</v>
      </c>
      <c r="H31" s="5">
        <v>0</v>
      </c>
      <c r="I31" s="70">
        <v>169.87</v>
      </c>
      <c r="J31" s="5">
        <v>0</v>
      </c>
      <c r="K31" s="5">
        <v>0</v>
      </c>
      <c r="L31" s="5">
        <v>0</v>
      </c>
      <c r="M31" s="70">
        <v>53.606810000000003</v>
      </c>
      <c r="N31" s="5">
        <v>0</v>
      </c>
      <c r="O31" s="5">
        <v>0</v>
      </c>
      <c r="P31" s="5">
        <v>0</v>
      </c>
      <c r="Q31" s="5">
        <f t="shared" si="1"/>
        <v>0.3155754989109319</v>
      </c>
    </row>
    <row r="32" spans="1:17" x14ac:dyDescent="0.2">
      <c r="A32" s="2"/>
      <c r="B32" s="6"/>
      <c r="C32" s="6"/>
      <c r="D32" s="6"/>
      <c r="E32" s="6"/>
      <c r="F32" s="8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F36" s="5"/>
    </row>
    <row r="37" spans="2:18" x14ac:dyDescent="0.2">
      <c r="B37" s="5"/>
      <c r="C37" s="5"/>
      <c r="D37" s="5"/>
      <c r="E37" s="5"/>
      <c r="F37" s="5"/>
    </row>
    <row r="38" spans="2:18" x14ac:dyDescent="0.2">
      <c r="B38" s="5"/>
      <c r="C38" s="5"/>
      <c r="D38" s="5"/>
      <c r="E38" s="5"/>
      <c r="F38" s="5"/>
    </row>
    <row r="39" spans="2:18" x14ac:dyDescent="0.2">
      <c r="B39" s="5"/>
      <c r="C39" s="63" t="s">
        <v>91</v>
      </c>
      <c r="D39" s="63" t="s">
        <v>92</v>
      </c>
      <c r="E39" s="63" t="s">
        <v>93</v>
      </c>
      <c r="F39" s="63" t="s">
        <v>94</v>
      </c>
      <c r="G39" s="63" t="s">
        <v>91</v>
      </c>
      <c r="H39" s="63" t="s">
        <v>92</v>
      </c>
      <c r="I39" s="63" t="s">
        <v>93</v>
      </c>
      <c r="J39" s="63" t="s">
        <v>94</v>
      </c>
      <c r="K39" s="63" t="s">
        <v>91</v>
      </c>
      <c r="L39" s="63" t="s">
        <v>92</v>
      </c>
      <c r="M39" s="63" t="s">
        <v>93</v>
      </c>
      <c r="N39" s="63" t="s">
        <v>94</v>
      </c>
    </row>
    <row r="40" spans="2:18" x14ac:dyDescent="0.2">
      <c r="B40" s="5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2:18" x14ac:dyDescent="0.2">
      <c r="B41" s="5"/>
      <c r="C41" s="64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8" x14ac:dyDescent="0.2">
      <c r="B42" s="5"/>
      <c r="C42" s="64">
        <v>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8" x14ac:dyDescent="0.2">
      <c r="B43" s="5"/>
      <c r="C43" s="64">
        <v>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8" x14ac:dyDescent="0.2">
      <c r="B44" s="5"/>
      <c r="C44" s="64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8" x14ac:dyDescent="0.2">
      <c r="B45" s="5"/>
      <c r="C45" s="64">
        <v>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63"/>
      <c r="Q45" s="63"/>
    </row>
    <row r="46" spans="2:18" x14ac:dyDescent="0.2">
      <c r="B46" s="5"/>
      <c r="C46" s="64">
        <v>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63"/>
      <c r="Q46" s="63"/>
      <c r="R46" s="63"/>
    </row>
    <row r="47" spans="2:18" x14ac:dyDescent="0.2">
      <c r="B47" s="5"/>
      <c r="C47" s="64">
        <v>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64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64"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64">
        <v>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64">
        <v>11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C52" s="64">
        <v>12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C53" s="64">
        <v>13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C54" s="64">
        <v>14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C55" s="64">
        <v>15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C56" s="64">
        <v>16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C57" s="64">
        <v>17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C58" s="64"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C59" s="64">
        <v>19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C60" s="64">
        <v>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C61" s="64">
        <v>21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C62" s="64">
        <v>22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C63" s="64">
        <v>23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C64" s="64">
        <v>24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3:18" x14ac:dyDescent="0.2">
      <c r="C65" s="64">
        <v>25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3:18" x14ac:dyDescent="0.2">
      <c r="C66" s="64">
        <v>26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3:18" x14ac:dyDescent="0.2">
      <c r="C67" s="64">
        <v>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3:18" x14ac:dyDescent="0.2">
      <c r="C68" s="64">
        <v>28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3:18" x14ac:dyDescent="0.2">
      <c r="C69" s="64">
        <v>29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3:18" x14ac:dyDescent="0.2">
      <c r="C70" s="64">
        <v>30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3:18" x14ac:dyDescent="0.2">
      <c r="F71" s="64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3:18" x14ac:dyDescent="0.2">
      <c r="F72" s="64">
        <v>26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3:18" x14ac:dyDescent="0.2">
      <c r="F73" s="64">
        <v>27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3:18" x14ac:dyDescent="0.2">
      <c r="F74" s="64">
        <v>28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3:18" x14ac:dyDescent="0.2">
      <c r="F75" s="64">
        <v>29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3:18" x14ac:dyDescent="0.2">
      <c r="F76" s="64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4B1A-2104-8E41-ADEF-F4AC6423273F}">
  <dimension ref="A1:S32"/>
  <sheetViews>
    <sheetView workbookViewId="0">
      <selection activeCell="J35" sqref="J35"/>
    </sheetView>
  </sheetViews>
  <sheetFormatPr baseColWidth="10" defaultRowHeight="16" x14ac:dyDescent="0.2"/>
  <sheetData>
    <row r="1" spans="1:19" ht="16" customHeight="1" x14ac:dyDescent="0.2">
      <c r="A1" s="9"/>
      <c r="B1" s="93" t="s">
        <v>31</v>
      </c>
      <c r="C1" s="93"/>
      <c r="D1" s="93"/>
      <c r="E1" s="93"/>
      <c r="G1" s="9"/>
      <c r="H1" s="9"/>
      <c r="I1" s="93" t="s">
        <v>108</v>
      </c>
      <c r="J1" s="93"/>
      <c r="K1" s="93"/>
      <c r="L1" s="93"/>
      <c r="N1" s="9"/>
      <c r="O1" s="9"/>
      <c r="P1" s="93" t="s">
        <v>109</v>
      </c>
      <c r="Q1" s="93"/>
      <c r="R1" s="93"/>
      <c r="S1" s="93"/>
    </row>
    <row r="2" spans="1:19" ht="34" x14ac:dyDescent="0.2">
      <c r="A2" s="9"/>
      <c r="B2" s="7" t="s">
        <v>27</v>
      </c>
      <c r="C2" s="7" t="s">
        <v>28</v>
      </c>
      <c r="D2" s="7" t="s">
        <v>29</v>
      </c>
      <c r="E2" s="84" t="s">
        <v>30</v>
      </c>
      <c r="G2" s="7" t="s">
        <v>0</v>
      </c>
      <c r="H2" s="7" t="s">
        <v>90</v>
      </c>
      <c r="I2" s="7" t="s">
        <v>27</v>
      </c>
      <c r="J2" s="7" t="s">
        <v>28</v>
      </c>
      <c r="K2" s="7" t="s">
        <v>29</v>
      </c>
      <c r="L2" s="84" t="s">
        <v>30</v>
      </c>
      <c r="N2" s="7" t="s">
        <v>0</v>
      </c>
      <c r="O2" s="7" t="s">
        <v>90</v>
      </c>
      <c r="P2" s="7" t="s">
        <v>27</v>
      </c>
      <c r="Q2" s="7" t="s">
        <v>28</v>
      </c>
      <c r="R2" s="7" t="s">
        <v>29</v>
      </c>
      <c r="S2" s="84" t="s">
        <v>30</v>
      </c>
    </row>
    <row r="3" spans="1:19" x14ac:dyDescent="0.2">
      <c r="A3" s="9">
        <v>50</v>
      </c>
      <c r="B3" s="5">
        <f>(Stage4to1!J2+Stage3to1!J2+Stage2to1!J2+Stage1to1!J2)/(Stage4to1!F2+Stage3to1!F2+Stage2to1!F2+Stage1to1!F2)</f>
        <v>5.4139755153646663</v>
      </c>
      <c r="C3" s="80">
        <f>(Stage4to1!K2+Stage3to1!K2+Stage2to1!K2+Stage1to1!K2+Stage4to2!K2+Stage3to2!K2+Stage2to2!K2)/(Stage4to1!G2+Stage3to1!G2+Stage2to1!G2+Stage1to1!G2+Stage4to2!G2+Stage3to2!G2+Stage2to2!G2)</f>
        <v>3.3643994024192465</v>
      </c>
      <c r="D3" s="81">
        <f>(Stage4to1!L2+Stage3to1!L2+Stage2to1!L2+Stage1to1!L2+Stage4to2!L2+Stage3to2!L2+Stage2to2!L2+Stage4to3!L2+Stage3to3!L2)/(Stage4to1!H2+Stage3to1!H2+Stage2to1!H2+Stage1to1!H2+Stage4to2!H2+Stage3to2!H2+Stage2to2!H2+Stage4to3!H2+Stage3to3!H2)</f>
        <v>1.9314957049018051</v>
      </c>
      <c r="E3" s="83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0.77499480589087244</v>
      </c>
      <c r="G3" s="9">
        <v>50</v>
      </c>
      <c r="H3" s="9">
        <v>15.926122000508569</v>
      </c>
      <c r="I3" s="85">
        <f t="shared" ref="I3:I32" si="0">ROUND(B3,1)</f>
        <v>5.4</v>
      </c>
      <c r="J3" s="86">
        <f t="shared" ref="J3:L18" si="1">ROUND(C3,1)</f>
        <v>3.4</v>
      </c>
      <c r="K3" s="81">
        <f t="shared" si="1"/>
        <v>1.9</v>
      </c>
      <c r="L3" s="83">
        <f t="shared" si="1"/>
        <v>0.8</v>
      </c>
      <c r="N3" s="9">
        <v>50</v>
      </c>
      <c r="O3" s="85">
        <f>ROUND(H3,1)</f>
        <v>15.9</v>
      </c>
      <c r="P3" s="85">
        <f>ROUND(I3,1)</f>
        <v>5.4</v>
      </c>
      <c r="Q3" s="86">
        <f t="shared" ref="Q3:Q32" si="2">ROUND(J3,1)</f>
        <v>3.4</v>
      </c>
      <c r="R3" s="81">
        <f t="shared" ref="R3:R32" si="3">ROUND(K3,1)</f>
        <v>1.9</v>
      </c>
      <c r="S3" s="83">
        <f t="shared" ref="S3:S32" si="4">ROUND(L3,1)</f>
        <v>0.8</v>
      </c>
    </row>
    <row r="4" spans="1:19" x14ac:dyDescent="0.2">
      <c r="A4" s="9">
        <v>51</v>
      </c>
      <c r="B4" s="5">
        <f>(Stage4to1!J3+Stage3to1!J3+Stage2to1!J3+Stage1to1!J3)/(Stage4to1!F3+Stage3to1!F3+Stage2to1!F3+Stage1to1!F3)</f>
        <v>5.411536981224943</v>
      </c>
      <c r="C4" s="80">
        <f>(Stage4to1!K3+Stage3to1!K3+Stage2to1!K3+Stage1to1!K3+Stage4to2!K3+Stage3to2!K3+Stage2to2!K3)/(Stage4to1!G3+Stage3to1!G3+Stage2to1!G3+Stage1to1!G3+Stage4to2!G3+Stage3to2!G3+Stage2to2!G3)</f>
        <v>3.3638337369527136</v>
      </c>
      <c r="D4" s="81">
        <f>(Stage4to1!L3+Stage3to1!L3+Stage2to1!L3+Stage1to1!L3+Stage4to2!L3+Stage3to2!L3+Stage2to2!L3+Stage4to3!L3+Stage3to3!L3)/(Stage4to1!H3+Stage3to1!H3+Stage2to1!H3+Stage1to1!H3+Stage4to2!H3+Stage3to2!H3+Stage2to2!H3+Stage4to3!H3+Stage3to3!H3)</f>
        <v>1.9313138524572031</v>
      </c>
      <c r="E4" s="83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0.77499679300906099</v>
      </c>
      <c r="G4" s="9">
        <v>51</v>
      </c>
      <c r="H4" s="9">
        <v>15.626546505635281</v>
      </c>
      <c r="I4" s="85">
        <f t="shared" si="0"/>
        <v>5.4</v>
      </c>
      <c r="J4" s="86">
        <f t="shared" si="1"/>
        <v>3.4</v>
      </c>
      <c r="K4" s="81">
        <f t="shared" si="1"/>
        <v>1.9</v>
      </c>
      <c r="L4" s="83">
        <f t="shared" si="1"/>
        <v>0.8</v>
      </c>
      <c r="N4" s="9">
        <v>51</v>
      </c>
      <c r="O4" s="85">
        <f t="shared" ref="O4:O32" si="5">ROUND(H4,1)</f>
        <v>15.6</v>
      </c>
      <c r="P4" s="85">
        <f t="shared" ref="P4:P32" si="6">ROUND(I4,1)</f>
        <v>5.4</v>
      </c>
      <c r="Q4" s="86">
        <f t="shared" si="2"/>
        <v>3.4</v>
      </c>
      <c r="R4" s="81">
        <f t="shared" si="3"/>
        <v>1.9</v>
      </c>
      <c r="S4" s="83">
        <f t="shared" si="4"/>
        <v>0.8</v>
      </c>
    </row>
    <row r="5" spans="1:19" x14ac:dyDescent="0.2">
      <c r="A5" s="9">
        <v>52</v>
      </c>
      <c r="B5" s="5">
        <f>(Stage4to1!J4+Stage3to1!J4+Stage2to1!J4+Stage1to1!J4)/(Stage4to1!F4+Stage3to1!F4+Stage2to1!F4+Stage1to1!F4)</f>
        <v>5.4088284992905571</v>
      </c>
      <c r="C5" s="5">
        <f>(Stage4to1!K4+Stage3to1!K4+Stage2to1!K4+Stage1to1!K4+Stage4to2!K4+Stage3to2!K4+Stage2to2!K4)/(Stage4to1!G4+Stage3to1!G4+Stage2to1!G4+Stage1to1!G4+Stage4to2!G4+Stage3to2!G4+Stage2to2!G4)</f>
        <v>3.363192111545998</v>
      </c>
      <c r="D5" s="81">
        <f>(Stage4to1!L4+Stage3to1!L4+Stage2to1!L4+Stage1to1!L4+Stage4to2!L4+Stage3to2!L4+Stage2to2!L4+Stage4to3!L4+Stage3to3!L4)/(Stage4to1!H4+Stage3to1!H4+Stage2to1!H4+Stage1to1!H4+Stage4to2!H4+Stage3to2!H4+Stage2to2!H4+Stage4to3!H4+Stage3to3!H4)</f>
        <v>1.9311247829695968</v>
      </c>
      <c r="E5" s="82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0.77499887372113141</v>
      </c>
      <c r="G5" s="9">
        <v>52</v>
      </c>
      <c r="H5" s="9">
        <v>15.322131149663623</v>
      </c>
      <c r="I5" s="85">
        <f t="shared" si="0"/>
        <v>5.4</v>
      </c>
      <c r="J5" s="85">
        <f t="shared" si="1"/>
        <v>3.4</v>
      </c>
      <c r="K5" s="81">
        <f t="shared" si="1"/>
        <v>1.9</v>
      </c>
      <c r="L5" s="82">
        <f t="shared" si="1"/>
        <v>0.8</v>
      </c>
      <c r="N5" s="9">
        <v>52</v>
      </c>
      <c r="O5" s="85">
        <f t="shared" si="5"/>
        <v>15.3</v>
      </c>
      <c r="P5" s="85">
        <f t="shared" si="6"/>
        <v>5.4</v>
      </c>
      <c r="Q5" s="85">
        <f t="shared" si="2"/>
        <v>3.4</v>
      </c>
      <c r="R5" s="81">
        <f t="shared" si="3"/>
        <v>1.9</v>
      </c>
      <c r="S5" s="82">
        <f t="shared" si="4"/>
        <v>0.8</v>
      </c>
    </row>
    <row r="6" spans="1:19" x14ac:dyDescent="0.2">
      <c r="A6" s="9">
        <v>53</v>
      </c>
      <c r="B6" s="5">
        <f>(Stage4to1!J5+Stage3to1!J5+Stage2to1!J5+Stage1to1!J5)/(Stage4to1!F5+Stage3to1!F5+Stage2to1!F5+Stage1to1!F5)</f>
        <v>5.4058427348394238</v>
      </c>
      <c r="C6" s="5">
        <f>(Stage4to1!K5+Stage3to1!K5+Stage2to1!K5+Stage1to1!K5+Stage4to2!K5+Stage3to2!K5+Stage2to2!K5)/(Stage4to1!G5+Stage3to1!G5+Stage2to1!G5+Stage1to1!G5+Stage4to2!G5+Stage3to2!G5+Stage2to2!G5)</f>
        <v>3.3624476466973752</v>
      </c>
      <c r="D6" s="81">
        <f>(Stage4to1!L5+Stage3to1!L5+Stage2to1!L5+Stage1to1!L5+Stage4to2!L5+Stage3to2!L5+Stage2to2!L5+Stage4to3!L5+Stage3to3!L5)/(Stage4to1!H5+Stage3to1!H5+Stage2to1!H5+Stage1to1!H5+Stage4to2!H5+Stage3to2!H5+Stage2to2!H5+Stage4to3!H5+Stage3to3!H5)</f>
        <v>1.9308954547944936</v>
      </c>
      <c r="E6" s="82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0.7750005511193625</v>
      </c>
      <c r="G6" s="9">
        <v>53</v>
      </c>
      <c r="H6" s="9">
        <v>15.012754432058637</v>
      </c>
      <c r="I6" s="85">
        <f t="shared" si="0"/>
        <v>5.4</v>
      </c>
      <c r="J6" s="85">
        <f t="shared" si="1"/>
        <v>3.4</v>
      </c>
      <c r="K6" s="81">
        <f t="shared" si="1"/>
        <v>1.9</v>
      </c>
      <c r="L6" s="82">
        <f t="shared" si="1"/>
        <v>0.8</v>
      </c>
      <c r="N6" s="9">
        <v>53</v>
      </c>
      <c r="O6" s="85">
        <f t="shared" si="5"/>
        <v>15</v>
      </c>
      <c r="P6" s="85">
        <f t="shared" si="6"/>
        <v>5.4</v>
      </c>
      <c r="Q6" s="85">
        <f t="shared" si="2"/>
        <v>3.4</v>
      </c>
      <c r="R6" s="81">
        <f t="shared" si="3"/>
        <v>1.9</v>
      </c>
      <c r="S6" s="82">
        <f t="shared" si="4"/>
        <v>0.8</v>
      </c>
    </row>
    <row r="7" spans="1:19" x14ac:dyDescent="0.2">
      <c r="A7" s="9">
        <v>54</v>
      </c>
      <c r="B7" s="5">
        <f>(Stage4to1!J6+Stage3to1!J6+Stage2to1!J6+Stage1to1!J6)/(Stage4to1!F6+Stage3to1!F6+Stage2to1!F6+Stage1to1!F6)</f>
        <v>5.4026471649597179</v>
      </c>
      <c r="C7" s="5">
        <f>(Stage4to1!K6+Stage3to1!K6+Stage2to1!K6+Stage1to1!K6+Stage4to2!K6+Stage3to2!K6+Stage2to2!K6)/(Stage4to1!G6+Stage3to1!G6+Stage2to1!G6+Stage1to1!G6+Stage4to2!G6+Stage3to2!G6+Stage2to2!G6)</f>
        <v>3.3616484359569965</v>
      </c>
      <c r="D7" s="81">
        <f>(Stage4to1!L6+Stage3to1!L6+Stage2to1!L6+Stage1to1!L6+Stage4to2!L6+Stage3to2!L6+Stage2to2!L6+Stage4to3!L6+Stage3to3!L6)/(Stage4to1!H6+Stage3to1!H6+Stage2to1!H6+Stage1to1!H6+Stage4to2!H6+Stage3to2!H6+Stage2to2!H6+Stage4to3!H6+Stage3to3!H6)</f>
        <v>1.9306493222119485</v>
      </c>
      <c r="E7" s="82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0.77500340637246445</v>
      </c>
      <c r="G7" s="9">
        <v>54</v>
      </c>
      <c r="H7" s="9">
        <v>14.697495065074159</v>
      </c>
      <c r="I7" s="85">
        <f t="shared" si="0"/>
        <v>5.4</v>
      </c>
      <c r="J7" s="85">
        <f t="shared" si="1"/>
        <v>3.4</v>
      </c>
      <c r="K7" s="81">
        <f t="shared" si="1"/>
        <v>1.9</v>
      </c>
      <c r="L7" s="82">
        <f t="shared" si="1"/>
        <v>0.8</v>
      </c>
      <c r="N7" s="9">
        <v>54</v>
      </c>
      <c r="O7" s="85">
        <f t="shared" si="5"/>
        <v>14.7</v>
      </c>
      <c r="P7" s="85">
        <f t="shared" si="6"/>
        <v>5.4</v>
      </c>
      <c r="Q7" s="85">
        <f t="shared" si="2"/>
        <v>3.4</v>
      </c>
      <c r="R7" s="81">
        <f t="shared" si="3"/>
        <v>1.9</v>
      </c>
      <c r="S7" s="82">
        <f t="shared" si="4"/>
        <v>0.8</v>
      </c>
    </row>
    <row r="8" spans="1:19" x14ac:dyDescent="0.2">
      <c r="A8" s="9">
        <v>55</v>
      </c>
      <c r="B8" s="5">
        <f>(Stage4to1!J7+Stage3to1!J7+Stage2to1!J7+Stage1to1!J7)/(Stage4to1!F7+Stage3to1!F7+Stage2to1!F7+Stage1to1!F7)</f>
        <v>4.889940110612395</v>
      </c>
      <c r="C8" s="5">
        <f>(Stage4to1!K7+Stage3to1!K7+Stage2to1!K7+Stage1to1!K7+Stage4to2!K7+Stage3to2!K7+Stage2to2!K7)/(Stage4to1!G7+Stage3to1!G7+Stage2to1!G7+Stage1to1!G7+Stage4to2!G7+Stage3to2!G7+Stage2to2!G7)</f>
        <v>3.0963828584049953</v>
      </c>
      <c r="D8" s="81">
        <f>(Stage4to1!L7+Stage3to1!L7+Stage2to1!L7+Stage1to1!L7+Stage4to2!L7+Stage3to2!L7+Stage2to2!L7+Stage4to3!L7+Stage3to3!L7)/(Stage4to1!H7+Stage3to1!H7+Stage2to1!H7+Stage1to1!H7+Stage4to2!H7+Stage3to2!H7+Stage2to2!H7+Stage4to3!H7+Stage3to3!H7)</f>
        <v>1.6412506579799759</v>
      </c>
      <c r="E8" s="83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0.51606394701863612</v>
      </c>
      <c r="G8" s="9">
        <v>55</v>
      </c>
      <c r="H8" s="9">
        <v>14.376846049254485</v>
      </c>
      <c r="I8" s="85">
        <f t="shared" si="0"/>
        <v>4.9000000000000004</v>
      </c>
      <c r="J8" s="85">
        <f t="shared" si="1"/>
        <v>3.1</v>
      </c>
      <c r="K8" s="81">
        <f t="shared" si="1"/>
        <v>1.6</v>
      </c>
      <c r="L8" s="83">
        <f t="shared" si="1"/>
        <v>0.5</v>
      </c>
      <c r="N8" s="9">
        <v>55</v>
      </c>
      <c r="O8" s="85">
        <f t="shared" si="5"/>
        <v>14.4</v>
      </c>
      <c r="P8" s="85">
        <f t="shared" si="6"/>
        <v>4.9000000000000004</v>
      </c>
      <c r="Q8" s="85">
        <f t="shared" si="2"/>
        <v>3.1</v>
      </c>
      <c r="R8" s="81">
        <f t="shared" si="3"/>
        <v>1.6</v>
      </c>
      <c r="S8" s="83">
        <f t="shared" si="4"/>
        <v>0.5</v>
      </c>
    </row>
    <row r="9" spans="1:19" x14ac:dyDescent="0.2">
      <c r="A9" s="9">
        <v>56</v>
      </c>
      <c r="B9" s="5">
        <f>(Stage4to1!J8+Stage3to1!J8+Stage2to1!J8+Stage1to1!J8)/(Stage4to1!F8+Stage3to1!F8+Stage2to1!F8+Stage1to1!F8)</f>
        <v>4.8863547688063083</v>
      </c>
      <c r="C9" s="5">
        <f>(Stage4to1!K8+Stage3to1!K8+Stage2to1!K8+Stage1to1!K8+Stage4to2!K8+Stage3to2!K8+Stage2to2!K8)/(Stage4to1!G8+Stage3to1!G8+Stage2to1!G8+Stage1to1!G8+Stage4to2!G8+Stage3to2!G8+Stage2to2!G8)</f>
        <v>3.0954621157050153</v>
      </c>
      <c r="D9" s="81">
        <f>(Stage4to1!L8+Stage3to1!L8+Stage2to1!L8+Stage1to1!L8+Stage4to2!L8+Stage3to2!L8+Stage2to2!L8+Stage4to3!L8+Stage3to3!L8)/(Stage4to1!H8+Stage3to1!H8+Stage2to1!H8+Stage1to1!H8+Stage4to2!H8+Stage3to2!H8+Stage2to2!H8+Stage4to3!H8+Stage3to3!H8)</f>
        <v>1.6409388470774193</v>
      </c>
      <c r="E9" s="83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0.51606554979505659</v>
      </c>
      <c r="G9" s="9">
        <v>56</v>
      </c>
      <c r="H9" s="9">
        <v>14.051780177708862</v>
      </c>
      <c r="I9" s="85">
        <f t="shared" si="0"/>
        <v>4.9000000000000004</v>
      </c>
      <c r="J9" s="85">
        <f t="shared" si="1"/>
        <v>3.1</v>
      </c>
      <c r="K9" s="81">
        <f t="shared" si="1"/>
        <v>1.6</v>
      </c>
      <c r="L9" s="83">
        <f t="shared" si="1"/>
        <v>0.5</v>
      </c>
      <c r="N9" s="9">
        <v>56</v>
      </c>
      <c r="O9" s="85">
        <f t="shared" si="5"/>
        <v>14.1</v>
      </c>
      <c r="P9" s="85">
        <f t="shared" si="6"/>
        <v>4.9000000000000004</v>
      </c>
      <c r="Q9" s="85">
        <f t="shared" si="2"/>
        <v>3.1</v>
      </c>
      <c r="R9" s="81">
        <f t="shared" si="3"/>
        <v>1.6</v>
      </c>
      <c r="S9" s="83">
        <f t="shared" si="4"/>
        <v>0.5</v>
      </c>
    </row>
    <row r="10" spans="1:19" x14ac:dyDescent="0.2">
      <c r="A10" s="9">
        <v>57</v>
      </c>
      <c r="B10" s="5">
        <f>(Stage4to1!J9+Stage3to1!J9+Stage2to1!J9+Stage1to1!J9)/(Stage4to1!F9+Stage3to1!F9+Stage2to1!F9+Stage1to1!F9)</f>
        <v>4.8825314442416969</v>
      </c>
      <c r="C10" s="5">
        <f>(Stage4to1!K9+Stage3to1!K9+Stage2to1!K9+Stage1to1!K9+Stage4to2!K9+Stage3to2!K9+Stage2to2!K9)/(Stage4to1!G9+Stage3to1!G9+Stage2to1!G9+Stage1to1!G9+Stage4to2!G9+Stage3to2!G9+Stage2to2!G9)</f>
        <v>3.0945243714586925</v>
      </c>
      <c r="D10" s="81">
        <f>(Stage4to1!L9+Stage3to1!L9+Stage2to1!L9+Stage1to1!L9+Stage4to2!L9+Stage3to2!L9+Stage2to2!L9+Stage4to3!L9+Stage3to3!L9)/(Stage4to1!H9+Stage3to1!H9+Stage2to1!H9+Stage1to1!H9+Stage4to2!H9+Stage3to2!H9+Stage2to2!H9+Stage4to3!H9+Stage3to3!H9)</f>
        <v>1.6405745915375971</v>
      </c>
      <c r="E10" s="83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0.51606778779038986</v>
      </c>
      <c r="G10" s="9">
        <v>57</v>
      </c>
      <c r="H10" s="9">
        <v>13.723301505379617</v>
      </c>
      <c r="I10" s="85">
        <f t="shared" si="0"/>
        <v>4.9000000000000004</v>
      </c>
      <c r="J10" s="85">
        <f t="shared" si="1"/>
        <v>3.1</v>
      </c>
      <c r="K10" s="81">
        <f t="shared" si="1"/>
        <v>1.6</v>
      </c>
      <c r="L10" s="83">
        <f t="shared" si="1"/>
        <v>0.5</v>
      </c>
      <c r="N10" s="9">
        <v>57</v>
      </c>
      <c r="O10" s="85">
        <f t="shared" si="5"/>
        <v>13.7</v>
      </c>
      <c r="P10" s="85">
        <f t="shared" si="6"/>
        <v>4.9000000000000004</v>
      </c>
      <c r="Q10" s="85">
        <f t="shared" si="2"/>
        <v>3.1</v>
      </c>
      <c r="R10" s="81">
        <f t="shared" si="3"/>
        <v>1.6</v>
      </c>
      <c r="S10" s="83">
        <f t="shared" si="4"/>
        <v>0.5</v>
      </c>
    </row>
    <row r="11" spans="1:19" x14ac:dyDescent="0.2">
      <c r="A11" s="9">
        <v>58</v>
      </c>
      <c r="B11" s="5">
        <f>(Stage4to1!J10+Stage3to1!J10+Stage2to1!J10+Stage1to1!J10)/(Stage4to1!F10+Stage3to1!F10+Stage2to1!F10+Stage1to1!F10)</f>
        <v>4.8784032222404896</v>
      </c>
      <c r="C11" s="5">
        <f>(Stage4to1!K10+Stage3to1!K10+Stage2to1!K10+Stage1to1!K10+Stage4to2!K10+Stage3to2!K10+Stage2to2!K10)/(Stage4to1!G10+Stage3to1!G10+Stage2to1!G10+Stage1to1!G10+Stage4to2!G10+Stage3to2!G10+Stage2to2!G10)</f>
        <v>3.0936070263796211</v>
      </c>
      <c r="D11" s="81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1.6401895940116509</v>
      </c>
      <c r="E11" s="83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0.51607066869861218</v>
      </c>
      <c r="G11" s="9">
        <v>58</v>
      </c>
      <c r="H11" s="9">
        <v>13.390654143540313</v>
      </c>
      <c r="I11" s="85">
        <f t="shared" si="0"/>
        <v>4.9000000000000004</v>
      </c>
      <c r="J11" s="85">
        <f t="shared" si="1"/>
        <v>3.1</v>
      </c>
      <c r="K11" s="81">
        <f t="shared" si="1"/>
        <v>1.6</v>
      </c>
      <c r="L11" s="83">
        <f t="shared" si="1"/>
        <v>0.5</v>
      </c>
      <c r="N11" s="9">
        <v>58</v>
      </c>
      <c r="O11" s="85">
        <f t="shared" si="5"/>
        <v>13.4</v>
      </c>
      <c r="P11" s="85">
        <f t="shared" si="6"/>
        <v>4.9000000000000004</v>
      </c>
      <c r="Q11" s="85">
        <f t="shared" si="2"/>
        <v>3.1</v>
      </c>
      <c r="R11" s="81">
        <f t="shared" si="3"/>
        <v>1.6</v>
      </c>
      <c r="S11" s="83">
        <f t="shared" si="4"/>
        <v>0.5</v>
      </c>
    </row>
    <row r="12" spans="1:19" x14ac:dyDescent="0.2">
      <c r="A12" s="9">
        <v>59</v>
      </c>
      <c r="B12" s="5">
        <f>(Stage4to1!J11+Stage3to1!J11+Stage2to1!J11+Stage1to1!J11)/(Stage4to1!F11+Stage3to1!F11+Stage2to1!F11+Stage1to1!F11)</f>
        <v>4.8738860934130006</v>
      </c>
      <c r="C12" s="5">
        <f>(Stage4to1!K11+Stage3to1!K11+Stage2to1!K11+Stage1to1!K11+Stage4to2!K11+Stage3to2!K11+Stage2to2!K11)/(Stage4to1!G11+Stage3to1!G11+Stage2to1!G11+Stage1to1!G11+Stage4to2!G11+Stage3to2!G11+Stage2to2!G11)</f>
        <v>3.0926566331020076</v>
      </c>
      <c r="D12" s="81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1.6398207592652305</v>
      </c>
      <c r="E12" s="83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0.51607408046199188</v>
      </c>
      <c r="G12" s="9">
        <v>59</v>
      </c>
      <c r="H12" s="9">
        <v>13.054301269697056</v>
      </c>
      <c r="I12" s="85">
        <f t="shared" si="0"/>
        <v>4.9000000000000004</v>
      </c>
      <c r="J12" s="85">
        <f t="shared" si="1"/>
        <v>3.1</v>
      </c>
      <c r="K12" s="81">
        <f t="shared" si="1"/>
        <v>1.6</v>
      </c>
      <c r="L12" s="83">
        <f t="shared" si="1"/>
        <v>0.5</v>
      </c>
      <c r="N12" s="9">
        <v>59</v>
      </c>
      <c r="O12" s="85">
        <f t="shared" si="5"/>
        <v>13.1</v>
      </c>
      <c r="P12" s="85">
        <f t="shared" si="6"/>
        <v>4.9000000000000004</v>
      </c>
      <c r="Q12" s="85">
        <f t="shared" si="2"/>
        <v>3.1</v>
      </c>
      <c r="R12" s="81">
        <f t="shared" si="3"/>
        <v>1.6</v>
      </c>
      <c r="S12" s="83">
        <f t="shared" si="4"/>
        <v>0.5</v>
      </c>
    </row>
    <row r="13" spans="1:19" x14ac:dyDescent="0.2">
      <c r="A13" s="9">
        <v>60</v>
      </c>
      <c r="B13" s="5">
        <f>(Stage4to1!J12+Stage3to1!J12+Stage2to1!J12+Stage1to1!J12)/(Stage4to1!F12+Stage3to1!F12+Stage2to1!F12+Stage1to1!F12)</f>
        <v>4.5401202467026573</v>
      </c>
      <c r="C13" s="5">
        <f>(Stage4to1!K12+Stage3to1!K12+Stage2to1!K12+Stage1to1!K12+Stage4to2!K12+Stage3to2!K12+Stage2to2!K12)/(Stage4to1!G12+Stage3to1!G12+Stage2to1!G12+Stage1to1!G12+Stage4to2!G12+Stage3to2!G12+Stage2to2!G12)</f>
        <v>2.8277609181350285</v>
      </c>
      <c r="D13" s="81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1.5759347104859442</v>
      </c>
      <c r="E13" s="83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0.47441214080536015</v>
      </c>
      <c r="G13" s="9">
        <v>60</v>
      </c>
      <c r="H13" s="9">
        <v>12.71338456</v>
      </c>
      <c r="I13" s="85">
        <f t="shared" si="0"/>
        <v>4.5</v>
      </c>
      <c r="J13" s="85">
        <f t="shared" si="1"/>
        <v>2.8</v>
      </c>
      <c r="K13" s="81">
        <f t="shared" si="1"/>
        <v>1.6</v>
      </c>
      <c r="L13" s="83">
        <f t="shared" si="1"/>
        <v>0.5</v>
      </c>
      <c r="N13" s="9">
        <v>60</v>
      </c>
      <c r="O13" s="85">
        <f t="shared" si="5"/>
        <v>12.7</v>
      </c>
      <c r="P13" s="85">
        <f t="shared" si="6"/>
        <v>4.5</v>
      </c>
      <c r="Q13" s="85">
        <f t="shared" si="2"/>
        <v>2.8</v>
      </c>
      <c r="R13" s="81">
        <f t="shared" si="3"/>
        <v>1.6</v>
      </c>
      <c r="S13" s="83">
        <f t="shared" si="4"/>
        <v>0.5</v>
      </c>
    </row>
    <row r="14" spans="1:19" x14ac:dyDescent="0.2">
      <c r="A14" s="9">
        <v>61</v>
      </c>
      <c r="B14" s="5">
        <f>(Stage4to1!J13+Stage3to1!J13+Stage2to1!J13+Stage1to1!J13)/(Stage4to1!F13+Stage3to1!F13+Stage2to1!F13+Stage1to1!F13)</f>
        <v>4.5355353714457749</v>
      </c>
      <c r="C14" s="5">
        <f>(Stage4to1!K13+Stage3to1!K13+Stage2to1!K13+Stage1to1!K13+Stage4to2!K13+Stage3to2!K13+Stage2to2!K13)/(Stage4to1!G13+Stage3to1!G13+Stage2to1!G13+Stage1to1!G13+Stage4to2!G13+Stage3to2!G13+Stage2to2!G13)</f>
        <v>2.826654626317763</v>
      </c>
      <c r="D14" s="81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1.5755451038870802</v>
      </c>
      <c r="E14" s="83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0.47441485790046023</v>
      </c>
      <c r="G14" s="9">
        <v>61</v>
      </c>
      <c r="H14" s="9">
        <v>12.369370774719757</v>
      </c>
      <c r="I14" s="85">
        <f t="shared" si="0"/>
        <v>4.5</v>
      </c>
      <c r="J14" s="85">
        <f t="shared" si="1"/>
        <v>2.8</v>
      </c>
      <c r="K14" s="81">
        <f t="shared" si="1"/>
        <v>1.6</v>
      </c>
      <c r="L14" s="83">
        <f t="shared" si="1"/>
        <v>0.5</v>
      </c>
      <c r="N14" s="9">
        <v>61</v>
      </c>
      <c r="O14" s="85">
        <f t="shared" si="5"/>
        <v>12.4</v>
      </c>
      <c r="P14" s="85">
        <f t="shared" si="6"/>
        <v>4.5</v>
      </c>
      <c r="Q14" s="85">
        <f t="shared" si="2"/>
        <v>2.8</v>
      </c>
      <c r="R14" s="81">
        <f t="shared" si="3"/>
        <v>1.6</v>
      </c>
      <c r="S14" s="83">
        <f t="shared" si="4"/>
        <v>0.5</v>
      </c>
    </row>
    <row r="15" spans="1:19" x14ac:dyDescent="0.2">
      <c r="A15" s="9">
        <v>62</v>
      </c>
      <c r="B15" s="5">
        <f>(Stage4to1!J14+Stage3to1!J14+Stage2to1!J14+Stage1to1!J14)/(Stage4to1!F14+Stage3to1!F14+Stage2to1!F14+Stage1to1!F14)</f>
        <v>4.5304877344755292</v>
      </c>
      <c r="C15" s="5">
        <f>(Stage4to1!K14+Stage3to1!K14+Stage2to1!K14+Stage1to1!K14+Stage4to2!K14+Stage3to2!K14+Stage2to2!K14)/(Stage4to1!G14+Stage3to1!G14+Stage2to1!G14+Stage1to1!G14+Stage4to2!G14+Stage3to2!G14+Stage2to2!G14)</f>
        <v>2.8254764034472863</v>
      </c>
      <c r="D15" s="81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1.5751290951146977</v>
      </c>
      <c r="E15" s="83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0.47441805476019178</v>
      </c>
      <c r="G15" s="9">
        <v>62</v>
      </c>
      <c r="H15" s="9">
        <v>12.021492932772711</v>
      </c>
      <c r="I15" s="85">
        <f t="shared" si="0"/>
        <v>4.5</v>
      </c>
      <c r="J15" s="85">
        <f t="shared" si="1"/>
        <v>2.8</v>
      </c>
      <c r="K15" s="81">
        <f t="shared" si="1"/>
        <v>1.6</v>
      </c>
      <c r="L15" s="83">
        <f t="shared" si="1"/>
        <v>0.5</v>
      </c>
      <c r="N15" s="9">
        <v>62</v>
      </c>
      <c r="O15" s="85">
        <f t="shared" si="5"/>
        <v>12</v>
      </c>
      <c r="P15" s="85">
        <f t="shared" si="6"/>
        <v>4.5</v>
      </c>
      <c r="Q15" s="85">
        <f t="shared" si="2"/>
        <v>2.8</v>
      </c>
      <c r="R15" s="81">
        <f t="shared" si="3"/>
        <v>1.6</v>
      </c>
      <c r="S15" s="83">
        <f t="shared" si="4"/>
        <v>0.5</v>
      </c>
    </row>
    <row r="16" spans="1:19" x14ac:dyDescent="0.2">
      <c r="A16" s="9">
        <v>63</v>
      </c>
      <c r="B16" s="5">
        <f>(Stage4to1!J15+Stage3to1!J15+Stage2to1!J15+Stage1to1!J15)/(Stage4to1!F15+Stage3to1!F15+Stage2to1!F15+Stage1to1!F15)</f>
        <v>4.5247700525961863</v>
      </c>
      <c r="C16" s="5">
        <f>(Stage4to1!K15+Stage3to1!K15+Stage2to1!K15+Stage1to1!K15+Stage4to2!K15+Stage3to2!K15+Stage2to2!K15)/(Stage4to1!G15+Stage3to1!G15+Stage2to1!G15+Stage1to1!G15+Stage4to2!G15+Stage3to2!G15+Stage2to2!G15)</f>
        <v>2.8241920681829549</v>
      </c>
      <c r="D16" s="81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1.5746866523382352</v>
      </c>
      <c r="E16" s="83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0.47442136300437487</v>
      </c>
      <c r="G16" s="9">
        <v>63</v>
      </c>
      <c r="H16" s="9">
        <v>11.673321209999999</v>
      </c>
      <c r="I16" s="85">
        <f t="shared" si="0"/>
        <v>4.5</v>
      </c>
      <c r="J16" s="85">
        <f t="shared" si="1"/>
        <v>2.8</v>
      </c>
      <c r="K16" s="81">
        <f t="shared" si="1"/>
        <v>1.6</v>
      </c>
      <c r="L16" s="83">
        <f t="shared" si="1"/>
        <v>0.5</v>
      </c>
      <c r="N16" s="9">
        <v>63</v>
      </c>
      <c r="O16" s="85">
        <f t="shared" si="5"/>
        <v>11.7</v>
      </c>
      <c r="P16" s="85">
        <f t="shared" si="6"/>
        <v>4.5</v>
      </c>
      <c r="Q16" s="85">
        <f t="shared" si="2"/>
        <v>2.8</v>
      </c>
      <c r="R16" s="81">
        <f t="shared" si="3"/>
        <v>1.6</v>
      </c>
      <c r="S16" s="83">
        <f t="shared" si="4"/>
        <v>0.5</v>
      </c>
    </row>
    <row r="17" spans="1:19" x14ac:dyDescent="0.2">
      <c r="A17" s="9">
        <v>64</v>
      </c>
      <c r="B17" s="5">
        <f>(Stage4to1!J16+Stage3to1!J16+Stage2to1!J16+Stage1to1!J16)/(Stage4to1!F16+Stage3to1!F16+Stage2to1!F16+Stage1to1!F16)</f>
        <v>4.518237731918382</v>
      </c>
      <c r="C17" s="5">
        <f>(Stage4to1!K16+Stage3to1!K16+Stage2to1!K16+Stage1to1!K16+Stage4to2!K16+Stage3to2!K16+Stage2to2!K16)/(Stage4to1!G16+Stage3to1!G16+Stage2to1!G16+Stage1to1!G16+Stage4to2!G16+Stage3to2!G16+Stage2to2!G16)</f>
        <v>2.8227622948397415</v>
      </c>
      <c r="D17" s="81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1.5742143287717938</v>
      </c>
      <c r="E17" s="83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0.47442486162699538</v>
      </c>
      <c r="G17" s="9">
        <v>64</v>
      </c>
      <c r="H17" s="9">
        <v>11.321559175838875</v>
      </c>
      <c r="I17" s="85">
        <f t="shared" si="0"/>
        <v>4.5</v>
      </c>
      <c r="J17" s="85">
        <f t="shared" si="1"/>
        <v>2.8</v>
      </c>
      <c r="K17" s="81">
        <f t="shared" si="1"/>
        <v>1.6</v>
      </c>
      <c r="L17" s="83">
        <f t="shared" si="1"/>
        <v>0.5</v>
      </c>
      <c r="N17" s="9">
        <v>64</v>
      </c>
      <c r="O17" s="85">
        <f t="shared" si="5"/>
        <v>11.3</v>
      </c>
      <c r="P17" s="85">
        <f t="shared" si="6"/>
        <v>4.5</v>
      </c>
      <c r="Q17" s="85">
        <f t="shared" si="2"/>
        <v>2.8</v>
      </c>
      <c r="R17" s="81">
        <f t="shared" si="3"/>
        <v>1.6</v>
      </c>
      <c r="S17" s="83">
        <f t="shared" si="4"/>
        <v>0.5</v>
      </c>
    </row>
    <row r="18" spans="1:19" x14ac:dyDescent="0.2">
      <c r="A18" s="9">
        <v>65</v>
      </c>
      <c r="B18" s="5">
        <f>(Stage4to1!J17+Stage3to1!J17+Stage2to1!J17+Stage1to1!J17)/(Stage4to1!F17+Stage3to1!F17+Stage2to1!F17+Stage1to1!F17)</f>
        <v>4.2227364357099839</v>
      </c>
      <c r="C18" s="5">
        <f>(Stage4to1!K17+Stage3to1!K17+Stage2to1!K17+Stage1to1!K17+Stage4to2!K17+Stage3to2!K17+Stage2to2!K17)/(Stage4to1!G17+Stage3to1!G17+Stage2to1!G17+Stage1to1!G17+Stage4to2!G17+Stage3to2!G17+Stage2to2!G17)</f>
        <v>2.4957974158528704</v>
      </c>
      <c r="D18" s="81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1.4492438153139839</v>
      </c>
      <c r="E18" s="83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0.39874340406616104</v>
      </c>
      <c r="G18" s="9">
        <v>65</v>
      </c>
      <c r="H18" s="9">
        <v>10.965912530000001</v>
      </c>
      <c r="I18" s="85">
        <f t="shared" si="0"/>
        <v>4.2</v>
      </c>
      <c r="J18" s="85">
        <f t="shared" si="1"/>
        <v>2.5</v>
      </c>
      <c r="K18" s="81">
        <f t="shared" si="1"/>
        <v>1.4</v>
      </c>
      <c r="L18" s="83">
        <f t="shared" si="1"/>
        <v>0.4</v>
      </c>
      <c r="N18" s="9">
        <v>65</v>
      </c>
      <c r="O18" s="85">
        <f t="shared" si="5"/>
        <v>11</v>
      </c>
      <c r="P18" s="85">
        <f t="shared" si="6"/>
        <v>4.2</v>
      </c>
      <c r="Q18" s="85">
        <f t="shared" si="2"/>
        <v>2.5</v>
      </c>
      <c r="R18" s="81">
        <f t="shared" si="3"/>
        <v>1.4</v>
      </c>
      <c r="S18" s="83">
        <f t="shared" si="4"/>
        <v>0.4</v>
      </c>
    </row>
    <row r="19" spans="1:19" x14ac:dyDescent="0.2">
      <c r="A19" s="9">
        <v>66</v>
      </c>
      <c r="B19" s="5">
        <f>(Stage4to1!J18+Stage3to1!J18+Stage2to1!J18+Stage1to1!J18)/(Stage4to1!F18+Stage3to1!F18+Stage2to1!F18+Stage1to1!F18)</f>
        <v>4.2153413325451767</v>
      </c>
      <c r="C19" s="5">
        <f>(Stage4to1!K18+Stage3to1!K18+Stage2to1!K18+Stage1to1!K18+Stage4to2!K18+Stage3to2!K18+Stage2to2!K18)/(Stage4to1!G18+Stage3to1!G18+Stage2to1!G18+Stage1to1!G18+Stage4to2!G18+Stage3to2!G18+Stage2to2!G18)</f>
        <v>2.4938854581981293</v>
      </c>
      <c r="D19" s="81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1.4486524559335943</v>
      </c>
      <c r="E19" s="83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0.3987470918475744</v>
      </c>
      <c r="G19" s="9">
        <v>66</v>
      </c>
      <c r="H19" s="9">
        <v>10.608452959999999</v>
      </c>
      <c r="I19" s="85">
        <f t="shared" si="0"/>
        <v>4.2</v>
      </c>
      <c r="J19" s="85">
        <f t="shared" ref="J19:J32" si="7">ROUND(C19,1)</f>
        <v>2.5</v>
      </c>
      <c r="K19" s="81">
        <f t="shared" ref="K19:K32" si="8">ROUND(D19,1)</f>
        <v>1.4</v>
      </c>
      <c r="L19" s="83">
        <f t="shared" ref="L19:L32" si="9">ROUND(E19,1)</f>
        <v>0.4</v>
      </c>
      <c r="N19" s="9">
        <v>66</v>
      </c>
      <c r="O19" s="85">
        <f t="shared" si="5"/>
        <v>10.6</v>
      </c>
      <c r="P19" s="85">
        <f t="shared" si="6"/>
        <v>4.2</v>
      </c>
      <c r="Q19" s="85">
        <f t="shared" si="2"/>
        <v>2.5</v>
      </c>
      <c r="R19" s="81">
        <f t="shared" si="3"/>
        <v>1.4</v>
      </c>
      <c r="S19" s="83">
        <f t="shared" si="4"/>
        <v>0.4</v>
      </c>
    </row>
    <row r="20" spans="1:19" x14ac:dyDescent="0.2">
      <c r="A20" s="9">
        <v>67</v>
      </c>
      <c r="B20" s="5">
        <f>(Stage4to1!J19+Stage3to1!J19+Stage2to1!J19+Stage1to1!J19)/(Stage4to1!F19+Stage3to1!F19+Stage2to1!F19+Stage1to1!F19)</f>
        <v>4.2066643506802386</v>
      </c>
      <c r="C20" s="5">
        <f>(Stage4to1!K19+Stage3to1!K19+Stage2to1!K19+Stage1to1!K19+Stage4to2!K19+Stage3to2!K19+Stage2to2!K19)/(Stage4to1!G19+Stage3to1!G19+Stage2to1!G19+Stage1to1!G19+Stage4to2!G19+Stage3to2!G19+Stage2to2!G19)</f>
        <v>2.4917687036548961</v>
      </c>
      <c r="D20" s="81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1.4480312245324409</v>
      </c>
      <c r="E20" s="83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0.39875111410988445</v>
      </c>
      <c r="G20" s="9">
        <v>67</v>
      </c>
      <c r="H20" s="9">
        <v>10.24776249</v>
      </c>
      <c r="I20" s="85">
        <f t="shared" si="0"/>
        <v>4.2</v>
      </c>
      <c r="J20" s="85">
        <f t="shared" si="7"/>
        <v>2.5</v>
      </c>
      <c r="K20" s="81">
        <f t="shared" si="8"/>
        <v>1.4</v>
      </c>
      <c r="L20" s="83">
        <f t="shared" si="9"/>
        <v>0.4</v>
      </c>
      <c r="N20" s="9">
        <v>67</v>
      </c>
      <c r="O20" s="85">
        <f t="shared" si="5"/>
        <v>10.199999999999999</v>
      </c>
      <c r="P20" s="85">
        <f t="shared" si="6"/>
        <v>4.2</v>
      </c>
      <c r="Q20" s="85">
        <f t="shared" si="2"/>
        <v>2.5</v>
      </c>
      <c r="R20" s="81">
        <f t="shared" si="3"/>
        <v>1.4</v>
      </c>
      <c r="S20" s="83">
        <f t="shared" si="4"/>
        <v>0.4</v>
      </c>
    </row>
    <row r="21" spans="1:19" x14ac:dyDescent="0.2">
      <c r="A21" s="9">
        <v>68</v>
      </c>
      <c r="B21" s="5">
        <f>(Stage4to1!J20+Stage3to1!J20+Stage2to1!J20+Stage1to1!J20)/(Stage4to1!F20+Stage3to1!F20+Stage2to1!F20+Stage1to1!F20)</f>
        <v>4.1964250388403759</v>
      </c>
      <c r="C21" s="5">
        <f>(Stage4to1!K20+Stage3to1!K20+Stage2to1!K20+Stage1to1!K20+Stage4to2!K20+Stage3to2!K20+Stage2to2!K20)/(Stage4to1!G20+Stage3to1!G20+Stage2to1!G20+Stage1to1!G20+Stage4to2!G20+Stage3to2!G20+Stage2to2!G20)</f>
        <v>2.4892859807340568</v>
      </c>
      <c r="D21" s="81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1.4473938402258617</v>
      </c>
      <c r="E21" s="83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0.39875537063115574</v>
      </c>
      <c r="G21" s="9">
        <v>68</v>
      </c>
      <c r="H21" s="9">
        <v>9.8845251422827083</v>
      </c>
      <c r="I21" s="85">
        <f t="shared" si="0"/>
        <v>4.2</v>
      </c>
      <c r="J21" s="85">
        <f t="shared" si="7"/>
        <v>2.5</v>
      </c>
      <c r="K21" s="81">
        <f t="shared" si="8"/>
        <v>1.4</v>
      </c>
      <c r="L21" s="83">
        <f t="shared" si="9"/>
        <v>0.4</v>
      </c>
      <c r="N21" s="9">
        <v>68</v>
      </c>
      <c r="O21" s="85">
        <f t="shared" si="5"/>
        <v>9.9</v>
      </c>
      <c r="P21" s="85">
        <f t="shared" si="6"/>
        <v>4.2</v>
      </c>
      <c r="Q21" s="85">
        <f t="shared" si="2"/>
        <v>2.5</v>
      </c>
      <c r="R21" s="81">
        <f t="shared" si="3"/>
        <v>1.4</v>
      </c>
      <c r="S21" s="83">
        <f t="shared" si="4"/>
        <v>0.4</v>
      </c>
    </row>
    <row r="22" spans="1:19" x14ac:dyDescent="0.2">
      <c r="A22" s="9">
        <v>69</v>
      </c>
      <c r="B22" s="5">
        <f>(Stage4to1!J21+Stage3to1!J21+Stage2to1!J21+Stage1to1!J21)/(Stage4to1!F21+Stage3to1!F21+Stage2to1!F21+Stage1to1!F21)</f>
        <v>4.1844271547183345</v>
      </c>
      <c r="C22" s="5">
        <f>(Stage4to1!K21+Stage3to1!K21+Stage2to1!K21+Stage1to1!K21+Stage4to2!K21+Stage3to2!K21+Stage2to2!K21)/(Stage4to1!G21+Stage3to1!G21+Stage2to1!G21+Stage1to1!G21+Stage4to2!G21+Stage3to2!G21+Stage2to2!G21)</f>
        <v>2.4861210163044283</v>
      </c>
      <c r="D22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1.446623128529287</v>
      </c>
      <c r="E22" s="83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0.39875891349734938</v>
      </c>
      <c r="G22" s="9">
        <v>69</v>
      </c>
      <c r="H22" s="9">
        <v>9.5200574865054612</v>
      </c>
      <c r="I22" s="85">
        <f t="shared" si="0"/>
        <v>4.2</v>
      </c>
      <c r="J22" s="85">
        <f t="shared" si="7"/>
        <v>2.5</v>
      </c>
      <c r="K22">
        <f t="shared" si="8"/>
        <v>1.4</v>
      </c>
      <c r="L22" s="83">
        <f t="shared" si="9"/>
        <v>0.4</v>
      </c>
      <c r="N22" s="9">
        <v>69</v>
      </c>
      <c r="O22" s="85">
        <f t="shared" si="5"/>
        <v>9.5</v>
      </c>
      <c r="P22" s="85">
        <f t="shared" si="6"/>
        <v>4.2</v>
      </c>
      <c r="Q22" s="85">
        <f t="shared" si="2"/>
        <v>2.5</v>
      </c>
      <c r="R22">
        <f t="shared" si="3"/>
        <v>1.4</v>
      </c>
      <c r="S22" s="83">
        <f t="shared" si="4"/>
        <v>0.4</v>
      </c>
    </row>
    <row r="23" spans="1:19" x14ac:dyDescent="0.2">
      <c r="A23" s="9">
        <v>70</v>
      </c>
      <c r="B23" s="5">
        <f>(Stage4to1!J22+Stage3to1!J22+Stage2to1!J22+Stage1to1!J22)/(Stage4to1!F22+Stage3to1!F22+Stage2to1!F22+Stage1to1!F22)</f>
        <v>3.8725819146807732</v>
      </c>
      <c r="C23" s="5">
        <f>(Stage4to1!K22+Stage3to1!K22+Stage2to1!K22+Stage1to1!K22+Stage4to2!K22+Stage3to2!K22+Stage2to2!K22)/(Stage4to1!G22+Stage3to1!G22+Stage2to1!G22+Stage1to1!G22+Stage4to2!G22+Stage3to2!G22+Stage2to2!G22)</f>
        <v>2.348547190180482</v>
      </c>
      <c r="D23" s="81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1.3521650588208372</v>
      </c>
      <c r="E23" s="83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0.36895572911514646</v>
      </c>
      <c r="G23" s="9">
        <v>70</v>
      </c>
      <c r="H23" s="9">
        <v>9.1530410752475895</v>
      </c>
      <c r="I23" s="85">
        <f t="shared" si="0"/>
        <v>3.9</v>
      </c>
      <c r="J23" s="85">
        <f t="shared" si="7"/>
        <v>2.2999999999999998</v>
      </c>
      <c r="K23" s="81">
        <f t="shared" si="8"/>
        <v>1.4</v>
      </c>
      <c r="L23" s="83">
        <f t="shared" si="9"/>
        <v>0.4</v>
      </c>
      <c r="N23" s="9">
        <v>70</v>
      </c>
      <c r="O23" s="85">
        <f t="shared" si="5"/>
        <v>9.1999999999999993</v>
      </c>
      <c r="P23" s="85">
        <f t="shared" si="6"/>
        <v>3.9</v>
      </c>
      <c r="Q23" s="85">
        <f t="shared" si="2"/>
        <v>2.2999999999999998</v>
      </c>
      <c r="R23" s="81">
        <f t="shared" si="3"/>
        <v>1.4</v>
      </c>
      <c r="S23" s="83">
        <f t="shared" si="4"/>
        <v>0.4</v>
      </c>
    </row>
    <row r="24" spans="1:19" x14ac:dyDescent="0.2">
      <c r="A24" s="9">
        <v>71</v>
      </c>
      <c r="B24" s="5">
        <f>(Stage4to1!J23+Stage3to1!J23+Stage2to1!J23+Stage1to1!J23)/(Stage4to1!F23+Stage3to1!F23+Stage2to1!F23+Stage1to1!F23)</f>
        <v>3.8595634338069225</v>
      </c>
      <c r="C24" s="5">
        <f>(Stage4to1!K23+Stage3to1!K23+Stage2to1!K23+Stage1to1!K23+Stage4to2!K23+Stage3to2!K23+Stage2to2!K23)/(Stage4to1!G23+Stage3to1!G23+Stage2to1!G23+Stage1to1!G23+Stage4to2!G23+Stage3to2!G23+Stage2to2!G23)</f>
        <v>2.3444542472729282</v>
      </c>
      <c r="D24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1.3508561935930543</v>
      </c>
      <c r="E24" s="83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0.36896117091436698</v>
      </c>
      <c r="G24" s="9">
        <v>71</v>
      </c>
      <c r="H24" s="9">
        <v>8.7820776504988061</v>
      </c>
      <c r="I24" s="85">
        <f t="shared" si="0"/>
        <v>3.9</v>
      </c>
      <c r="J24" s="85">
        <f t="shared" si="7"/>
        <v>2.2999999999999998</v>
      </c>
      <c r="K24">
        <f t="shared" si="8"/>
        <v>1.4</v>
      </c>
      <c r="L24" s="83">
        <f t="shared" si="9"/>
        <v>0.4</v>
      </c>
      <c r="N24" s="9">
        <v>71</v>
      </c>
      <c r="O24" s="85">
        <f t="shared" si="5"/>
        <v>8.8000000000000007</v>
      </c>
      <c r="P24" s="85">
        <f t="shared" si="6"/>
        <v>3.9</v>
      </c>
      <c r="Q24" s="85">
        <f t="shared" si="2"/>
        <v>2.2999999999999998</v>
      </c>
      <c r="R24">
        <f t="shared" si="3"/>
        <v>1.4</v>
      </c>
      <c r="S24" s="83">
        <f t="shared" si="4"/>
        <v>0.4</v>
      </c>
    </row>
    <row r="25" spans="1:19" x14ac:dyDescent="0.2">
      <c r="A25" s="9">
        <v>72</v>
      </c>
      <c r="B25" s="5">
        <f>(Stage4to1!J24+Stage3to1!J24+Stage2to1!J24+Stage1to1!J24)/(Stage4to1!F24+Stage3to1!F24+Stage2to1!F24+Stage1to1!F24)</f>
        <v>3.8456671213386664</v>
      </c>
      <c r="C25" s="5">
        <f>(Stage4to1!K24+Stage3to1!K24+Stage2to1!K24+Stage1to1!K24+Stage4to2!K24+Stage3to2!K24+Stage2to2!K24)/(Stage4to1!G24+Stage3to1!G24+Stage2to1!G24+Stage1to1!G24+Stage4to2!G24+Stage3to2!G24+Stage2to2!G24)</f>
        <v>2.3399955384599473</v>
      </c>
      <c r="D2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1.349227079207171</v>
      </c>
      <c r="E25" s="83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0.36896859389292508</v>
      </c>
      <c r="G25" s="9">
        <v>72</v>
      </c>
      <c r="H25" s="9">
        <v>8.4096590310481645</v>
      </c>
      <c r="I25" s="85">
        <f t="shared" si="0"/>
        <v>3.8</v>
      </c>
      <c r="J25" s="85">
        <f t="shared" si="7"/>
        <v>2.2999999999999998</v>
      </c>
      <c r="K25">
        <f t="shared" si="8"/>
        <v>1.3</v>
      </c>
      <c r="L25" s="83">
        <f t="shared" si="9"/>
        <v>0.4</v>
      </c>
      <c r="N25" s="9">
        <v>72</v>
      </c>
      <c r="O25" s="85">
        <f t="shared" si="5"/>
        <v>8.4</v>
      </c>
      <c r="P25" s="85">
        <f t="shared" si="6"/>
        <v>3.8</v>
      </c>
      <c r="Q25" s="85">
        <f t="shared" si="2"/>
        <v>2.2999999999999998</v>
      </c>
      <c r="R25">
        <f t="shared" si="3"/>
        <v>1.3</v>
      </c>
      <c r="S25" s="83">
        <f t="shared" si="4"/>
        <v>0.4</v>
      </c>
    </row>
    <row r="26" spans="1:19" x14ac:dyDescent="0.2">
      <c r="A26" s="9">
        <v>73</v>
      </c>
      <c r="B26" s="5">
        <f>(Stage4to1!J25+Stage3to1!J25+Stage2to1!J25+Stage1to1!J25)/(Stage4to1!F25+Stage3to1!F25+Stage2to1!F25+Stage1to1!F25)</f>
        <v>3.8308378424121656</v>
      </c>
      <c r="C26" s="5">
        <f>(Stage4to1!K25+Stage3to1!K25+Stage2to1!K25+Stage1to1!K25+Stage4to2!K25+Stage3to2!K25+Stage2to2!K25)/(Stage4to1!G25+Stage3to1!G25+Stage2to1!G25+Stage1to1!G25+Stage4to2!G25+Stage3to2!G25+Stage2to2!G25)</f>
        <v>2.3354656663209146</v>
      </c>
      <c r="D26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1.3475927120479403</v>
      </c>
      <c r="E26" s="83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0.36897998789060232</v>
      </c>
      <c r="G26" s="9">
        <v>73</v>
      </c>
      <c r="H26" s="9">
        <v>8.0383277353736702</v>
      </c>
      <c r="I26" s="85">
        <f t="shared" si="0"/>
        <v>3.8</v>
      </c>
      <c r="J26" s="85">
        <f t="shared" si="7"/>
        <v>2.2999999999999998</v>
      </c>
      <c r="K26">
        <f t="shared" si="8"/>
        <v>1.3</v>
      </c>
      <c r="L26" s="83">
        <f t="shared" si="9"/>
        <v>0.4</v>
      </c>
      <c r="N26" s="9">
        <v>73</v>
      </c>
      <c r="O26" s="85">
        <f t="shared" si="5"/>
        <v>8</v>
      </c>
      <c r="P26" s="85">
        <f t="shared" si="6"/>
        <v>3.8</v>
      </c>
      <c r="Q26" s="85">
        <f t="shared" si="2"/>
        <v>2.2999999999999998</v>
      </c>
      <c r="R26">
        <f t="shared" si="3"/>
        <v>1.3</v>
      </c>
      <c r="S26" s="83">
        <f t="shared" si="4"/>
        <v>0.4</v>
      </c>
    </row>
    <row r="27" spans="1:19" x14ac:dyDescent="0.2">
      <c r="A27" s="9">
        <v>74</v>
      </c>
      <c r="B27" s="5">
        <f>(Stage4to1!J26+Stage3to1!J26+Stage2to1!J26+Stage1to1!J26)/(Stage4to1!F26+Stage3to1!F26+Stage2to1!F26+Stage1to1!F26)</f>
        <v>3.8143884319881112</v>
      </c>
      <c r="C27" s="5">
        <f>(Stage4to1!K26+Stage3to1!K26+Stage2to1!K26+Stage1to1!K26+Stage4to2!K26+Stage3to2!K26+Stage2to2!K26)/(Stage4to1!G26+Stage3to1!G26+Stage2to1!G26+Stage1to1!G26+Stage4to2!G26+Stage3to2!G26+Stage2to2!G26)</f>
        <v>2.3302480951318341</v>
      </c>
      <c r="D27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1.3459401829117148</v>
      </c>
      <c r="E27" s="83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0.36898899244908001</v>
      </c>
      <c r="G27" s="9">
        <v>74</v>
      </c>
      <c r="H27" s="9">
        <v>7.6737154870642286</v>
      </c>
      <c r="I27" s="85">
        <f t="shared" si="0"/>
        <v>3.8</v>
      </c>
      <c r="J27" s="85">
        <f t="shared" si="7"/>
        <v>2.2999999999999998</v>
      </c>
      <c r="K27">
        <f t="shared" si="8"/>
        <v>1.3</v>
      </c>
      <c r="L27" s="83">
        <f t="shared" si="9"/>
        <v>0.4</v>
      </c>
      <c r="N27" s="9">
        <v>74</v>
      </c>
      <c r="O27" s="85">
        <f t="shared" si="5"/>
        <v>7.7</v>
      </c>
      <c r="P27" s="85">
        <f t="shared" si="6"/>
        <v>3.8</v>
      </c>
      <c r="Q27" s="85">
        <f t="shared" si="2"/>
        <v>2.2999999999999998</v>
      </c>
      <c r="R27">
        <f t="shared" si="3"/>
        <v>1.3</v>
      </c>
      <c r="S27" s="83">
        <f t="shared" si="4"/>
        <v>0.4</v>
      </c>
    </row>
    <row r="28" spans="1:19" x14ac:dyDescent="0.2">
      <c r="A28" s="9">
        <v>75</v>
      </c>
      <c r="B28" s="5">
        <f>(Stage4to1!J27+Stage3to1!J27+Stage2to1!J27+Stage1to1!J27)/(Stage4to1!F27+Stage3to1!F27+Stage2to1!F27+Stage1to1!F27)</f>
        <v>3.3718683311152535</v>
      </c>
      <c r="C28" s="5">
        <f>(Stage4to1!K27+Stage3to1!K27+Stage2to1!K27+Stage1to1!K27+Stage4to2!K27+Stage3to2!K27+Stage2to2!K27)/(Stage4to1!G27+Stage3to1!G27+Stage2to1!G27+Stage1to1!G27+Stage4to2!G27+Stage3to2!G27+Stage2to2!G27)</f>
        <v>2.0749981882249582</v>
      </c>
      <c r="D28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1.2203523763826938</v>
      </c>
      <c r="E28" s="83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0.31361542728205843</v>
      </c>
      <c r="G28" s="9">
        <v>75</v>
      </c>
      <c r="H28" s="9">
        <v>7.3079651138669099</v>
      </c>
      <c r="I28" s="85">
        <f t="shared" si="0"/>
        <v>3.4</v>
      </c>
      <c r="J28" s="85">
        <f t="shared" si="7"/>
        <v>2.1</v>
      </c>
      <c r="K28">
        <f t="shared" si="8"/>
        <v>1.2</v>
      </c>
      <c r="L28" s="83">
        <f t="shared" si="9"/>
        <v>0.3</v>
      </c>
      <c r="N28" s="9">
        <v>75</v>
      </c>
      <c r="O28" s="85">
        <f t="shared" si="5"/>
        <v>7.3</v>
      </c>
      <c r="P28" s="85">
        <f t="shared" si="6"/>
        <v>3.4</v>
      </c>
      <c r="Q28" s="85">
        <f t="shared" si="2"/>
        <v>2.1</v>
      </c>
      <c r="R28">
        <f t="shared" si="3"/>
        <v>1.2</v>
      </c>
      <c r="S28" s="83">
        <f t="shared" si="4"/>
        <v>0.3</v>
      </c>
    </row>
    <row r="29" spans="1:19" x14ac:dyDescent="0.2">
      <c r="A29" s="9">
        <v>76</v>
      </c>
      <c r="B29" s="5">
        <f>(Stage4to1!J28+Stage3to1!J28+Stage2to1!J28+Stage1to1!J28)/(Stage4to1!F28+Stage3to1!F28+Stage2to1!F28+Stage1to1!F28)</f>
        <v>3.3534076817028251</v>
      </c>
      <c r="C29" s="5">
        <f>(Stage4to1!K28+Stage3to1!K28+Stage2to1!K28+Stage1to1!K28+Stage4to2!K28+Stage3to2!K28+Stage2to2!K28)/(Stage4to1!G28+Stage3to1!G28+Stage2to1!G28+Stage1to1!G28+Stage4to2!G28+Stage3to2!G28+Stage2to2!G28)</f>
        <v>2.0689570809461624</v>
      </c>
      <c r="D29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1.2180954061565767</v>
      </c>
      <c r="E29" s="83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0.31362627114153402</v>
      </c>
      <c r="G29" s="9">
        <v>76</v>
      </c>
      <c r="H29" s="9">
        <v>6.9454341390477792</v>
      </c>
      <c r="I29" s="85">
        <f t="shared" si="0"/>
        <v>3.4</v>
      </c>
      <c r="J29" s="85">
        <f t="shared" si="7"/>
        <v>2.1</v>
      </c>
      <c r="K29">
        <f t="shared" si="8"/>
        <v>1.2</v>
      </c>
      <c r="L29" s="83">
        <f t="shared" si="9"/>
        <v>0.3</v>
      </c>
      <c r="N29" s="9">
        <v>76</v>
      </c>
      <c r="O29" s="85">
        <f t="shared" si="5"/>
        <v>6.9</v>
      </c>
      <c r="P29" s="85">
        <f t="shared" si="6"/>
        <v>3.4</v>
      </c>
      <c r="Q29" s="85">
        <f t="shared" si="2"/>
        <v>2.1</v>
      </c>
      <c r="R29">
        <f t="shared" si="3"/>
        <v>1.2</v>
      </c>
      <c r="S29" s="83">
        <f t="shared" si="4"/>
        <v>0.3</v>
      </c>
    </row>
    <row r="30" spans="1:19" x14ac:dyDescent="0.2">
      <c r="A30" s="9">
        <v>77</v>
      </c>
      <c r="B30" s="5">
        <f>(Stage4to1!J29+Stage3to1!J29+Stage2to1!J29+Stage1to1!J29)/(Stage4to1!F29+Stage3to1!F29+Stage2to1!F29+Stage1to1!F29)</f>
        <v>3.3333231787372091</v>
      </c>
      <c r="C30" s="5">
        <f>(Stage4to1!K29+Stage3to1!K29+Stage2to1!K29+Stage1to1!K29+Stage4to2!K29+Stage3to2!K29+Stage2to2!K29)/(Stage4to1!G29+Stage3to1!G29+Stage2to1!G29+Stage1to1!G29+Stage4to2!G29+Stage3to2!G29+Stage2to2!G29)</f>
        <v>2.0626797983905045</v>
      </c>
      <c r="D30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1.2157917101407487</v>
      </c>
      <c r="E30" s="83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0.31363920907550902</v>
      </c>
      <c r="G30" s="9">
        <v>77</v>
      </c>
      <c r="H30" s="9">
        <v>6.5885520751733786</v>
      </c>
      <c r="I30" s="85">
        <f t="shared" si="0"/>
        <v>3.3</v>
      </c>
      <c r="J30" s="85">
        <f t="shared" si="7"/>
        <v>2.1</v>
      </c>
      <c r="K30">
        <f t="shared" si="8"/>
        <v>1.2</v>
      </c>
      <c r="L30" s="83">
        <f t="shared" si="9"/>
        <v>0.3</v>
      </c>
      <c r="N30" s="9">
        <v>77</v>
      </c>
      <c r="O30" s="85">
        <f t="shared" si="5"/>
        <v>6.6</v>
      </c>
      <c r="P30" s="85">
        <f t="shared" si="6"/>
        <v>3.3</v>
      </c>
      <c r="Q30" s="85">
        <f t="shared" si="2"/>
        <v>2.1</v>
      </c>
      <c r="R30">
        <f t="shared" si="3"/>
        <v>1.2</v>
      </c>
      <c r="S30" s="83">
        <f t="shared" si="4"/>
        <v>0.3</v>
      </c>
    </row>
    <row r="31" spans="1:19" x14ac:dyDescent="0.2">
      <c r="A31" s="9">
        <v>78</v>
      </c>
      <c r="B31" s="5">
        <f>(Stage4to1!J30+Stage3to1!J30+Stage2to1!J30+Stage1to1!J30)/(Stage4to1!F30+Stage3to1!F30+Stage2to1!F30+Stage1to1!F30)</f>
        <v>3.3107946553543162</v>
      </c>
      <c r="C31" s="5">
        <f>(Stage4to1!K30+Stage3to1!K30+Stage2to1!K30+Stage1to1!K30+Stage4to2!K30+Stage3to2!K30+Stage2to2!K30)/(Stage4to1!G30+Stage3to1!G30+Stage2to1!G30+Stage1to1!G30+Stage4to2!G30+Stage3to2!G30+Stage2to2!G30)</f>
        <v>2.0557020238825494</v>
      </c>
      <c r="D31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1.2134982240546066</v>
      </c>
      <c r="E31" s="82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0.31365145946409684</v>
      </c>
      <c r="G31" s="9">
        <v>78</v>
      </c>
      <c r="H31" s="9">
        <v>6.2360656249528823</v>
      </c>
      <c r="I31" s="85">
        <f t="shared" si="0"/>
        <v>3.3</v>
      </c>
      <c r="J31" s="85">
        <f t="shared" si="7"/>
        <v>2.1</v>
      </c>
      <c r="K31">
        <f t="shared" si="8"/>
        <v>1.2</v>
      </c>
      <c r="L31" s="82">
        <f t="shared" si="9"/>
        <v>0.3</v>
      </c>
      <c r="N31" s="9">
        <v>78</v>
      </c>
      <c r="O31" s="85">
        <f t="shared" si="5"/>
        <v>6.2</v>
      </c>
      <c r="P31" s="85">
        <f t="shared" si="6"/>
        <v>3.3</v>
      </c>
      <c r="Q31" s="85">
        <f t="shared" si="2"/>
        <v>2.1</v>
      </c>
      <c r="R31">
        <f t="shared" si="3"/>
        <v>1.2</v>
      </c>
      <c r="S31" s="82">
        <f t="shared" si="4"/>
        <v>0.3</v>
      </c>
    </row>
    <row r="32" spans="1:19" x14ac:dyDescent="0.2">
      <c r="A32" s="9">
        <v>79</v>
      </c>
      <c r="B32" s="5">
        <f>(Stage4to1!J31+Stage3to1!J31+Stage2to1!J31+Stage1to1!J31)/(Stage4to1!F31+Stage3to1!F31+Stage2to1!F31+Stage1to1!F31)</f>
        <v>3.2852929495413643</v>
      </c>
      <c r="C32" s="5">
        <f>(Stage4to1!K31+Stage3to1!K31+Stage2to1!K31+Stage1to1!K31+Stage4to2!K31+Stage3to2!K31+Stage2to2!K31)/(Stage4to1!G31+Stage3to1!G31+Stage2to1!G31+Stage1to1!G31+Stage4to2!G31+Stage3to2!G31+Stage2to2!G31)</f>
        <v>2.047403173848179</v>
      </c>
      <c r="D32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1.2108911748868467</v>
      </c>
      <c r="E32" s="82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0.31366230999319711</v>
      </c>
      <c r="G32" s="9">
        <v>79</v>
      </c>
      <c r="H32" s="9">
        <v>5.89039822365425</v>
      </c>
      <c r="I32" s="85">
        <f t="shared" si="0"/>
        <v>3.3</v>
      </c>
      <c r="J32" s="85">
        <f t="shared" si="7"/>
        <v>2</v>
      </c>
      <c r="K32">
        <f t="shared" si="8"/>
        <v>1.2</v>
      </c>
      <c r="L32" s="82">
        <f t="shared" si="9"/>
        <v>0.3</v>
      </c>
      <c r="N32" s="9">
        <v>79</v>
      </c>
      <c r="O32" s="85">
        <f t="shared" si="5"/>
        <v>5.9</v>
      </c>
      <c r="P32" s="85">
        <f t="shared" si="6"/>
        <v>3.3</v>
      </c>
      <c r="Q32" s="85">
        <f t="shared" si="2"/>
        <v>2</v>
      </c>
      <c r="R32">
        <f t="shared" si="3"/>
        <v>1.2</v>
      </c>
      <c r="S32" s="82">
        <f t="shared" si="4"/>
        <v>0.3</v>
      </c>
    </row>
  </sheetData>
  <mergeCells count="3">
    <mergeCell ref="P1:S1"/>
    <mergeCell ref="B1:E1"/>
    <mergeCell ref="I1:L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Raw Lung Inc&amp;Surv</vt:lpstr>
      <vt:lpstr>Corrected Inc&amp;Surv</vt:lpstr>
      <vt:lpstr>AW calculator</vt:lpstr>
      <vt:lpstr>QALYsForUndiagnosedCancer (2)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Graph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2024-10-04T14:17:50Z</dcterms:modified>
</cp:coreProperties>
</file>