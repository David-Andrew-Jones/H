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jones/GalleriCEmodel/data-raw/"/>
    </mc:Choice>
  </mc:AlternateContent>
  <xr:revisionPtr revIDLastSave="0" documentId="13_ncr:1_{57809549-3DB7-074F-8767-205DBEC1F589}" xr6:coauthVersionLast="47" xr6:coauthVersionMax="47" xr10:uidLastSave="{00000000-0000-0000-0000-000000000000}"/>
  <bookViews>
    <workbookView xWindow="1040" yWindow="740" windowWidth="28360" windowHeight="17160" activeTab="2" xr2:uid="{533A8E3D-0F6E-494A-B449-975941D00F38}"/>
  </bookViews>
  <sheets>
    <sheet name="Scenarios" sheetId="9" r:id="rId1"/>
    <sheet name="Scenarios 2" sheetId="10" r:id="rId2"/>
    <sheet name="vbp" sheetId="12" r:id="rId3"/>
  </sheets>
  <externalReferences>
    <externalReference r:id="rId4"/>
  </externalReferences>
  <definedNames>
    <definedName name="AggregatedResults">OFFSET(refResults,1,0,nOutcomes,3)</definedName>
    <definedName name="cohortSize">[1]Excel2R!$L$24</definedName>
    <definedName name="nOutcomes">#REF!</definedName>
    <definedName name="refResults">[1]Results!$C$4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82" i="10" l="1"/>
  <c r="AO82" i="10"/>
  <c r="AJ82" i="10"/>
  <c r="AI82" i="10"/>
  <c r="AD82" i="10"/>
  <c r="AC82" i="10"/>
  <c r="X82" i="10"/>
  <c r="W82" i="10"/>
  <c r="R82" i="10"/>
  <c r="Q82" i="10"/>
  <c r="L82" i="10"/>
  <c r="K82" i="10"/>
  <c r="F82" i="10"/>
  <c r="E82" i="10"/>
  <c r="C81" i="9" l="1"/>
  <c r="AI81" i="9"/>
  <c r="AH81" i="9"/>
  <c r="W81" i="9" l="1"/>
  <c r="V81" i="9"/>
  <c r="Q81" i="9"/>
  <c r="P81" i="9"/>
  <c r="K81" i="9"/>
  <c r="J81" i="9"/>
  <c r="E81" i="9" l="1"/>
  <c r="D81" i="9"/>
</calcChain>
</file>

<file path=xl/sharedStrings.xml><?xml version="1.0" encoding="utf-8"?>
<sst xmlns="http://schemas.openxmlformats.org/spreadsheetml/2006/main" count="2066" uniqueCount="119">
  <si>
    <t>Dwell: medium fast</t>
  </si>
  <si>
    <t>Sensitivity: CCGA</t>
  </si>
  <si>
    <t>Age: 50-79</t>
  </si>
  <si>
    <t>Clinical Outcomes</t>
  </si>
  <si>
    <t>MCED + SoC</t>
  </si>
  <si>
    <t>SoC</t>
  </si>
  <si>
    <t>Incremental</t>
  </si>
  <si>
    <t>Life Years (LYs)</t>
  </si>
  <si>
    <t>No Cancer Diagnosis</t>
  </si>
  <si>
    <t>Total</t>
  </si>
  <si>
    <t>Cancer Diagnosis</t>
  </si>
  <si>
    <t>Pre-Diagnosis</t>
  </si>
  <si>
    <t>Post-Diagnosis</t>
  </si>
  <si>
    <t>Quality-Adjusted Life Years (QALYs)</t>
  </si>
  <si>
    <t>Disutility associated with FPs</t>
  </si>
  <si>
    <t>Disutility associated with misdiagnosis</t>
  </si>
  <si>
    <t>Disutility associated with OD</t>
  </si>
  <si>
    <t>Number Outcomes</t>
  </si>
  <si>
    <t>Total Number of Pts Diagnosed with Cancer</t>
  </si>
  <si>
    <t>Diagnosed with Stage I</t>
  </si>
  <si>
    <t>Diagnosed with Stage II</t>
  </si>
  <si>
    <t>Diagnosed with Stage III</t>
  </si>
  <si>
    <t>Diagnosed with Stage IV</t>
  </si>
  <si>
    <t>Total Number of Overdiagnosed Pts</t>
  </si>
  <si>
    <t>Overdiagnosed with Stage I</t>
  </si>
  <si>
    <t>Overdiagnosed with Stage II</t>
  </si>
  <si>
    <t>Overdiagnosed with Stage III</t>
  </si>
  <si>
    <t>Overdiagnosed with Stage IV</t>
  </si>
  <si>
    <t>Total Number of False Positives (FPs)</t>
  </si>
  <si>
    <t>Total Number of Misdiagnosed Cancer Signal Origin</t>
  </si>
  <si>
    <t>Total Deaths at Year 5 Post-diagnosis</t>
  </si>
  <si>
    <t>Deaths in Stage I</t>
  </si>
  <si>
    <t>Deaths in Stage II</t>
  </si>
  <si>
    <t>Deaths in Stage III</t>
  </si>
  <si>
    <t>Deaths in Stage IV</t>
  </si>
  <si>
    <t>Cost Outcomes</t>
  </si>
  <si>
    <t>Total Costs per Person</t>
  </si>
  <si>
    <t>Screening Costs per Person</t>
  </si>
  <si>
    <t>Pre-Diagnosis per Person</t>
  </si>
  <si>
    <t>Post-Diagnosis per Person</t>
  </si>
  <si>
    <t>Cancer Treatment Costs per Person</t>
  </si>
  <si>
    <t xml:space="preserve">Stage I - Cancer Treatment Costs </t>
  </si>
  <si>
    <t xml:space="preserve">Stage II - Cancer Treatment Costs </t>
  </si>
  <si>
    <t xml:space="preserve">Stage III - Cancer Treatment Costs </t>
  </si>
  <si>
    <t xml:space="preserve">Stage IV - Cancer Treatment Costs </t>
  </si>
  <si>
    <t>Additional Workup Costs per Person</t>
  </si>
  <si>
    <t>Costs due to Misdiagnosis</t>
  </si>
  <si>
    <t>Costs due to False Positives (FPs)</t>
  </si>
  <si>
    <t>Societal Costs</t>
  </si>
  <si>
    <t>Incremental Outcomes</t>
  </si>
  <si>
    <t>Incremental LYs</t>
  </si>
  <si>
    <t>Reference</t>
  </si>
  <si>
    <t>Incremental QALYs</t>
  </si>
  <si>
    <t>Incremental Costs</t>
  </si>
  <si>
    <t>Cost per LY gained</t>
  </si>
  <si>
    <t>Cost per QALY gained</t>
  </si>
  <si>
    <t>Threshold</t>
  </si>
  <si>
    <t>VBP</t>
  </si>
  <si>
    <t>Additional Incremental Outcomes (excluding FP and misdiagnosis)</t>
  </si>
  <si>
    <t>Incremental outcomes per diagnosed patient</t>
  </si>
  <si>
    <t>Incremental QALYs (excluding OD)</t>
  </si>
  <si>
    <t>Incremental QALYs (including OD)</t>
  </si>
  <si>
    <t>Incremental Costs (excluding OD)</t>
  </si>
  <si>
    <t>Incremental Costs (including OD)</t>
  </si>
  <si>
    <t>Incremental outcomes per shifted individual</t>
  </si>
  <si>
    <t>Outcomes per Diagnosed Patients</t>
  </si>
  <si>
    <t>Total Number of Diagnosed Pts</t>
  </si>
  <si>
    <t>Post-diangosis LYs</t>
  </si>
  <si>
    <t>Post-diangosis QALYs</t>
  </si>
  <si>
    <t>Total Cancer Treatment Costs Accrued by Diagnosed Patient</t>
  </si>
  <si>
    <t>Cancer Treatment Costs per Diagnosed Patient</t>
  </si>
  <si>
    <t>Outcomes per Shifted Individual</t>
  </si>
  <si>
    <t>Total Number of Shifted Pts</t>
  </si>
  <si>
    <t>Total Cancer Treatment Costs Accrued by Shifted Individual</t>
  </si>
  <si>
    <t>Cancer Treatment Costs per Shifted Individual</t>
  </si>
  <si>
    <t>Total Costs Over Time</t>
  </si>
  <si>
    <t>Total Costs Over 5 Years</t>
  </si>
  <si>
    <t>Total Costs Over 10 Years</t>
  </si>
  <si>
    <t>Total Costs Over 15 Years</t>
  </si>
  <si>
    <t>Total Costs Over 20 Years</t>
  </si>
  <si>
    <t>Total Costs Over 25 Years</t>
  </si>
  <si>
    <t>Total Costs Over 30 Years</t>
  </si>
  <si>
    <t>(at $949)</t>
  </si>
  <si>
    <t>Dwell:  fast</t>
  </si>
  <si>
    <t>Age: 60-79</t>
  </si>
  <si>
    <t>(at £949)</t>
  </si>
  <si>
    <t>Sensitivity: CCGA - Stage I&amp;II * 0.5, Stage III *0.8, Stage IV* 0.9</t>
  </si>
  <si>
    <t>Sensitivity: CCGA - Stage I,II,III,IV * 0.85</t>
  </si>
  <si>
    <t>Med-fast dwell, 50-79</t>
  </si>
  <si>
    <t>Specificity: 99.5%</t>
  </si>
  <si>
    <t>CSO accuracy: 89.4%</t>
  </si>
  <si>
    <t>Fast dwell, 50-79</t>
  </si>
  <si>
    <t>Fast dwell, 60-79</t>
  </si>
  <si>
    <t>Specificity: 99.6%</t>
  </si>
  <si>
    <t>CSO accuracy: 91.7%</t>
  </si>
  <si>
    <t>Fast dwell, 50-79, PF2</t>
  </si>
  <si>
    <t>Fast dwell, 50-79, lower sens</t>
  </si>
  <si>
    <t>############</t>
  </si>
  <si>
    <t>Costs: 1.2 multplier to III, 1.5 to IV</t>
  </si>
  <si>
    <t>Fast dwell, 50-79, lower sens, costs +</t>
  </si>
  <si>
    <t>Basecase: Med-fast dwell, 50-79</t>
  </si>
  <si>
    <t>Medium-fast dwell times, MCED screening between 50-79, no cancer tx cost (set to zero for all cancer types/stages/years 1-5), exclude impact of SoC, use all other  UK specific inputs.</t>
  </si>
  <si>
    <t>Scenario 1</t>
  </si>
  <si>
    <t>Base case + PF2 specificity and CSO accuracy</t>
  </si>
  <si>
    <t>Scenario 2</t>
  </si>
  <si>
    <t>Scenario 3</t>
  </si>
  <si>
    <t>Scenario 4</t>
  </si>
  <si>
    <t>Scenario 5</t>
  </si>
  <si>
    <t>Scenario 6</t>
  </si>
  <si>
    <t>Scenario 1 + Fast dwell time and 0.85 of sensitivity (matching PF2 detection)</t>
  </si>
  <si>
    <t xml:space="preserve">Sensitivity: CCGA *  0.85 </t>
  </si>
  <si>
    <t>Scenario 1 + Faster dwell time (see below for the inputs) (matching PF2 detection)</t>
  </si>
  <si>
    <t>Scenario 3 + consider a 70% annual compliance (instead of 90%)</t>
  </si>
  <si>
    <t>Dwell:  faster</t>
  </si>
  <si>
    <t>Scenario 3 + consider cancer cost from the CbS study</t>
  </si>
  <si>
    <t>Scenario 5 + consider potential impact of cost extrapolation (only for Lung cancer increase the year 1 cost for Stage IV by  £20k and for Stage III for £11k)</t>
  </si>
  <si>
    <t>Value based price</t>
  </si>
  <si>
    <t>scenarios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</si>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</sst>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£&quot;* #,##0.00_);_(&quot;£&quot;* \(#,##0.00\);_(&quot;£&quot;* &quot;-&quot;??_);_(@_)"/>
    <numFmt numFmtId="164" formatCode="0.0000"/>
    <numFmt numFmtId="165" formatCode="[$£-809]#,##0.00"/>
    <numFmt numFmtId="166" formatCode="[$$-409]#,##0_);\([$$-409]#,##0\)"/>
    <numFmt numFmtId="167" formatCode="[$$-409]#,##0.00_);\([$$-409]#,##0.00\)"/>
    <numFmt numFmtId="168" formatCode="&quot;£&quot;#,##0.00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rgb="FFB58C66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602B5C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sz val="11"/>
      <color rgb="FF602B5C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B58C66"/>
      <name val="Aptos Display"/>
      <family val="2"/>
      <scheme val="maj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E2841"/>
      <name val="Aptos Narrow"/>
      <family val="2"/>
      <scheme val="minor"/>
    </font>
    <font>
      <b/>
      <sz val="11"/>
      <color rgb="FF0E284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rgb="FF602B5C"/>
        <bgColor indexed="64"/>
      </patternFill>
    </fill>
    <fill>
      <patternFill patternType="solid">
        <fgColor rgb="FFADADAD"/>
        <bgColor rgb="FF000000"/>
      </patternFill>
    </fill>
  </fills>
  <borders count="26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/>
      <bottom style="medium">
        <color rgb="FF44B3E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4472C4"/>
      </left>
      <right style="thin">
        <color rgb="FF4472C4"/>
      </right>
      <top/>
      <bottom style="thin">
        <color rgb="FF4472C4"/>
      </bottom>
      <diagonal/>
    </border>
    <border>
      <left/>
      <right style="thin">
        <color rgb="FF4472C4"/>
      </right>
      <top/>
      <bottom style="thin">
        <color rgb="FF4472C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156082"/>
      </right>
      <top style="thin">
        <color rgb="FF156082"/>
      </top>
      <bottom style="thin">
        <color rgb="FF156082"/>
      </bottom>
      <diagonal/>
    </border>
    <border>
      <left/>
      <right style="thin">
        <color rgb="FF156082"/>
      </right>
      <top/>
      <bottom style="thin">
        <color rgb="FF156082"/>
      </bottom>
      <diagonal/>
    </border>
    <border>
      <left style="thin">
        <color rgb="FF156082"/>
      </left>
      <right style="thin">
        <color rgb="FF156082"/>
      </right>
      <top style="thin">
        <color rgb="FF156082"/>
      </top>
      <bottom/>
      <diagonal/>
    </border>
    <border>
      <left/>
      <right style="thin">
        <color rgb="FF156082"/>
      </right>
      <top/>
      <bottom/>
      <diagonal/>
    </border>
    <border>
      <left style="thin">
        <color rgb="FF156082"/>
      </left>
      <right style="thin">
        <color rgb="FF156082"/>
      </right>
      <top/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4" fillId="2" borderId="2" applyProtection="0">
      <alignment horizontal="center" wrapText="1"/>
    </xf>
    <xf numFmtId="4" fontId="5" fillId="3" borderId="5">
      <alignment horizontal="center"/>
    </xf>
    <xf numFmtId="0" fontId="4" fillId="0" borderId="0" applyProtection="0"/>
    <xf numFmtId="165" fontId="5" fillId="3" borderId="5">
      <alignment horizontal="center"/>
    </xf>
    <xf numFmtId="0" fontId="11" fillId="6" borderId="0" applyProtection="0">
      <alignment horizontal="left" indent="2"/>
    </xf>
  </cellStyleXfs>
  <cellXfs count="131">
    <xf numFmtId="0" fontId="0" fillId="0" borderId="0" xfId="0"/>
    <xf numFmtId="0" fontId="3" fillId="0" borderId="0" xfId="0" applyFont="1"/>
    <xf numFmtId="0" fontId="7" fillId="0" borderId="1" xfId="3" applyFont="1" applyAlignment="1">
      <alignment horizontal="left" indent="1"/>
    </xf>
    <xf numFmtId="0" fontId="2" fillId="0" borderId="1" xfId="3" applyAlignment="1">
      <alignment horizontal="left" indent="1"/>
    </xf>
    <xf numFmtId="0" fontId="2" fillId="0" borderId="1" xfId="3"/>
    <xf numFmtId="0" fontId="2" fillId="0" borderId="1" xfId="3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2" borderId="2" xfId="4" applyAlignment="1">
      <alignment horizontal="center"/>
    </xf>
    <xf numFmtId="2" fontId="8" fillId="3" borderId="5" xfId="5" applyNumberFormat="1" applyFont="1">
      <alignment horizontal="center"/>
    </xf>
    <xf numFmtId="0" fontId="4" fillId="0" borderId="2" xfId="4" applyFill="1" applyAlignment="1">
      <alignment horizontal="left" vertical="center" indent="2"/>
    </xf>
    <xf numFmtId="0" fontId="4" fillId="0" borderId="2" xfId="4" applyFill="1" applyAlignment="1">
      <alignment horizontal="left" indent="1"/>
    </xf>
    <xf numFmtId="0" fontId="4" fillId="0" borderId="2" xfId="4" applyFill="1" applyAlignment="1">
      <alignment horizontal="left" indent="3"/>
    </xf>
    <xf numFmtId="2" fontId="0" fillId="0" borderId="0" xfId="0" applyNumberFormat="1" applyAlignment="1">
      <alignment horizontal="center"/>
    </xf>
    <xf numFmtId="0" fontId="4" fillId="0" borderId="3" xfId="6" applyBorder="1" applyAlignment="1">
      <alignment horizontal="left" indent="1"/>
    </xf>
    <xf numFmtId="0" fontId="4" fillId="0" borderId="4" xfId="6" applyBorder="1" applyAlignment="1">
      <alignment horizontal="left" indent="1"/>
    </xf>
    <xf numFmtId="164" fontId="8" fillId="3" borderId="5" xfId="5" applyNumberFormat="1" applyFont="1">
      <alignment horizontal="center"/>
    </xf>
    <xf numFmtId="4" fontId="0" fillId="0" borderId="0" xfId="0" applyNumberFormat="1"/>
    <xf numFmtId="3" fontId="8" fillId="3" borderId="5" xfId="5" applyNumberFormat="1" applyFont="1">
      <alignment horizontal="center"/>
    </xf>
    <xf numFmtId="0" fontId="4" fillId="0" borderId="4" xfId="6" applyBorder="1" applyAlignment="1">
      <alignment horizontal="left" indent="3"/>
    </xf>
    <xf numFmtId="10" fontId="0" fillId="0" borderId="0" xfId="2" applyNumberFormat="1" applyFont="1" applyAlignment="1">
      <alignment horizontal="center"/>
    </xf>
    <xf numFmtId="0" fontId="7" fillId="0" borderId="0" xfId="3" applyFont="1" applyBorder="1" applyAlignment="1">
      <alignment horizontal="left" indent="1"/>
    </xf>
    <xf numFmtId="0" fontId="9" fillId="0" borderId="0" xfId="0" applyFont="1"/>
    <xf numFmtId="0" fontId="4" fillId="2" borderId="2" xfId="4">
      <alignment horizontal="center" wrapText="1"/>
    </xf>
    <xf numFmtId="0" fontId="4" fillId="0" borderId="3" xfId="6" applyBorder="1" applyAlignment="1">
      <alignment horizontal="left" indent="5"/>
    </xf>
    <xf numFmtId="0" fontId="4" fillId="0" borderId="0" xfId="6"/>
    <xf numFmtId="0" fontId="4" fillId="0" borderId="2" xfId="6" applyBorder="1" applyAlignment="1">
      <alignment horizontal="left" indent="1"/>
    </xf>
    <xf numFmtId="4" fontId="8" fillId="3" borderId="11" xfId="5" applyFont="1" applyBorder="1">
      <alignment horizontal="center"/>
    </xf>
    <xf numFmtId="4" fontId="8" fillId="3" borderId="5" xfId="5" applyFont="1">
      <alignment horizontal="center"/>
    </xf>
    <xf numFmtId="166" fontId="8" fillId="3" borderId="12" xfId="7" applyNumberFormat="1" applyFont="1" applyBorder="1">
      <alignment horizontal="center"/>
    </xf>
    <xf numFmtId="165" fontId="8" fillId="3" borderId="5" xfId="7" applyFont="1">
      <alignment horizontal="center"/>
    </xf>
    <xf numFmtId="0" fontId="4" fillId="0" borderId="9" xfId="6" applyBorder="1" applyAlignment="1">
      <alignment horizontal="left" indent="1"/>
    </xf>
    <xf numFmtId="165" fontId="8" fillId="3" borderId="11" xfId="7" applyFont="1" applyBorder="1">
      <alignment horizontal="center"/>
    </xf>
    <xf numFmtId="167" fontId="0" fillId="0" borderId="0" xfId="0" applyNumberFormat="1"/>
    <xf numFmtId="0" fontId="4" fillId="0" borderId="0" xfId="6" applyAlignment="1">
      <alignment horizontal="left" indent="1"/>
    </xf>
    <xf numFmtId="0" fontId="10" fillId="0" borderId="0" xfId="0" applyFont="1"/>
    <xf numFmtId="166" fontId="4" fillId="0" borderId="0" xfId="6" applyNumberFormat="1" applyAlignment="1">
      <alignment horizontal="left" indent="1"/>
    </xf>
    <xf numFmtId="168" fontId="8" fillId="3" borderId="12" xfId="7" applyNumberFormat="1" applyFont="1" applyBorder="1">
      <alignment horizontal="center"/>
    </xf>
    <xf numFmtId="168" fontId="8" fillId="5" borderId="13" xfId="1" applyNumberFormat="1" applyFont="1" applyFill="1" applyBorder="1" applyAlignment="1">
      <alignment horizontal="center"/>
    </xf>
    <xf numFmtId="168" fontId="8" fillId="3" borderId="5" xfId="7" applyNumberFormat="1" applyFont="1">
      <alignment horizontal="center"/>
    </xf>
    <xf numFmtId="168" fontId="8" fillId="3" borderId="10" xfId="7" applyNumberFormat="1" applyFont="1" applyBorder="1">
      <alignment horizontal="center"/>
    </xf>
    <xf numFmtId="168" fontId="6" fillId="3" borderId="5" xfId="7" applyNumberFormat="1" applyFont="1">
      <alignment horizontal="center"/>
    </xf>
    <xf numFmtId="168" fontId="8" fillId="0" borderId="11" xfId="1" applyNumberFormat="1" applyFont="1" applyFill="1" applyBorder="1" applyAlignment="1">
      <alignment horizontal="center"/>
    </xf>
    <xf numFmtId="0" fontId="2" fillId="0" borderId="0" xfId="3" applyBorder="1" applyAlignment="1">
      <alignment horizontal="left"/>
    </xf>
    <xf numFmtId="0" fontId="2" fillId="0" borderId="0" xfId="3" applyBorder="1" applyAlignme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14" xfId="0" applyFont="1" applyBorder="1" applyAlignment="1">
      <alignment horizontal="left" indent="1"/>
    </xf>
    <xf numFmtId="0" fontId="15" fillId="0" borderId="14" xfId="0" applyFont="1" applyBorder="1"/>
    <xf numFmtId="0" fontId="15" fillId="0" borderId="14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2" fontId="8" fillId="3" borderId="5" xfId="0" applyNumberFormat="1" applyFont="1" applyFill="1" applyBorder="1" applyAlignment="1">
      <alignment horizontal="center"/>
    </xf>
    <xf numFmtId="2" fontId="8" fillId="3" borderId="16" xfId="0" applyNumberFormat="1" applyFont="1" applyFill="1" applyBorder="1" applyAlignment="1">
      <alignment horizontal="center"/>
    </xf>
    <xf numFmtId="0" fontId="4" fillId="0" borderId="8" xfId="0" applyFont="1" applyBorder="1" applyAlignment="1">
      <alignment horizontal="left" vertical="center" indent="2"/>
    </xf>
    <xf numFmtId="0" fontId="4" fillId="0" borderId="17" xfId="0" applyFont="1" applyBorder="1" applyAlignment="1">
      <alignment horizontal="left" indent="1"/>
    </xf>
    <xf numFmtId="2" fontId="8" fillId="3" borderId="18" xfId="0" applyNumberFormat="1" applyFont="1" applyFill="1" applyBorder="1" applyAlignment="1">
      <alignment horizontal="center"/>
    </xf>
    <xf numFmtId="2" fontId="8" fillId="3" borderId="19" xfId="0" applyNumberFormat="1" applyFont="1" applyFill="1" applyBorder="1" applyAlignment="1">
      <alignment horizontal="center"/>
    </xf>
    <xf numFmtId="0" fontId="4" fillId="0" borderId="17" xfId="0" applyFont="1" applyBorder="1" applyAlignment="1">
      <alignment horizontal="left" indent="3"/>
    </xf>
    <xf numFmtId="2" fontId="13" fillId="0" borderId="0" xfId="0" applyNumberFormat="1" applyFont="1" applyAlignment="1">
      <alignment horizontal="center"/>
    </xf>
    <xf numFmtId="0" fontId="4" fillId="0" borderId="0" xfId="0" applyFont="1" applyAlignment="1">
      <alignment horizontal="left" indent="1"/>
    </xf>
    <xf numFmtId="0" fontId="4" fillId="0" borderId="3" xfId="0" applyFont="1" applyBorder="1" applyAlignment="1">
      <alignment horizontal="left" indent="1"/>
    </xf>
    <xf numFmtId="164" fontId="8" fillId="3" borderId="18" xfId="0" applyNumberFormat="1" applyFont="1" applyFill="1" applyBorder="1" applyAlignment="1">
      <alignment horizontal="center"/>
    </xf>
    <xf numFmtId="164" fontId="8" fillId="3" borderId="19" xfId="0" applyNumberFormat="1" applyFont="1" applyFill="1" applyBorder="1" applyAlignment="1">
      <alignment horizontal="center"/>
    </xf>
    <xf numFmtId="4" fontId="13" fillId="0" borderId="0" xfId="0" applyNumberFormat="1" applyFont="1"/>
    <xf numFmtId="3" fontId="8" fillId="3" borderId="5" xfId="0" applyNumberFormat="1" applyFont="1" applyFill="1" applyBorder="1" applyAlignment="1">
      <alignment horizontal="center"/>
    </xf>
    <xf numFmtId="3" fontId="8" fillId="3" borderId="16" xfId="0" applyNumberFormat="1" applyFont="1" applyFill="1" applyBorder="1" applyAlignment="1">
      <alignment horizontal="center"/>
    </xf>
    <xf numFmtId="3" fontId="8" fillId="3" borderId="18" xfId="0" applyNumberFormat="1" applyFont="1" applyFill="1" applyBorder="1" applyAlignment="1">
      <alignment horizontal="center"/>
    </xf>
    <xf numFmtId="3" fontId="8" fillId="3" borderId="19" xfId="0" applyNumberFormat="1" applyFont="1" applyFill="1" applyBorder="1" applyAlignment="1">
      <alignment horizontal="center"/>
    </xf>
    <xf numFmtId="10" fontId="13" fillId="0" borderId="0" xfId="0" applyNumberFormat="1" applyFont="1" applyAlignment="1">
      <alignment horizontal="center"/>
    </xf>
    <xf numFmtId="0" fontId="4" fillId="2" borderId="4" xfId="0" applyFont="1" applyFill="1" applyBorder="1" applyAlignment="1">
      <alignment horizontal="center" wrapText="1"/>
    </xf>
    <xf numFmtId="168" fontId="6" fillId="3" borderId="5" xfId="0" applyNumberFormat="1" applyFont="1" applyFill="1" applyBorder="1" applyAlignment="1">
      <alignment horizontal="center"/>
    </xf>
    <xf numFmtId="168" fontId="6" fillId="3" borderId="16" xfId="0" applyNumberFormat="1" applyFont="1" applyFill="1" applyBorder="1" applyAlignment="1">
      <alignment horizontal="center"/>
    </xf>
    <xf numFmtId="168" fontId="8" fillId="3" borderId="18" xfId="0" applyNumberFormat="1" applyFont="1" applyFill="1" applyBorder="1" applyAlignment="1">
      <alignment horizontal="center"/>
    </xf>
    <xf numFmtId="168" fontId="8" fillId="3" borderId="19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left" indent="5"/>
    </xf>
    <xf numFmtId="0" fontId="4" fillId="0" borderId="15" xfId="0" applyFont="1" applyBorder="1" applyAlignment="1">
      <alignment horizontal="left" indent="5"/>
    </xf>
    <xf numFmtId="0" fontId="4" fillId="0" borderId="0" xfId="0" applyFont="1"/>
    <xf numFmtId="0" fontId="4" fillId="0" borderId="2" xfId="0" applyFont="1" applyBorder="1" applyAlignment="1">
      <alignment horizontal="left" indent="1"/>
    </xf>
    <xf numFmtId="4" fontId="8" fillId="3" borderId="21" xfId="0" applyNumberFormat="1" applyFont="1" applyFill="1" applyBorder="1" applyAlignment="1">
      <alignment horizontal="center"/>
    </xf>
    <xf numFmtId="4" fontId="8" fillId="3" borderId="5" xfId="0" applyNumberFormat="1" applyFont="1" applyFill="1" applyBorder="1" applyAlignment="1">
      <alignment horizontal="center"/>
    </xf>
    <xf numFmtId="0" fontId="4" fillId="0" borderId="8" xfId="0" applyFont="1" applyBorder="1" applyAlignment="1">
      <alignment horizontal="left" indent="1"/>
    </xf>
    <xf numFmtId="4" fontId="8" fillId="3" borderId="22" xfId="0" applyNumberFormat="1" applyFont="1" applyFill="1" applyBorder="1" applyAlignment="1">
      <alignment horizontal="center"/>
    </xf>
    <xf numFmtId="4" fontId="8" fillId="3" borderId="18" xfId="0" applyNumberFormat="1" applyFont="1" applyFill="1" applyBorder="1" applyAlignment="1">
      <alignment horizontal="center"/>
    </xf>
    <xf numFmtId="168" fontId="8" fillId="3" borderId="5" xfId="0" applyNumberFormat="1" applyFont="1" applyFill="1" applyBorder="1" applyAlignment="1">
      <alignment horizontal="center"/>
    </xf>
    <xf numFmtId="4" fontId="8" fillId="3" borderId="19" xfId="0" applyNumberFormat="1" applyFont="1" applyFill="1" applyBorder="1" applyAlignment="1">
      <alignment horizontal="center"/>
    </xf>
    <xf numFmtId="168" fontId="8" fillId="3" borderId="23" xfId="0" applyNumberFormat="1" applyFont="1" applyFill="1" applyBorder="1" applyAlignment="1">
      <alignment horizontal="center"/>
    </xf>
    <xf numFmtId="165" fontId="8" fillId="3" borderId="18" xfId="0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left" indent="1"/>
    </xf>
    <xf numFmtId="168" fontId="8" fillId="3" borderId="10" xfId="0" applyNumberFormat="1" applyFont="1" applyFill="1" applyBorder="1" applyAlignment="1">
      <alignment horizontal="center"/>
    </xf>
    <xf numFmtId="165" fontId="8" fillId="3" borderId="21" xfId="0" applyNumberFormat="1" applyFont="1" applyFill="1" applyBorder="1" applyAlignment="1">
      <alignment horizontal="center"/>
    </xf>
    <xf numFmtId="168" fontId="8" fillId="0" borderId="21" xfId="0" applyNumberFormat="1" applyFont="1" applyBorder="1" applyAlignment="1">
      <alignment horizontal="center"/>
    </xf>
    <xf numFmtId="168" fontId="8" fillId="7" borderId="24" xfId="0" applyNumberFormat="1" applyFont="1" applyFill="1" applyBorder="1" applyAlignment="1">
      <alignment horizontal="center"/>
    </xf>
    <xf numFmtId="167" fontId="13" fillId="0" borderId="0" xfId="0" applyNumberFormat="1" applyFont="1"/>
    <xf numFmtId="0" fontId="16" fillId="0" borderId="0" xfId="0" applyFont="1"/>
    <xf numFmtId="168" fontId="8" fillId="3" borderId="25" xfId="0" applyNumberFormat="1" applyFont="1" applyFill="1" applyBorder="1" applyAlignment="1">
      <alignment horizontal="center"/>
    </xf>
    <xf numFmtId="166" fontId="4" fillId="0" borderId="0" xfId="0" applyNumberFormat="1" applyFont="1" applyAlignment="1">
      <alignment horizontal="left" indent="1"/>
    </xf>
    <xf numFmtId="168" fontId="8" fillId="3" borderId="16" xfId="0" applyNumberFormat="1" applyFont="1" applyFill="1" applyBorder="1" applyAlignment="1">
      <alignment horizontal="center"/>
    </xf>
    <xf numFmtId="0" fontId="4" fillId="0" borderId="15" xfId="0" applyFont="1" applyBorder="1" applyAlignment="1">
      <alignment horizontal="left" indent="1"/>
    </xf>
    <xf numFmtId="0" fontId="11" fillId="6" borderId="0" xfId="8" applyAlignment="1">
      <alignment horizontal="center"/>
    </xf>
    <xf numFmtId="0" fontId="4" fillId="0" borderId="3" xfId="6" applyBorder="1" applyAlignment="1">
      <alignment horizontal="left" indent="3"/>
    </xf>
    <xf numFmtId="0" fontId="4" fillId="0" borderId="4" xfId="6" applyBorder="1" applyAlignment="1">
      <alignment horizontal="left" indent="3"/>
    </xf>
    <xf numFmtId="0" fontId="2" fillId="0" borderId="0" xfId="3" applyBorder="1" applyAlignment="1">
      <alignment horizontal="left"/>
    </xf>
    <xf numFmtId="0" fontId="4" fillId="0" borderId="3" xfId="6" applyBorder="1" applyAlignment="1">
      <alignment horizontal="left" indent="1"/>
    </xf>
    <xf numFmtId="0" fontId="4" fillId="0" borderId="4" xfId="6" applyBorder="1" applyAlignment="1">
      <alignment horizontal="left" indent="1"/>
    </xf>
    <xf numFmtId="0" fontId="4" fillId="0" borderId="3" xfId="6" applyBorder="1" applyAlignment="1">
      <alignment horizontal="left" indent="5"/>
    </xf>
    <xf numFmtId="0" fontId="4" fillId="0" borderId="4" xfId="6" applyBorder="1" applyAlignment="1">
      <alignment horizontal="left" indent="5"/>
    </xf>
    <xf numFmtId="0" fontId="4" fillId="4" borderId="3" xfId="6" applyFill="1" applyBorder="1" applyAlignment="1">
      <alignment horizontal="left" indent="1"/>
    </xf>
    <xf numFmtId="0" fontId="4" fillId="4" borderId="4" xfId="6" applyFill="1" applyBorder="1" applyAlignment="1">
      <alignment horizontal="left" indent="1"/>
    </xf>
    <xf numFmtId="0" fontId="4" fillId="4" borderId="3" xfId="4" applyFill="1" applyBorder="1" applyAlignment="1">
      <alignment horizontal="left" indent="1"/>
    </xf>
    <xf numFmtId="0" fontId="4" fillId="4" borderId="4" xfId="4" applyFill="1" applyBorder="1" applyAlignment="1">
      <alignment horizontal="left" indent="1"/>
    </xf>
    <xf numFmtId="0" fontId="4" fillId="0" borderId="6" xfId="4" applyFill="1" applyBorder="1" applyAlignment="1">
      <alignment horizontal="left" vertical="center" wrapText="1" indent="2"/>
    </xf>
    <xf numFmtId="0" fontId="4" fillId="0" borderId="7" xfId="4" applyFill="1" applyBorder="1" applyAlignment="1">
      <alignment horizontal="left" vertical="center" wrapText="1" indent="2"/>
    </xf>
    <xf numFmtId="0" fontId="4" fillId="0" borderId="8" xfId="4" applyFill="1" applyBorder="1" applyAlignment="1">
      <alignment horizontal="left" vertical="center" wrapText="1" indent="2"/>
    </xf>
    <xf numFmtId="0" fontId="4" fillId="0" borderId="3" xfId="0" applyFont="1" applyBorder="1" applyAlignment="1">
      <alignment horizontal="left" indent="3"/>
    </xf>
    <xf numFmtId="0" fontId="4" fillId="0" borderId="15" xfId="0" applyFont="1" applyBorder="1" applyAlignment="1">
      <alignment horizontal="left" indent="3"/>
    </xf>
    <xf numFmtId="0" fontId="4" fillId="2" borderId="3" xfId="0" applyFont="1" applyFill="1" applyBorder="1" applyAlignment="1">
      <alignment horizontal="left" indent="1"/>
    </xf>
    <xf numFmtId="0" fontId="4" fillId="2" borderId="15" xfId="0" applyFont="1" applyFill="1" applyBorder="1" applyAlignment="1">
      <alignment horizontal="left" indent="1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20" xfId="0" applyFont="1" applyBorder="1" applyAlignment="1">
      <alignment horizontal="left" vertical="center" wrapText="1" indent="2"/>
    </xf>
    <xf numFmtId="0" fontId="4" fillId="0" borderId="8" xfId="0" applyFont="1" applyBorder="1" applyAlignment="1">
      <alignment horizontal="left" vertical="center" wrapText="1" indent="2"/>
    </xf>
    <xf numFmtId="0" fontId="4" fillId="0" borderId="3" xfId="0" applyFont="1" applyBorder="1" applyAlignment="1">
      <alignment horizontal="left" indent="1"/>
    </xf>
    <xf numFmtId="0" fontId="4" fillId="0" borderId="15" xfId="0" applyFont="1" applyBorder="1" applyAlignment="1">
      <alignment horizontal="left" indent="1"/>
    </xf>
    <xf numFmtId="0" fontId="4" fillId="0" borderId="3" xfId="0" applyFont="1" applyBorder="1" applyAlignment="1">
      <alignment horizontal="left" indent="5"/>
    </xf>
    <xf numFmtId="0" fontId="4" fillId="0" borderId="15" xfId="0" applyFont="1" applyBorder="1" applyAlignment="1">
      <alignment horizontal="left" indent="5"/>
    </xf>
    <xf numFmtId="0" fontId="2" fillId="0" borderId="0" xfId="3" applyBorder="1" applyAlignment="1">
      <alignment horizontal="left" wrapText="1"/>
    </xf>
    <xf numFmtId="168" fontId="0" fillId="0" borderId="0" xfId="0" applyNumberFormat="1" applyAlignment="1">
      <alignment horizontal="center"/>
    </xf>
  </cellXfs>
  <cellStyles count="9">
    <cellStyle name="calcCurrency" xfId="7" xr:uid="{505EC088-06F1-8D4B-A616-F5D1D6BA2453}"/>
    <cellStyle name="calcQALYs" xfId="5" xr:uid="{AD966E38-7BE5-744D-85ED-B4D98E48603A}"/>
    <cellStyle name="Currency" xfId="1" builtinId="4"/>
    <cellStyle name="Heading 3" xfId="3" builtinId="18"/>
    <cellStyle name="Normal" xfId="0" builtinId="0"/>
    <cellStyle name="Normal_Tb 2" xfId="6" xr:uid="{7387F6BE-7256-DC4E-895D-695480338FCF}"/>
    <cellStyle name="Per cent" xfId="2" builtinId="5"/>
    <cellStyle name="SheetTitle" xfId="8" xr:uid="{604CB4E7-42B4-A747-9633-17A7DC011DE8}"/>
    <cellStyle name="TableHeader" xfId="4" xr:uid="{740DFB29-7085-1847-B80B-07F1E93DB8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jones/R%20Model%2022Aug23/EVA-34279-00_GRAIL_R_Validated%20Model_v1.4_15Aug23_UKprelim.xlsb" TargetMode="External"/><Relationship Id="rId1" Type="http://schemas.openxmlformats.org/officeDocument/2006/relationships/externalLinkPath" Target="/Users/dajones/R%20Model%2022Aug23/EVA-34279-00_GRAIL_R_Validated%20Model_v1.4_15Aug23_UKprelim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Overview"/>
      <sheetName val="Model Diagram"/>
      <sheetName val="Model Assumptions"/>
      <sheetName val="R setup"/>
      <sheetName val="Settings"/>
      <sheetName val="SoC Tests"/>
      <sheetName val="MCED Test"/>
      <sheetName val="Incidence"/>
      <sheetName val="Survival"/>
      <sheetName val="Survival "/>
      <sheetName val="Dwell Time"/>
      <sheetName val="Utilities"/>
      <sheetName val="Costs"/>
      <sheetName val="Results Report"/>
      <sheetName val="Inflation Analysis Results"/>
      <sheetName val="DSA Results"/>
      <sheetName val="PSA Results"/>
      <sheetName val="Standard Errors"/>
      <sheetName val="Results"/>
      <sheetName val="Excel2R"/>
      <sheetName val="DSA Export"/>
      <sheetName val="Heterogeneity"/>
      <sheetName val="Time Shift Lookup"/>
      <sheetName val="Time Shift Calcs"/>
      <sheetName val="LifeTables"/>
      <sheetName val="DropDow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C4" t="str">
            <v>Outcome</v>
          </cell>
        </row>
      </sheetData>
      <sheetData sheetId="20">
        <row r="24">
          <cell r="L24">
            <v>100000</v>
          </cell>
        </row>
      </sheetData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A75B-7149-C548-8AE3-FBAD1BC26401}">
  <dimension ref="A1:AI156"/>
  <sheetViews>
    <sheetView topLeftCell="A60" workbookViewId="0">
      <selection activeCell="D80" sqref="D80:E81"/>
    </sheetView>
  </sheetViews>
  <sheetFormatPr baseColWidth="10" defaultRowHeight="16" x14ac:dyDescent="0.2"/>
  <cols>
    <col min="1" max="1" width="24.5" customWidth="1"/>
    <col min="2" max="2" width="22.6640625" customWidth="1"/>
    <col min="7" max="7" width="15.1640625" customWidth="1"/>
    <col min="8" max="8" width="22.6640625" customWidth="1"/>
    <col min="19" max="19" width="13.6640625" customWidth="1"/>
    <col min="20" max="20" width="20.6640625" customWidth="1"/>
    <col min="25" max="25" width="18.33203125" customWidth="1"/>
    <col min="26" max="26" width="22.5" customWidth="1"/>
    <col min="31" max="31" width="18.6640625" customWidth="1"/>
    <col min="32" max="32" width="30.83203125" customWidth="1"/>
  </cols>
  <sheetData>
    <row r="1" spans="1:35" ht="24" x14ac:dyDescent="0.3">
      <c r="A1" s="102" t="s">
        <v>88</v>
      </c>
      <c r="B1" s="102"/>
      <c r="C1" s="102"/>
      <c r="D1" s="102"/>
      <c r="E1" s="102"/>
      <c r="G1" s="102" t="s">
        <v>91</v>
      </c>
      <c r="H1" s="102"/>
      <c r="I1" s="102"/>
      <c r="J1" s="102"/>
      <c r="K1" s="102"/>
      <c r="M1" s="102" t="s">
        <v>92</v>
      </c>
      <c r="N1" s="102"/>
      <c r="O1" s="102"/>
      <c r="P1" s="102"/>
      <c r="Q1" s="102"/>
      <c r="S1" s="102" t="s">
        <v>95</v>
      </c>
      <c r="T1" s="102"/>
      <c r="U1" s="102"/>
      <c r="V1" s="102"/>
      <c r="W1" s="102"/>
      <c r="Y1" s="102" t="s">
        <v>96</v>
      </c>
      <c r="Z1" s="102"/>
      <c r="AA1" s="102"/>
      <c r="AB1" s="102"/>
      <c r="AC1" s="102"/>
      <c r="AE1" s="102" t="s">
        <v>99</v>
      </c>
      <c r="AF1" s="102"/>
      <c r="AG1" s="102"/>
      <c r="AH1" s="102"/>
      <c r="AI1" s="102"/>
    </row>
    <row r="2" spans="1:35" x14ac:dyDescent="0.2">
      <c r="A2" s="7"/>
      <c r="B2" s="7"/>
      <c r="W2" s="44"/>
      <c r="X2" s="44"/>
    </row>
    <row r="3" spans="1:35" x14ac:dyDescent="0.2">
      <c r="A3" s="105" t="s">
        <v>0</v>
      </c>
      <c r="B3" s="105"/>
      <c r="F3" s="1"/>
      <c r="G3" s="105" t="s">
        <v>83</v>
      </c>
      <c r="H3" s="105"/>
      <c r="L3" s="1"/>
      <c r="M3" s="105" t="s">
        <v>83</v>
      </c>
      <c r="N3" s="105"/>
      <c r="R3" s="1"/>
      <c r="S3" s="105" t="s">
        <v>83</v>
      </c>
      <c r="T3" s="105"/>
      <c r="W3" s="44"/>
      <c r="X3" s="1"/>
      <c r="Y3" s="105" t="s">
        <v>83</v>
      </c>
      <c r="Z3" s="105"/>
      <c r="AD3" s="45"/>
      <c r="AE3" s="105" t="s">
        <v>83</v>
      </c>
      <c r="AF3" s="105"/>
      <c r="AG3" s="46"/>
      <c r="AH3" s="46"/>
      <c r="AI3" s="46"/>
    </row>
    <row r="4" spans="1:35" x14ac:dyDescent="0.2">
      <c r="A4" s="105" t="s">
        <v>1</v>
      </c>
      <c r="B4" s="105"/>
      <c r="F4" s="1"/>
      <c r="G4" s="105" t="s">
        <v>1</v>
      </c>
      <c r="H4" s="105"/>
      <c r="L4" s="1"/>
      <c r="M4" s="105" t="s">
        <v>1</v>
      </c>
      <c r="N4" s="105"/>
      <c r="R4" s="1"/>
      <c r="S4" s="105" t="s">
        <v>87</v>
      </c>
      <c r="T4" s="105"/>
      <c r="W4" s="44"/>
      <c r="X4" s="1"/>
      <c r="Y4" s="105" t="s">
        <v>86</v>
      </c>
      <c r="Z4" s="105"/>
      <c r="AD4" s="45"/>
      <c r="AE4" s="105" t="s">
        <v>86</v>
      </c>
      <c r="AF4" s="105"/>
      <c r="AG4" s="45"/>
      <c r="AH4" s="45"/>
      <c r="AI4" s="46"/>
    </row>
    <row r="5" spans="1:35" x14ac:dyDescent="0.2">
      <c r="A5" s="105" t="s">
        <v>2</v>
      </c>
      <c r="B5" s="105"/>
      <c r="F5" s="1"/>
      <c r="G5" s="105" t="s">
        <v>2</v>
      </c>
      <c r="H5" s="105"/>
      <c r="L5" s="1"/>
      <c r="M5" s="105" t="s">
        <v>84</v>
      </c>
      <c r="N5" s="105"/>
      <c r="R5" s="1"/>
      <c r="S5" s="105" t="s">
        <v>2</v>
      </c>
      <c r="T5" s="105"/>
      <c r="W5" s="44"/>
      <c r="X5" s="1"/>
      <c r="Y5" s="105" t="s">
        <v>2</v>
      </c>
      <c r="Z5" s="105"/>
      <c r="AD5" s="45"/>
      <c r="AE5" s="105" t="s">
        <v>2</v>
      </c>
      <c r="AF5" s="105"/>
      <c r="AG5" s="46"/>
      <c r="AH5" s="46"/>
      <c r="AI5" s="46"/>
    </row>
    <row r="6" spans="1:35" x14ac:dyDescent="0.2">
      <c r="A6" s="105" t="s">
        <v>90</v>
      </c>
      <c r="B6" s="105"/>
      <c r="F6" s="1"/>
      <c r="G6" s="105" t="s">
        <v>90</v>
      </c>
      <c r="H6" s="105"/>
      <c r="L6" s="1"/>
      <c r="M6" s="105" t="s">
        <v>90</v>
      </c>
      <c r="N6" s="105"/>
      <c r="R6" s="1"/>
      <c r="S6" s="105" t="s">
        <v>94</v>
      </c>
      <c r="T6" s="105"/>
      <c r="W6" s="44"/>
      <c r="X6" s="1"/>
      <c r="Y6" s="105" t="s">
        <v>90</v>
      </c>
      <c r="Z6" s="105"/>
      <c r="AD6" s="45"/>
      <c r="AE6" s="105" t="s">
        <v>90</v>
      </c>
      <c r="AF6" s="105"/>
      <c r="AG6" s="46"/>
      <c r="AH6" s="46"/>
      <c r="AI6" s="46"/>
    </row>
    <row r="7" spans="1:35" x14ac:dyDescent="0.2">
      <c r="A7" s="105" t="s">
        <v>89</v>
      </c>
      <c r="B7" s="105"/>
      <c r="F7" s="1"/>
      <c r="G7" s="105" t="s">
        <v>89</v>
      </c>
      <c r="H7" s="105"/>
      <c r="L7" s="1"/>
      <c r="M7" s="105" t="s">
        <v>89</v>
      </c>
      <c r="N7" s="105"/>
      <c r="R7" s="1"/>
      <c r="S7" s="105" t="s">
        <v>93</v>
      </c>
      <c r="T7" s="105"/>
      <c r="X7" s="1"/>
      <c r="Y7" s="105" t="s">
        <v>89</v>
      </c>
      <c r="Z7" s="105"/>
      <c r="AD7" s="45"/>
      <c r="AE7" s="105" t="s">
        <v>89</v>
      </c>
      <c r="AF7" s="105"/>
      <c r="AG7" s="46"/>
      <c r="AH7" s="46"/>
      <c r="AI7" s="46"/>
    </row>
    <row r="8" spans="1:35" x14ac:dyDescent="0.2">
      <c r="F8" s="1"/>
      <c r="G8" s="105"/>
      <c r="H8" s="105"/>
      <c r="L8" s="1"/>
      <c r="R8" s="1"/>
      <c r="X8" s="1"/>
      <c r="AD8" s="45"/>
      <c r="AE8" s="105" t="s">
        <v>98</v>
      </c>
      <c r="AF8" s="105"/>
      <c r="AG8" s="45"/>
      <c r="AH8" s="46"/>
      <c r="AI8" s="46"/>
    </row>
    <row r="9" spans="1:35" x14ac:dyDescent="0.2">
      <c r="B9" s="26" t="s">
        <v>56</v>
      </c>
      <c r="C9" s="42">
        <v>30000</v>
      </c>
      <c r="D9" s="42">
        <v>20000</v>
      </c>
      <c r="E9" s="42">
        <v>10000</v>
      </c>
      <c r="H9" s="26" t="s">
        <v>56</v>
      </c>
      <c r="I9" s="42">
        <v>30000</v>
      </c>
      <c r="J9" s="42">
        <v>20000</v>
      </c>
      <c r="K9" s="42">
        <v>10000</v>
      </c>
      <c r="N9" s="26" t="s">
        <v>56</v>
      </c>
      <c r="O9" s="42">
        <v>30000</v>
      </c>
      <c r="P9" s="42">
        <v>20000</v>
      </c>
      <c r="Q9" s="42">
        <v>10000</v>
      </c>
      <c r="T9" s="26" t="s">
        <v>56</v>
      </c>
      <c r="U9" s="42">
        <v>30000</v>
      </c>
      <c r="V9" s="42">
        <v>20000</v>
      </c>
      <c r="W9" s="42">
        <v>10000</v>
      </c>
      <c r="Y9" s="46"/>
      <c r="Z9" s="81" t="s">
        <v>56</v>
      </c>
      <c r="AA9" s="94">
        <v>30000</v>
      </c>
      <c r="AB9" s="94">
        <v>20000</v>
      </c>
      <c r="AC9" s="94">
        <v>10000</v>
      </c>
      <c r="AD9" s="46"/>
      <c r="AF9" s="26" t="s">
        <v>56</v>
      </c>
      <c r="AG9" s="42">
        <v>30000</v>
      </c>
      <c r="AH9" s="42">
        <v>20000</v>
      </c>
      <c r="AI9" s="42">
        <v>10000</v>
      </c>
    </row>
    <row r="10" spans="1:35" x14ac:dyDescent="0.2">
      <c r="B10" s="26" t="s">
        <v>57</v>
      </c>
      <c r="C10" s="38">
        <v>230.48383134107181</v>
      </c>
      <c r="D10" s="38">
        <v>148.46468100114558</v>
      </c>
      <c r="E10" s="38">
        <v>66.445530661219323</v>
      </c>
      <c r="H10" s="26" t="s">
        <v>57</v>
      </c>
      <c r="I10" s="38">
        <v>171.51295454329173</v>
      </c>
      <c r="J10" s="38">
        <v>109.73287716607229</v>
      </c>
      <c r="K10" s="38">
        <v>47.95279978885285</v>
      </c>
      <c r="N10" s="26" t="s">
        <v>57</v>
      </c>
      <c r="O10" s="38">
        <v>235.56449073803645</v>
      </c>
      <c r="P10" s="38">
        <v>148.02699829856871</v>
      </c>
      <c r="Q10" s="38">
        <v>60.489505859100987</v>
      </c>
      <c r="T10" s="26" t="s">
        <v>57</v>
      </c>
      <c r="U10" s="38">
        <v>178.31186786339288</v>
      </c>
      <c r="V10" s="38">
        <v>115.77220103898551</v>
      </c>
      <c r="W10" s="38">
        <v>53.312485155424376</v>
      </c>
      <c r="Y10" s="46"/>
      <c r="Z10" s="84" t="s">
        <v>57</v>
      </c>
      <c r="AA10" s="95">
        <v>108.11</v>
      </c>
      <c r="AB10" s="95">
        <v>68.319999999999993</v>
      </c>
      <c r="AC10" s="95">
        <v>28.52</v>
      </c>
      <c r="AD10" s="46"/>
      <c r="AF10" s="26" t="s">
        <v>57</v>
      </c>
      <c r="AG10" s="38">
        <v>116.04116656017789</v>
      </c>
      <c r="AH10" s="38">
        <v>76.250076576751511</v>
      </c>
      <c r="AI10" s="38">
        <v>36.458986593325164</v>
      </c>
    </row>
    <row r="11" spans="1:35" x14ac:dyDescent="0.2">
      <c r="AD11" s="46"/>
      <c r="AE11" s="46"/>
      <c r="AF11" s="46"/>
      <c r="AG11" s="46"/>
      <c r="AH11" s="46"/>
      <c r="AI11" s="46"/>
    </row>
    <row r="12" spans="1:35" ht="17" thickBot="1" x14ac:dyDescent="0.25">
      <c r="A12" s="2" t="s">
        <v>3</v>
      </c>
      <c r="B12" s="4"/>
      <c r="C12" s="5"/>
      <c r="D12" s="5"/>
      <c r="E12" s="5"/>
      <c r="F12" s="2"/>
      <c r="G12" s="3"/>
      <c r="H12" s="4"/>
      <c r="I12" s="5"/>
      <c r="J12" s="5"/>
      <c r="K12" s="5"/>
      <c r="L12" s="2"/>
      <c r="M12" s="3"/>
      <c r="N12" s="4"/>
      <c r="O12" s="5"/>
      <c r="P12" s="5"/>
      <c r="Q12" s="5"/>
      <c r="R12" s="2"/>
      <c r="S12" s="3"/>
      <c r="T12" s="4"/>
      <c r="U12" s="5"/>
      <c r="V12" s="5"/>
      <c r="W12" s="5"/>
      <c r="X12" s="2"/>
      <c r="Y12" s="3"/>
      <c r="Z12" s="4"/>
      <c r="AA12" s="5"/>
      <c r="AB12" s="5"/>
      <c r="AC12" s="5"/>
      <c r="AD12" s="48"/>
      <c r="AE12" s="48"/>
      <c r="AF12" s="49"/>
      <c r="AG12" s="50"/>
      <c r="AH12" s="50"/>
      <c r="AI12" s="50"/>
    </row>
    <row r="13" spans="1:35" x14ac:dyDescent="0.2">
      <c r="C13" s="6"/>
      <c r="D13" s="6"/>
      <c r="E13" s="6"/>
      <c r="I13" s="6"/>
      <c r="J13" s="6"/>
      <c r="K13" s="6"/>
      <c r="O13" s="6"/>
      <c r="P13" s="6"/>
      <c r="Q13" s="6"/>
      <c r="U13" s="6"/>
      <c r="V13" s="6"/>
      <c r="W13" s="6"/>
      <c r="AA13" s="6"/>
      <c r="AB13" s="6"/>
      <c r="AC13" s="6"/>
      <c r="AD13" s="46"/>
      <c r="AE13" s="46"/>
      <c r="AF13" s="46"/>
      <c r="AG13" s="51"/>
      <c r="AH13" s="51"/>
      <c r="AI13" s="51"/>
    </row>
    <row r="14" spans="1:35" x14ac:dyDescent="0.2">
      <c r="A14" s="7"/>
      <c r="B14" s="7"/>
      <c r="C14" s="8" t="s">
        <v>4</v>
      </c>
      <c r="D14" s="8" t="s">
        <v>5</v>
      </c>
      <c r="E14" s="8" t="s">
        <v>6</v>
      </c>
      <c r="G14" s="7"/>
      <c r="H14" s="7"/>
      <c r="I14" s="8" t="s">
        <v>4</v>
      </c>
      <c r="J14" s="8" t="s">
        <v>5</v>
      </c>
      <c r="K14" s="8" t="s">
        <v>6</v>
      </c>
      <c r="M14" s="7"/>
      <c r="N14" s="7"/>
      <c r="O14" s="8" t="s">
        <v>4</v>
      </c>
      <c r="P14" s="8" t="s">
        <v>5</v>
      </c>
      <c r="Q14" s="8" t="s">
        <v>6</v>
      </c>
      <c r="S14" s="7"/>
      <c r="T14" s="7"/>
      <c r="U14" s="8" t="s">
        <v>4</v>
      </c>
      <c r="V14" s="8" t="s">
        <v>5</v>
      </c>
      <c r="W14" s="8" t="s">
        <v>6</v>
      </c>
      <c r="Y14" s="52"/>
      <c r="Z14" s="52"/>
      <c r="AA14" s="53" t="s">
        <v>4</v>
      </c>
      <c r="AB14" s="54" t="s">
        <v>5</v>
      </c>
      <c r="AC14" s="54" t="s">
        <v>6</v>
      </c>
      <c r="AD14" s="46"/>
      <c r="AE14" s="7"/>
      <c r="AF14" s="7"/>
      <c r="AG14" s="8" t="s">
        <v>4</v>
      </c>
      <c r="AH14" s="8" t="s">
        <v>5</v>
      </c>
      <c r="AI14" s="8" t="s">
        <v>6</v>
      </c>
    </row>
    <row r="15" spans="1:35" ht="16" customHeight="1" x14ac:dyDescent="0.2">
      <c r="A15" s="112" t="s">
        <v>7</v>
      </c>
      <c r="B15" s="113"/>
      <c r="C15" s="9">
        <v>19.591159416034401</v>
      </c>
      <c r="D15" s="9">
        <v>19.418941936625199</v>
      </c>
      <c r="E15" s="9">
        <v>0.17221747940920196</v>
      </c>
      <c r="G15" s="112" t="s">
        <v>7</v>
      </c>
      <c r="H15" s="113"/>
      <c r="I15" s="9">
        <v>19.550502235693799</v>
      </c>
      <c r="J15" s="9">
        <v>19.418941936625199</v>
      </c>
      <c r="K15" s="9">
        <v>0.13156029906859956</v>
      </c>
      <c r="M15" s="112" t="s">
        <v>7</v>
      </c>
      <c r="N15" s="113"/>
      <c r="O15" s="9">
        <v>19.5154899102799</v>
      </c>
      <c r="P15" s="9">
        <v>19.418941936625199</v>
      </c>
      <c r="Q15" s="9">
        <v>9.6547973654701025E-2</v>
      </c>
      <c r="S15" s="112" t="s">
        <v>7</v>
      </c>
      <c r="T15" s="113"/>
      <c r="U15" s="9">
        <v>19.548752960551901</v>
      </c>
      <c r="V15" s="9">
        <v>19.418941936625199</v>
      </c>
      <c r="W15" s="9">
        <v>0.12981102392670252</v>
      </c>
      <c r="Y15" s="119" t="s">
        <v>7</v>
      </c>
      <c r="Z15" s="120"/>
      <c r="AA15" s="55">
        <v>19.5</v>
      </c>
      <c r="AB15" s="56">
        <v>19.420000000000002</v>
      </c>
      <c r="AC15" s="56">
        <v>0.09</v>
      </c>
      <c r="AD15" s="46"/>
      <c r="AE15" s="112" t="s">
        <v>7</v>
      </c>
      <c r="AF15" s="113"/>
      <c r="AG15" s="9">
        <v>19.5045357648631</v>
      </c>
      <c r="AH15" s="9">
        <v>19.418941936625199</v>
      </c>
      <c r="AI15" s="9">
        <v>8.5593828237900738E-2</v>
      </c>
    </row>
    <row r="16" spans="1:35" ht="16" customHeight="1" x14ac:dyDescent="0.2">
      <c r="A16" s="10" t="s">
        <v>8</v>
      </c>
      <c r="B16" s="11" t="s">
        <v>9</v>
      </c>
      <c r="C16" s="9">
        <v>19.7027987494298</v>
      </c>
      <c r="D16" s="9">
        <v>19.7027987494298</v>
      </c>
      <c r="E16" s="9">
        <v>0</v>
      </c>
      <c r="G16" s="10" t="s">
        <v>8</v>
      </c>
      <c r="H16" s="11" t="s">
        <v>9</v>
      </c>
      <c r="I16" s="9">
        <v>19.7027987494298</v>
      </c>
      <c r="J16" s="9">
        <v>19.7027987494298</v>
      </c>
      <c r="K16" s="9">
        <v>0</v>
      </c>
      <c r="M16" s="10" t="s">
        <v>8</v>
      </c>
      <c r="N16" s="11" t="s">
        <v>9</v>
      </c>
      <c r="O16" s="9">
        <v>19.7027987494298</v>
      </c>
      <c r="P16" s="9">
        <v>19.7027987494298</v>
      </c>
      <c r="Q16" s="9">
        <v>0</v>
      </c>
      <c r="S16" s="10" t="s">
        <v>8</v>
      </c>
      <c r="T16" s="11" t="s">
        <v>9</v>
      </c>
      <c r="U16" s="9">
        <v>19.7027987494298</v>
      </c>
      <c r="V16" s="9">
        <v>19.7027987494298</v>
      </c>
      <c r="W16" s="9">
        <v>0</v>
      </c>
      <c r="Y16" s="57" t="s">
        <v>8</v>
      </c>
      <c r="Z16" s="58" t="s">
        <v>9</v>
      </c>
      <c r="AA16" s="59">
        <v>19.7</v>
      </c>
      <c r="AB16" s="60">
        <v>19.7</v>
      </c>
      <c r="AC16" s="60">
        <v>0</v>
      </c>
      <c r="AD16" s="46"/>
      <c r="AE16" s="10" t="s">
        <v>8</v>
      </c>
      <c r="AF16" s="11" t="s">
        <v>9</v>
      </c>
      <c r="AG16" s="9">
        <v>19.7027987494298</v>
      </c>
      <c r="AH16" s="9">
        <v>19.7027987494298</v>
      </c>
      <c r="AI16" s="9">
        <v>0</v>
      </c>
    </row>
    <row r="17" spans="1:35" ht="16" customHeight="1" x14ac:dyDescent="0.2">
      <c r="A17" s="114" t="s">
        <v>10</v>
      </c>
      <c r="B17" s="11" t="s">
        <v>9</v>
      </c>
      <c r="C17" s="9">
        <v>19.370146884532399</v>
      </c>
      <c r="D17" s="9">
        <v>18.856990240265102</v>
      </c>
      <c r="E17" s="9">
        <v>0.51315664426729768</v>
      </c>
      <c r="G17" s="114" t="s">
        <v>10</v>
      </c>
      <c r="H17" s="11" t="s">
        <v>9</v>
      </c>
      <c r="I17" s="9">
        <v>19.249000632127999</v>
      </c>
      <c r="J17" s="9">
        <v>18.856990240265102</v>
      </c>
      <c r="K17" s="9">
        <v>0.39201039186289677</v>
      </c>
      <c r="M17" s="114" t="s">
        <v>10</v>
      </c>
      <c r="N17" s="11" t="s">
        <v>9</v>
      </c>
      <c r="O17" s="9">
        <v>19.144674361188201</v>
      </c>
      <c r="P17" s="9">
        <v>18.856990240265102</v>
      </c>
      <c r="Q17" s="9">
        <v>0.28768412092309958</v>
      </c>
      <c r="S17" s="114" t="s">
        <v>10</v>
      </c>
      <c r="T17" s="11" t="s">
        <v>9</v>
      </c>
      <c r="U17" s="9">
        <v>19.243788314744101</v>
      </c>
      <c r="V17" s="9">
        <v>18.856990240265102</v>
      </c>
      <c r="W17" s="9">
        <v>0.38679807447899961</v>
      </c>
      <c r="Y17" s="121" t="s">
        <v>10</v>
      </c>
      <c r="Z17" s="58" t="s">
        <v>9</v>
      </c>
      <c r="AA17" s="59">
        <v>19.11</v>
      </c>
      <c r="AB17" s="60">
        <v>18.86</v>
      </c>
      <c r="AC17" s="60">
        <v>0.26</v>
      </c>
      <c r="AD17" s="46"/>
      <c r="AE17" s="114" t="s">
        <v>10</v>
      </c>
      <c r="AF17" s="11" t="s">
        <v>9</v>
      </c>
      <c r="AG17" s="9">
        <v>19.112034280041101</v>
      </c>
      <c r="AH17" s="9">
        <v>18.856990240265102</v>
      </c>
      <c r="AI17" s="9">
        <v>0.25504403977599921</v>
      </c>
    </row>
    <row r="18" spans="1:35" x14ac:dyDescent="0.2">
      <c r="A18" s="115"/>
      <c r="B18" s="12" t="s">
        <v>11</v>
      </c>
      <c r="C18" s="9">
        <v>14.116648455047599</v>
      </c>
      <c r="D18" s="9">
        <v>14.552615434103901</v>
      </c>
      <c r="E18" s="9">
        <v>-0.43596697905630144</v>
      </c>
      <c r="G18" s="115"/>
      <c r="H18" s="12" t="s">
        <v>11</v>
      </c>
      <c r="I18" s="9">
        <v>14.3539778477192</v>
      </c>
      <c r="J18" s="9">
        <v>14.552615434103901</v>
      </c>
      <c r="K18" s="9">
        <v>-0.19863758638470053</v>
      </c>
      <c r="M18" s="115"/>
      <c r="N18" s="12" t="s">
        <v>11</v>
      </c>
      <c r="O18" s="9">
        <v>14.2904867108514</v>
      </c>
      <c r="P18" s="9">
        <v>14.552615434103901</v>
      </c>
      <c r="Q18" s="9">
        <v>-0.26212872325250025</v>
      </c>
      <c r="S18" s="115"/>
      <c r="T18" s="12" t="s">
        <v>11</v>
      </c>
      <c r="U18" s="9">
        <v>14.3534741040484</v>
      </c>
      <c r="V18" s="9">
        <v>14.552615434103901</v>
      </c>
      <c r="W18" s="9">
        <v>-0.19914133005550028</v>
      </c>
      <c r="Y18" s="122"/>
      <c r="Z18" s="61" t="s">
        <v>11</v>
      </c>
      <c r="AA18" s="59">
        <v>14.42</v>
      </c>
      <c r="AB18" s="60">
        <v>14.55</v>
      </c>
      <c r="AC18" s="60">
        <v>-0.13</v>
      </c>
      <c r="AD18" s="46"/>
      <c r="AE18" s="115"/>
      <c r="AF18" s="12" t="s">
        <v>11</v>
      </c>
      <c r="AG18" s="9">
        <v>14.422510633799201</v>
      </c>
      <c r="AH18" s="9">
        <v>14.552615434103901</v>
      </c>
      <c r="AI18" s="9">
        <v>-0.13010480030470006</v>
      </c>
    </row>
    <row r="19" spans="1:35" x14ac:dyDescent="0.2">
      <c r="A19" s="116"/>
      <c r="B19" s="12" t="s">
        <v>12</v>
      </c>
      <c r="C19" s="9">
        <v>5.2534984294848304</v>
      </c>
      <c r="D19" s="9">
        <v>4.3043748061612099</v>
      </c>
      <c r="E19" s="9">
        <v>0.94912362332362044</v>
      </c>
      <c r="G19" s="116"/>
      <c r="H19" s="12" t="s">
        <v>12</v>
      </c>
      <c r="I19" s="9">
        <v>4.8950227844088001</v>
      </c>
      <c r="J19" s="9">
        <v>4.3043748061612099</v>
      </c>
      <c r="K19" s="9">
        <v>0.59064797824759019</v>
      </c>
      <c r="M19" s="116"/>
      <c r="N19" s="12" t="s">
        <v>12</v>
      </c>
      <c r="O19" s="9">
        <v>4.85418765033684</v>
      </c>
      <c r="P19" s="9">
        <v>4.3043748061612099</v>
      </c>
      <c r="Q19" s="9">
        <v>0.54981284417563003</v>
      </c>
      <c r="S19" s="116"/>
      <c r="T19" s="12" t="s">
        <v>12</v>
      </c>
      <c r="U19" s="9">
        <v>4.8903142106957302</v>
      </c>
      <c r="V19" s="9">
        <v>4.3043748061612099</v>
      </c>
      <c r="W19" s="9">
        <v>0.58593940453452031</v>
      </c>
      <c r="Y19" s="123"/>
      <c r="Z19" s="61" t="s">
        <v>12</v>
      </c>
      <c r="AA19" s="59">
        <v>4.6900000000000004</v>
      </c>
      <c r="AB19" s="60">
        <v>4.3</v>
      </c>
      <c r="AC19" s="60">
        <v>0.39</v>
      </c>
      <c r="AD19" s="46"/>
      <c r="AE19" s="116"/>
      <c r="AF19" s="12" t="s">
        <v>12</v>
      </c>
      <c r="AG19" s="9">
        <v>4.6895236462418897</v>
      </c>
      <c r="AH19" s="9">
        <v>4.3043748061612099</v>
      </c>
      <c r="AI19" s="9">
        <v>0.38514884008067973</v>
      </c>
    </row>
    <row r="20" spans="1:35" x14ac:dyDescent="0.2">
      <c r="C20" s="13"/>
      <c r="D20" s="13"/>
      <c r="E20" s="13"/>
      <c r="I20" s="13"/>
      <c r="J20" s="13"/>
      <c r="K20" s="13"/>
      <c r="O20" s="13"/>
      <c r="P20" s="13"/>
      <c r="Q20" s="13"/>
      <c r="U20" s="13"/>
      <c r="V20" s="13"/>
      <c r="W20" s="13"/>
      <c r="Y20" s="46"/>
      <c r="Z20" s="46"/>
      <c r="AA20" s="62"/>
      <c r="AB20" s="62"/>
      <c r="AC20" s="62"/>
      <c r="AD20" s="46"/>
      <c r="AG20" s="13"/>
      <c r="AH20" s="13"/>
      <c r="AI20" s="13"/>
    </row>
    <row r="21" spans="1:35" ht="16" customHeight="1" x14ac:dyDescent="0.2">
      <c r="A21" s="112" t="s">
        <v>13</v>
      </c>
      <c r="B21" s="113"/>
      <c r="C21" s="9">
        <v>15.332620165524901</v>
      </c>
      <c r="D21" s="9">
        <v>15.2069436230516</v>
      </c>
      <c r="E21" s="9">
        <v>0.1256765424733004</v>
      </c>
      <c r="G21" s="112" t="s">
        <v>13</v>
      </c>
      <c r="H21" s="113"/>
      <c r="I21" s="9">
        <v>15.3021398234304</v>
      </c>
      <c r="J21" s="9">
        <v>15.2069436230516</v>
      </c>
      <c r="K21" s="9">
        <v>9.5196200378799389E-2</v>
      </c>
      <c r="M21" s="112" t="s">
        <v>13</v>
      </c>
      <c r="N21" s="113"/>
      <c r="O21" s="9">
        <v>15.274576735805899</v>
      </c>
      <c r="P21" s="9">
        <v>15.2069436230516</v>
      </c>
      <c r="Q21" s="9">
        <v>6.7633112754299063E-2</v>
      </c>
      <c r="S21" s="112" t="s">
        <v>13</v>
      </c>
      <c r="T21" s="113"/>
      <c r="U21" s="9">
        <v>15.303185583319101</v>
      </c>
      <c r="V21" s="9">
        <v>15.2069436230516</v>
      </c>
      <c r="W21" s="9">
        <v>9.6241960267500204E-2</v>
      </c>
      <c r="Y21" s="119" t="s">
        <v>13</v>
      </c>
      <c r="Z21" s="120"/>
      <c r="AA21" s="55">
        <v>15.27</v>
      </c>
      <c r="AB21" s="56">
        <v>15.21</v>
      </c>
      <c r="AC21" s="56">
        <v>0.06</v>
      </c>
      <c r="AD21" s="46"/>
      <c r="AE21" s="112" t="s">
        <v>13</v>
      </c>
      <c r="AF21" s="113"/>
      <c r="AG21" s="9">
        <v>15.268357054569201</v>
      </c>
      <c r="AH21" s="9">
        <v>15.2069436230516</v>
      </c>
      <c r="AI21" s="9">
        <v>6.1413431517600259E-2</v>
      </c>
    </row>
    <row r="22" spans="1:35" ht="16" customHeight="1" x14ac:dyDescent="0.2">
      <c r="A22" s="10" t="s">
        <v>8</v>
      </c>
      <c r="B22" s="11" t="s">
        <v>9</v>
      </c>
      <c r="C22" s="9">
        <v>15.590825186089001</v>
      </c>
      <c r="D22" s="9">
        <v>15.590825186089001</v>
      </c>
      <c r="E22" s="9">
        <v>0</v>
      </c>
      <c r="G22" s="10" t="s">
        <v>8</v>
      </c>
      <c r="H22" s="11" t="s">
        <v>9</v>
      </c>
      <c r="I22" s="9">
        <v>15.590825186089001</v>
      </c>
      <c r="J22" s="9">
        <v>15.590825186089001</v>
      </c>
      <c r="K22" s="9">
        <v>0</v>
      </c>
      <c r="M22" s="10" t="s">
        <v>8</v>
      </c>
      <c r="N22" s="11" t="s">
        <v>9</v>
      </c>
      <c r="O22" s="9">
        <v>15.590825186089001</v>
      </c>
      <c r="P22" s="9">
        <v>15.590825186089001</v>
      </c>
      <c r="Q22" s="9">
        <v>0</v>
      </c>
      <c r="S22" s="10" t="s">
        <v>8</v>
      </c>
      <c r="T22" s="11" t="s">
        <v>9</v>
      </c>
      <c r="U22" s="9">
        <v>15.590825186089001</v>
      </c>
      <c r="V22" s="9">
        <v>15.590825186089001</v>
      </c>
      <c r="W22" s="9">
        <v>0</v>
      </c>
      <c r="Y22" s="57" t="s">
        <v>8</v>
      </c>
      <c r="Z22" s="58" t="s">
        <v>9</v>
      </c>
      <c r="AA22" s="59">
        <v>15.59</v>
      </c>
      <c r="AB22" s="60">
        <v>15.59</v>
      </c>
      <c r="AC22" s="60">
        <v>0</v>
      </c>
      <c r="AD22" s="46"/>
      <c r="AE22" s="10" t="s">
        <v>8</v>
      </c>
      <c r="AF22" s="11" t="s">
        <v>9</v>
      </c>
      <c r="AG22" s="9">
        <v>15.590825186089001</v>
      </c>
      <c r="AH22" s="9">
        <v>15.590825186089001</v>
      </c>
      <c r="AI22" s="9">
        <v>0</v>
      </c>
    </row>
    <row r="23" spans="1:35" ht="16" customHeight="1" x14ac:dyDescent="0.2">
      <c r="A23" s="114" t="s">
        <v>10</v>
      </c>
      <c r="B23" s="11" t="s">
        <v>9</v>
      </c>
      <c r="C23" s="9">
        <v>14.9897143630368</v>
      </c>
      <c r="D23" s="9">
        <v>14.607758772828101</v>
      </c>
      <c r="E23" s="9">
        <v>0.38195559020869929</v>
      </c>
      <c r="G23" s="114" t="s">
        <v>10</v>
      </c>
      <c r="H23" s="11" t="s">
        <v>9</v>
      </c>
      <c r="I23" s="9">
        <v>14.898238333590401</v>
      </c>
      <c r="J23" s="9">
        <v>14.607758772828101</v>
      </c>
      <c r="K23" s="9">
        <v>0.29047956076230008</v>
      </c>
      <c r="M23" s="114" t="s">
        <v>10</v>
      </c>
      <c r="N23" s="11" t="s">
        <v>9</v>
      </c>
      <c r="O23" s="9">
        <v>14.8128014791524</v>
      </c>
      <c r="P23" s="9">
        <v>14.607758772828101</v>
      </c>
      <c r="Q23" s="9">
        <v>0.20504270632429922</v>
      </c>
      <c r="S23" s="114" t="s">
        <v>10</v>
      </c>
      <c r="T23" s="11" t="s">
        <v>9</v>
      </c>
      <c r="U23" s="9">
        <v>14.9001286823207</v>
      </c>
      <c r="V23" s="9">
        <v>14.607758772828101</v>
      </c>
      <c r="W23" s="9">
        <v>0.29236990949259933</v>
      </c>
      <c r="Y23" s="121" t="s">
        <v>10</v>
      </c>
      <c r="Z23" s="58" t="s">
        <v>9</v>
      </c>
      <c r="AA23" s="59">
        <v>14.8</v>
      </c>
      <c r="AB23" s="60">
        <v>14.61</v>
      </c>
      <c r="AC23" s="60">
        <v>0.19</v>
      </c>
      <c r="AD23" s="46"/>
      <c r="AE23" s="114" t="s">
        <v>10</v>
      </c>
      <c r="AF23" s="11" t="s">
        <v>9</v>
      </c>
      <c r="AG23" s="9">
        <v>14.797371759703999</v>
      </c>
      <c r="AH23" s="9">
        <v>14.607758772828101</v>
      </c>
      <c r="AI23" s="9">
        <v>0.18961298687589867</v>
      </c>
    </row>
    <row r="24" spans="1:35" x14ac:dyDescent="0.2">
      <c r="A24" s="115"/>
      <c r="B24" s="12" t="s">
        <v>11</v>
      </c>
      <c r="C24" s="9">
        <v>11.321160045324699</v>
      </c>
      <c r="D24" s="9">
        <v>11.667565710761201</v>
      </c>
      <c r="E24" s="9">
        <v>-0.34640566543650131</v>
      </c>
      <c r="G24" s="115"/>
      <c r="H24" s="12" t="s">
        <v>11</v>
      </c>
      <c r="I24" s="9">
        <v>11.509887484184601</v>
      </c>
      <c r="J24" s="9">
        <v>11.667565710761201</v>
      </c>
      <c r="K24" s="9">
        <v>-0.15767822657659991</v>
      </c>
      <c r="M24" s="115"/>
      <c r="N24" s="12" t="s">
        <v>11</v>
      </c>
      <c r="O24" s="9">
        <v>11.458045462150199</v>
      </c>
      <c r="P24" s="9">
        <v>11.667565710761201</v>
      </c>
      <c r="Q24" s="9">
        <v>-0.20952024861100149</v>
      </c>
      <c r="S24" s="115"/>
      <c r="T24" s="12" t="s">
        <v>11</v>
      </c>
      <c r="U24" s="9">
        <v>11.5094165476304</v>
      </c>
      <c r="V24" s="9">
        <v>11.667565710761201</v>
      </c>
      <c r="W24" s="9">
        <v>-0.15814916313080118</v>
      </c>
      <c r="Y24" s="122"/>
      <c r="Z24" s="61" t="s">
        <v>11</v>
      </c>
      <c r="AA24" s="59">
        <v>11.56</v>
      </c>
      <c r="AB24" s="60">
        <v>11.67</v>
      </c>
      <c r="AC24" s="60">
        <v>-0.1</v>
      </c>
      <c r="AD24" s="46"/>
      <c r="AE24" s="115"/>
      <c r="AF24" s="12" t="s">
        <v>11</v>
      </c>
      <c r="AG24" s="9">
        <v>11.5642429803793</v>
      </c>
      <c r="AH24" s="9">
        <v>11.667565710761201</v>
      </c>
      <c r="AI24" s="9">
        <v>-0.1033227303819011</v>
      </c>
    </row>
    <row r="25" spans="1:35" x14ac:dyDescent="0.2">
      <c r="A25" s="116"/>
      <c r="B25" s="12" t="s">
        <v>12</v>
      </c>
      <c r="C25" s="9">
        <v>3.6685543177121702</v>
      </c>
      <c r="D25" s="9">
        <v>2.9401930620668302</v>
      </c>
      <c r="E25" s="9">
        <v>0.72836125564534004</v>
      </c>
      <c r="G25" s="116"/>
      <c r="H25" s="12" t="s">
        <v>12</v>
      </c>
      <c r="I25" s="9">
        <v>3.3883508494058501</v>
      </c>
      <c r="J25" s="9">
        <v>2.9401930620668302</v>
      </c>
      <c r="K25" s="9">
        <v>0.4481577873390199</v>
      </c>
      <c r="M25" s="116"/>
      <c r="N25" s="12" t="s">
        <v>12</v>
      </c>
      <c r="O25" s="9">
        <v>3.3547560170021602</v>
      </c>
      <c r="P25" s="9">
        <v>2.9401930620668302</v>
      </c>
      <c r="Q25" s="9">
        <v>0.41456295493533002</v>
      </c>
      <c r="S25" s="116"/>
      <c r="T25" s="12" t="s">
        <v>12</v>
      </c>
      <c r="U25" s="9">
        <v>3.39071213469028</v>
      </c>
      <c r="V25" s="9">
        <v>2.9401930620668302</v>
      </c>
      <c r="W25" s="9">
        <v>0.45051907262344981</v>
      </c>
      <c r="Y25" s="124"/>
      <c r="Z25" s="61" t="s">
        <v>12</v>
      </c>
      <c r="AA25" s="59">
        <v>3.23</v>
      </c>
      <c r="AB25" s="60">
        <v>2.94</v>
      </c>
      <c r="AC25" s="60">
        <v>0.28999999999999998</v>
      </c>
      <c r="AD25" s="46"/>
      <c r="AE25" s="116"/>
      <c r="AF25" s="12" t="s">
        <v>12</v>
      </c>
      <c r="AG25" s="9">
        <v>3.2331287793246402</v>
      </c>
      <c r="AH25" s="9">
        <v>2.9401930620668302</v>
      </c>
      <c r="AI25" s="9">
        <v>0.29293571725780998</v>
      </c>
    </row>
    <row r="26" spans="1:35" x14ac:dyDescent="0.2">
      <c r="A26" s="106" t="s">
        <v>14</v>
      </c>
      <c r="B26" s="107"/>
      <c r="C26" s="16">
        <v>-5.5571246021260699E-2</v>
      </c>
      <c r="D26" s="16">
        <v>-5.39604333491919E-2</v>
      </c>
      <c r="E26" s="16">
        <v>-1.6108126720687996E-3</v>
      </c>
      <c r="G26" s="106" t="s">
        <v>14</v>
      </c>
      <c r="H26" s="107"/>
      <c r="I26" s="16">
        <v>-5.5819239712789202E-2</v>
      </c>
      <c r="J26" s="16">
        <v>-5.39604333491919E-2</v>
      </c>
      <c r="K26" s="16">
        <v>-1.8588063635973026E-3</v>
      </c>
      <c r="M26" s="106" t="s">
        <v>14</v>
      </c>
      <c r="N26" s="107"/>
      <c r="O26" s="16">
        <v>-5.47949346222441E-2</v>
      </c>
      <c r="P26" s="16">
        <v>-5.39604333491919E-2</v>
      </c>
      <c r="Q26" s="16">
        <v>-8.3450127305220029E-4</v>
      </c>
      <c r="S26" s="106" t="s">
        <v>14</v>
      </c>
      <c r="T26" s="107"/>
      <c r="U26" s="16">
        <v>-5.5433330769161598E-2</v>
      </c>
      <c r="V26" s="16">
        <v>-5.39604333491919E-2</v>
      </c>
      <c r="W26" s="16">
        <v>-1.4728974199696987E-3</v>
      </c>
      <c r="Y26" s="125" t="s">
        <v>14</v>
      </c>
      <c r="Z26" s="126"/>
      <c r="AA26" s="65">
        <v>-5.5899999999999998E-2</v>
      </c>
      <c r="AB26" s="66">
        <v>-5.3999999999999999E-2</v>
      </c>
      <c r="AC26" s="66">
        <v>-1.9E-3</v>
      </c>
      <c r="AD26" s="46"/>
      <c r="AE26" s="106" t="s">
        <v>14</v>
      </c>
      <c r="AF26" s="107"/>
      <c r="AG26" s="16">
        <v>-5.5891216580239003E-2</v>
      </c>
      <c r="AH26" s="16">
        <v>-5.39604333491919E-2</v>
      </c>
      <c r="AI26" s="16">
        <v>-1.9307832310471035E-3</v>
      </c>
    </row>
    <row r="27" spans="1:35" x14ac:dyDescent="0.2">
      <c r="A27" s="106" t="s">
        <v>15</v>
      </c>
      <c r="B27" s="107"/>
      <c r="C27" s="16">
        <v>-1.2540283653477999E-4</v>
      </c>
      <c r="D27" s="16">
        <v>0</v>
      </c>
      <c r="E27" s="16">
        <v>-1.2540283653477999E-4</v>
      </c>
      <c r="G27" s="106" t="s">
        <v>15</v>
      </c>
      <c r="H27" s="107"/>
      <c r="I27" s="16">
        <v>-9.5683694132705103E-5</v>
      </c>
      <c r="J27" s="16">
        <v>0</v>
      </c>
      <c r="K27" s="16">
        <v>-9.5683694132705103E-5</v>
      </c>
      <c r="M27" s="106" t="s">
        <v>15</v>
      </c>
      <c r="N27" s="107"/>
      <c r="O27" s="16">
        <v>-7.5884323406075595E-5</v>
      </c>
      <c r="P27" s="16">
        <v>0</v>
      </c>
      <c r="Q27" s="16">
        <v>-7.5884323406075595E-5</v>
      </c>
      <c r="S27" s="106" t="s">
        <v>15</v>
      </c>
      <c r="T27" s="107"/>
      <c r="U27" s="16">
        <v>-7.2992721359460495E-5</v>
      </c>
      <c r="V27" s="16">
        <v>0</v>
      </c>
      <c r="W27" s="16">
        <v>-7.2992721359460495E-5</v>
      </c>
      <c r="Y27" s="125" t="s">
        <v>15</v>
      </c>
      <c r="Z27" s="126"/>
      <c r="AA27" s="65">
        <v>-1E-4</v>
      </c>
      <c r="AB27" s="66">
        <v>0</v>
      </c>
      <c r="AC27" s="66">
        <v>-1E-4</v>
      </c>
      <c r="AD27" s="46"/>
      <c r="AE27" s="106" t="s">
        <v>15</v>
      </c>
      <c r="AF27" s="107"/>
      <c r="AG27" s="16">
        <v>-6.6739849460602702E-5</v>
      </c>
      <c r="AH27" s="16">
        <v>0</v>
      </c>
      <c r="AI27" s="16">
        <v>-6.6739849460602702E-5</v>
      </c>
    </row>
    <row r="28" spans="1:35" x14ac:dyDescent="0.2">
      <c r="A28" s="106" t="s">
        <v>16</v>
      </c>
      <c r="B28" s="107"/>
      <c r="C28" s="16">
        <v>-7.7310831616721003E-4</v>
      </c>
      <c r="D28" s="16">
        <v>0</v>
      </c>
      <c r="E28" s="16">
        <v>-7.7310831616721003E-4</v>
      </c>
      <c r="G28" s="106" t="s">
        <v>16</v>
      </c>
      <c r="H28" s="107"/>
      <c r="I28" s="16">
        <v>-3.3544432030672001E-4</v>
      </c>
      <c r="J28" s="16">
        <v>0</v>
      </c>
      <c r="K28" s="16">
        <v>-3.3544432030672001E-4</v>
      </c>
      <c r="M28" s="106" t="s">
        <v>16</v>
      </c>
      <c r="N28" s="107"/>
      <c r="O28" s="16">
        <v>-2.6967682478765001E-4</v>
      </c>
      <c r="P28" s="16">
        <v>0</v>
      </c>
      <c r="Q28" s="16">
        <v>-2.6967682478765001E-4</v>
      </c>
      <c r="S28" s="106" t="s">
        <v>16</v>
      </c>
      <c r="T28" s="107"/>
      <c r="U28" s="16">
        <v>-3.3269315315689001E-4</v>
      </c>
      <c r="V28" s="16">
        <v>0</v>
      </c>
      <c r="W28" s="16">
        <v>-3.3269315315689001E-4</v>
      </c>
      <c r="Y28" s="125" t="s">
        <v>16</v>
      </c>
      <c r="Z28" s="126"/>
      <c r="AA28" s="65">
        <v>-2.0000000000000001E-4</v>
      </c>
      <c r="AB28" s="66">
        <v>0</v>
      </c>
      <c r="AC28" s="66">
        <v>-2.0000000000000001E-4</v>
      </c>
      <c r="AD28" s="46"/>
      <c r="AE28" s="106" t="s">
        <v>16</v>
      </c>
      <c r="AF28" s="107"/>
      <c r="AG28" s="16">
        <v>-2.2394329873721001E-4</v>
      </c>
      <c r="AH28" s="16">
        <v>0</v>
      </c>
      <c r="AI28" s="16">
        <v>-2.2394329873721001E-4</v>
      </c>
    </row>
    <row r="29" spans="1:35" x14ac:dyDescent="0.2">
      <c r="C29" s="17"/>
      <c r="D29" s="17"/>
      <c r="E29" s="17"/>
      <c r="I29" s="17"/>
      <c r="J29" s="17"/>
      <c r="K29" s="17"/>
      <c r="O29" s="17"/>
      <c r="P29" s="17"/>
      <c r="Q29" s="17"/>
      <c r="U29" s="17"/>
      <c r="V29" s="17"/>
      <c r="W29" s="17"/>
      <c r="Y29" s="46"/>
      <c r="Z29" s="46"/>
      <c r="AA29" s="67"/>
      <c r="AB29" s="67"/>
      <c r="AC29" s="67"/>
      <c r="AD29" s="46"/>
      <c r="AG29" s="17"/>
      <c r="AH29" s="17"/>
      <c r="AI29" s="17"/>
    </row>
    <row r="30" spans="1:35" ht="17" thickBot="1" x14ac:dyDescent="0.25">
      <c r="A30" s="2" t="s">
        <v>17</v>
      </c>
      <c r="B30" s="4"/>
      <c r="C30" s="5"/>
      <c r="D30" s="5"/>
      <c r="E30" s="5"/>
      <c r="F30" s="2"/>
      <c r="G30" s="3"/>
      <c r="H30" s="4"/>
      <c r="I30" s="5"/>
      <c r="J30" s="5"/>
      <c r="K30" s="5"/>
      <c r="L30" s="2"/>
      <c r="M30" s="3"/>
      <c r="N30" s="4"/>
      <c r="O30" s="5"/>
      <c r="P30" s="5"/>
      <c r="Q30" s="5"/>
      <c r="R30" s="2"/>
      <c r="S30" s="3"/>
      <c r="T30" s="4"/>
      <c r="U30" s="5"/>
      <c r="V30" s="5"/>
      <c r="W30" s="5"/>
      <c r="X30" s="2"/>
      <c r="Y30" s="48"/>
      <c r="Z30" s="49"/>
      <c r="AA30" s="50"/>
      <c r="AB30" s="50"/>
      <c r="AC30" s="50"/>
      <c r="AD30" s="48"/>
      <c r="AE30" s="3"/>
      <c r="AF30" s="4"/>
      <c r="AG30" s="5"/>
      <c r="AH30" s="5"/>
      <c r="AI30" s="5"/>
    </row>
    <row r="31" spans="1:35" x14ac:dyDescent="0.2">
      <c r="C31" s="6"/>
      <c r="D31" s="6"/>
      <c r="E31" s="6"/>
      <c r="I31" s="6"/>
      <c r="J31" s="6"/>
      <c r="K31" s="6"/>
      <c r="O31" s="6"/>
      <c r="P31" s="6"/>
      <c r="Q31" s="6"/>
      <c r="U31" s="6"/>
      <c r="V31" s="6"/>
      <c r="W31" s="6"/>
      <c r="Y31" s="46"/>
      <c r="Z31" s="46"/>
      <c r="AA31" s="51"/>
      <c r="AB31" s="51"/>
      <c r="AC31" s="51"/>
      <c r="AD31" s="46"/>
      <c r="AG31" s="6"/>
      <c r="AH31" s="6"/>
      <c r="AI31" s="6"/>
    </row>
    <row r="32" spans="1:35" x14ac:dyDescent="0.2">
      <c r="A32" s="7"/>
      <c r="B32" s="7"/>
      <c r="C32" s="8" t="s">
        <v>4</v>
      </c>
      <c r="D32" s="8" t="s">
        <v>5</v>
      </c>
      <c r="E32" s="8" t="s">
        <v>6</v>
      </c>
      <c r="G32" s="7"/>
      <c r="H32" s="7"/>
      <c r="I32" s="8" t="s">
        <v>4</v>
      </c>
      <c r="J32" s="8" t="s">
        <v>5</v>
      </c>
      <c r="K32" s="8" t="s">
        <v>6</v>
      </c>
      <c r="M32" s="7"/>
      <c r="N32" s="7"/>
      <c r="O32" s="8" t="s">
        <v>4</v>
      </c>
      <c r="P32" s="8" t="s">
        <v>5</v>
      </c>
      <c r="Q32" s="8" t="s">
        <v>6</v>
      </c>
      <c r="S32" s="7"/>
      <c r="T32" s="7"/>
      <c r="U32" s="8" t="s">
        <v>4</v>
      </c>
      <c r="V32" s="8" t="s">
        <v>5</v>
      </c>
      <c r="W32" s="8" t="s">
        <v>6</v>
      </c>
      <c r="Y32" s="52"/>
      <c r="Z32" s="52"/>
      <c r="AA32" s="53" t="s">
        <v>4</v>
      </c>
      <c r="AB32" s="54" t="s">
        <v>5</v>
      </c>
      <c r="AC32" s="54" t="s">
        <v>6</v>
      </c>
      <c r="AD32" s="46"/>
      <c r="AE32" s="7"/>
      <c r="AF32" s="7"/>
      <c r="AG32" s="8" t="s">
        <v>4</v>
      </c>
      <c r="AH32" s="8" t="s">
        <v>5</v>
      </c>
      <c r="AI32" s="8" t="s">
        <v>6</v>
      </c>
    </row>
    <row r="33" spans="1:35" x14ac:dyDescent="0.2">
      <c r="A33" s="110" t="s">
        <v>18</v>
      </c>
      <c r="B33" s="111"/>
      <c r="C33" s="18">
        <v>33560.411101197897</v>
      </c>
      <c r="D33" s="18">
        <v>33560.411101197897</v>
      </c>
      <c r="E33" s="18">
        <v>0</v>
      </c>
      <c r="G33" s="110" t="s">
        <v>18</v>
      </c>
      <c r="H33" s="111"/>
      <c r="I33" s="18">
        <v>33560.411101197897</v>
      </c>
      <c r="J33" s="18">
        <v>33560.411101197897</v>
      </c>
      <c r="K33" s="18">
        <v>0</v>
      </c>
      <c r="M33" s="110" t="s">
        <v>18</v>
      </c>
      <c r="N33" s="111"/>
      <c r="O33" s="18">
        <v>33560.411101197897</v>
      </c>
      <c r="P33" s="18">
        <v>33560.411101197897</v>
      </c>
      <c r="Q33" s="18">
        <v>0</v>
      </c>
      <c r="S33" s="110" t="s">
        <v>18</v>
      </c>
      <c r="T33" s="111"/>
      <c r="U33" s="18">
        <v>33560.411101197897</v>
      </c>
      <c r="V33" s="18">
        <v>33560.411101197897</v>
      </c>
      <c r="W33" s="18">
        <v>0</v>
      </c>
      <c r="Y33" s="119" t="s">
        <v>18</v>
      </c>
      <c r="Z33" s="120"/>
      <c r="AA33" s="68">
        <v>33560</v>
      </c>
      <c r="AB33" s="69">
        <v>33560</v>
      </c>
      <c r="AC33" s="69">
        <v>0</v>
      </c>
      <c r="AD33" s="46"/>
      <c r="AE33" s="110" t="s">
        <v>18</v>
      </c>
      <c r="AF33" s="111"/>
      <c r="AG33" s="18">
        <v>33560.411101197897</v>
      </c>
      <c r="AH33" s="18">
        <v>33560.411101197897</v>
      </c>
      <c r="AI33" s="18">
        <v>0</v>
      </c>
    </row>
    <row r="34" spans="1:35" x14ac:dyDescent="0.2">
      <c r="A34" s="103" t="s">
        <v>19</v>
      </c>
      <c r="B34" s="104"/>
      <c r="C34" s="18">
        <v>13673.147301716601</v>
      </c>
      <c r="D34" s="18">
        <v>10244.020617808899</v>
      </c>
      <c r="E34" s="18">
        <v>3429.1266839077016</v>
      </c>
      <c r="G34" s="103" t="s">
        <v>19</v>
      </c>
      <c r="H34" s="104"/>
      <c r="I34" s="18">
        <v>12628.1049057981</v>
      </c>
      <c r="J34" s="18">
        <v>10244.020617808899</v>
      </c>
      <c r="K34" s="18">
        <v>2384.0842879892007</v>
      </c>
      <c r="M34" s="103" t="s">
        <v>19</v>
      </c>
      <c r="N34" s="104"/>
      <c r="O34" s="18">
        <v>12327.1433836874</v>
      </c>
      <c r="P34" s="18">
        <v>10244.020617808899</v>
      </c>
      <c r="Q34" s="18">
        <v>2083.122765878501</v>
      </c>
      <c r="S34" s="103" t="s">
        <v>19</v>
      </c>
      <c r="T34" s="104"/>
      <c r="U34" s="18">
        <v>12697.837521552799</v>
      </c>
      <c r="V34" s="18">
        <v>10244.020617808899</v>
      </c>
      <c r="W34" s="18">
        <v>2453.8169037439002</v>
      </c>
      <c r="Y34" s="117" t="s">
        <v>19</v>
      </c>
      <c r="Z34" s="118"/>
      <c r="AA34" s="70">
        <v>11687</v>
      </c>
      <c r="AB34" s="71">
        <v>10244</v>
      </c>
      <c r="AC34" s="71">
        <v>1443</v>
      </c>
      <c r="AD34" s="46"/>
      <c r="AE34" s="103" t="s">
        <v>19</v>
      </c>
      <c r="AF34" s="104"/>
      <c r="AG34" s="18">
        <v>11687.4423258935</v>
      </c>
      <c r="AH34" s="18">
        <v>10244.020617808899</v>
      </c>
      <c r="AI34" s="18">
        <v>1443.4217080846011</v>
      </c>
    </row>
    <row r="35" spans="1:35" x14ac:dyDescent="0.2">
      <c r="A35" s="103" t="s">
        <v>20</v>
      </c>
      <c r="B35" s="104"/>
      <c r="C35" s="18">
        <v>9012.7366988548602</v>
      </c>
      <c r="D35" s="18">
        <v>6754.8771741712999</v>
      </c>
      <c r="E35" s="18">
        <v>2257.8595246835603</v>
      </c>
      <c r="G35" s="103" t="s">
        <v>20</v>
      </c>
      <c r="H35" s="104"/>
      <c r="I35" s="18">
        <v>8422.9913151821293</v>
      </c>
      <c r="J35" s="18">
        <v>6754.8771741712999</v>
      </c>
      <c r="K35" s="18">
        <v>1668.1141410108294</v>
      </c>
      <c r="M35" s="103" t="s">
        <v>20</v>
      </c>
      <c r="N35" s="104"/>
      <c r="O35" s="18">
        <v>8182.3126222086503</v>
      </c>
      <c r="P35" s="18">
        <v>6754.8771741712999</v>
      </c>
      <c r="Q35" s="18">
        <v>1427.4354480373504</v>
      </c>
      <c r="S35" s="103" t="s">
        <v>20</v>
      </c>
      <c r="T35" s="104"/>
      <c r="U35" s="18">
        <v>8390.7550857853603</v>
      </c>
      <c r="V35" s="18">
        <v>6754.8771741712999</v>
      </c>
      <c r="W35" s="18">
        <v>1635.8779116140604</v>
      </c>
      <c r="Y35" s="117" t="s">
        <v>20</v>
      </c>
      <c r="Z35" s="118"/>
      <c r="AA35" s="70">
        <v>7717</v>
      </c>
      <c r="AB35" s="71">
        <v>6755</v>
      </c>
      <c r="AC35" s="71">
        <v>962</v>
      </c>
      <c r="AD35" s="46"/>
      <c r="AE35" s="103" t="s">
        <v>20</v>
      </c>
      <c r="AF35" s="104"/>
      <c r="AG35" s="18">
        <v>7717.1582986501598</v>
      </c>
      <c r="AH35" s="18">
        <v>6754.8771741712999</v>
      </c>
      <c r="AI35" s="18">
        <v>962.28112447885997</v>
      </c>
    </row>
    <row r="36" spans="1:35" x14ac:dyDescent="0.2">
      <c r="A36" s="103" t="s">
        <v>21</v>
      </c>
      <c r="B36" s="104"/>
      <c r="C36" s="18">
        <v>5696.39939422509</v>
      </c>
      <c r="D36" s="18">
        <v>6914.6414242224901</v>
      </c>
      <c r="E36" s="18">
        <v>-1218.2420299974001</v>
      </c>
      <c r="G36" s="103" t="s">
        <v>21</v>
      </c>
      <c r="H36" s="104"/>
      <c r="I36" s="18">
        <v>6263.3041156254703</v>
      </c>
      <c r="J36" s="18">
        <v>6914.6414242224901</v>
      </c>
      <c r="K36" s="18">
        <v>-651.33730859701973</v>
      </c>
      <c r="M36" s="103" t="s">
        <v>21</v>
      </c>
      <c r="N36" s="104"/>
      <c r="O36" s="18">
        <v>6344.5363997838804</v>
      </c>
      <c r="P36" s="18">
        <v>6914.6414242224901</v>
      </c>
      <c r="Q36" s="18">
        <v>-570.10502443860969</v>
      </c>
      <c r="S36" s="103" t="s">
        <v>21</v>
      </c>
      <c r="T36" s="104"/>
      <c r="U36" s="18">
        <v>6071.4675353101102</v>
      </c>
      <c r="V36" s="18">
        <v>6914.6414242224901</v>
      </c>
      <c r="W36" s="18">
        <v>-843.17388891237988</v>
      </c>
      <c r="Y36" s="117" t="s">
        <v>21</v>
      </c>
      <c r="Z36" s="118"/>
      <c r="AA36" s="70">
        <v>7010</v>
      </c>
      <c r="AB36" s="71">
        <v>6915</v>
      </c>
      <c r="AC36" s="71">
        <v>95</v>
      </c>
      <c r="AD36" s="46"/>
      <c r="AE36" s="103" t="s">
        <v>21</v>
      </c>
      <c r="AF36" s="104"/>
      <c r="AG36" s="18">
        <v>7009.8621552252098</v>
      </c>
      <c r="AH36" s="18">
        <v>6914.6414242224901</v>
      </c>
      <c r="AI36" s="18">
        <v>95.220731002719731</v>
      </c>
    </row>
    <row r="37" spans="1:35" x14ac:dyDescent="0.2">
      <c r="A37" s="103" t="s">
        <v>22</v>
      </c>
      <c r="B37" s="104"/>
      <c r="C37" s="18">
        <v>5178.1277064012902</v>
      </c>
      <c r="D37" s="18">
        <v>9646.8718849952002</v>
      </c>
      <c r="E37" s="18">
        <v>-4468.74417859391</v>
      </c>
      <c r="G37" s="103" t="s">
        <v>22</v>
      </c>
      <c r="H37" s="104"/>
      <c r="I37" s="18">
        <v>6246.0107645921498</v>
      </c>
      <c r="J37" s="18">
        <v>9646.8718849952002</v>
      </c>
      <c r="K37" s="18">
        <v>-3400.8611204030503</v>
      </c>
      <c r="M37" s="103" t="s">
        <v>22</v>
      </c>
      <c r="N37" s="104"/>
      <c r="O37" s="18">
        <v>6706.4186955179002</v>
      </c>
      <c r="P37" s="18">
        <v>9646.8718849952002</v>
      </c>
      <c r="Q37" s="18">
        <v>-2940.4531894772999</v>
      </c>
      <c r="S37" s="103" t="s">
        <v>22</v>
      </c>
      <c r="T37" s="104"/>
      <c r="U37" s="18">
        <v>6400.3509585496104</v>
      </c>
      <c r="V37" s="18">
        <v>9646.8718849952002</v>
      </c>
      <c r="W37" s="18">
        <v>-3246.5209264455898</v>
      </c>
      <c r="Y37" s="117" t="s">
        <v>22</v>
      </c>
      <c r="Z37" s="118"/>
      <c r="AA37" s="70">
        <v>7146</v>
      </c>
      <c r="AB37" s="71">
        <v>9647</v>
      </c>
      <c r="AC37" s="71">
        <v>-2501</v>
      </c>
      <c r="AD37" s="46"/>
      <c r="AE37" s="103" t="s">
        <v>22</v>
      </c>
      <c r="AF37" s="104"/>
      <c r="AG37" s="18">
        <v>7145.9483214289803</v>
      </c>
      <c r="AH37" s="18">
        <v>9646.8718849952002</v>
      </c>
      <c r="AI37" s="18">
        <v>-2500.9235635662199</v>
      </c>
    </row>
    <row r="38" spans="1:35" x14ac:dyDescent="0.2">
      <c r="A38" s="110" t="s">
        <v>23</v>
      </c>
      <c r="B38" s="111"/>
      <c r="C38" s="18">
        <v>317.62615994723501</v>
      </c>
      <c r="D38" s="18">
        <v>0</v>
      </c>
      <c r="E38" s="18">
        <v>317.62615994723501</v>
      </c>
      <c r="G38" s="110" t="s">
        <v>23</v>
      </c>
      <c r="H38" s="111"/>
      <c r="I38" s="18">
        <v>216.50255217309501</v>
      </c>
      <c r="J38" s="18">
        <v>0</v>
      </c>
      <c r="K38" s="18">
        <v>216.50255217309501</v>
      </c>
      <c r="M38" s="110" t="s">
        <v>23</v>
      </c>
      <c r="N38" s="111"/>
      <c r="O38" s="18">
        <v>196.23492615857299</v>
      </c>
      <c r="P38" s="18">
        <v>0</v>
      </c>
      <c r="Q38" s="18">
        <v>196.23492615857299</v>
      </c>
      <c r="S38" s="110" t="s">
        <v>23</v>
      </c>
      <c r="T38" s="111"/>
      <c r="U38" s="18">
        <v>210.593041235491</v>
      </c>
      <c r="V38" s="18">
        <v>0</v>
      </c>
      <c r="W38" s="18">
        <v>210.593041235491</v>
      </c>
      <c r="Y38" s="119" t="s">
        <v>23</v>
      </c>
      <c r="Z38" s="120"/>
      <c r="AA38" s="70">
        <v>145</v>
      </c>
      <c r="AB38" s="71">
        <v>0</v>
      </c>
      <c r="AC38" s="71">
        <v>145</v>
      </c>
      <c r="AD38" s="46"/>
      <c r="AE38" s="110" t="s">
        <v>23</v>
      </c>
      <c r="AF38" s="111"/>
      <c r="AG38" s="18">
        <v>145.18105419110299</v>
      </c>
      <c r="AH38" s="18">
        <v>0</v>
      </c>
      <c r="AI38" s="18">
        <v>145.18105419110299</v>
      </c>
    </row>
    <row r="39" spans="1:35" x14ac:dyDescent="0.2">
      <c r="A39" s="103" t="s">
        <v>24</v>
      </c>
      <c r="B39" s="104"/>
      <c r="C39" s="18">
        <v>165.95525854087799</v>
      </c>
      <c r="D39" s="18">
        <v>0</v>
      </c>
      <c r="E39" s="18">
        <v>165.95525854087799</v>
      </c>
      <c r="G39" s="103" t="s">
        <v>24</v>
      </c>
      <c r="H39" s="104"/>
      <c r="I39" s="18">
        <v>99.3183490057379</v>
      </c>
      <c r="J39" s="18">
        <v>0</v>
      </c>
      <c r="K39" s="18">
        <v>99.3183490057379</v>
      </c>
      <c r="M39" s="103" t="s">
        <v>24</v>
      </c>
      <c r="N39" s="104"/>
      <c r="O39" s="18">
        <v>91.071415623499306</v>
      </c>
      <c r="P39" s="18">
        <v>0</v>
      </c>
      <c r="Q39" s="18">
        <v>91.071415623499306</v>
      </c>
      <c r="S39" s="103" t="s">
        <v>24</v>
      </c>
      <c r="T39" s="104"/>
      <c r="U39" s="18">
        <v>101.37961702102299</v>
      </c>
      <c r="V39" s="18">
        <v>0</v>
      </c>
      <c r="W39" s="18">
        <v>101.37961702102299</v>
      </c>
      <c r="Y39" s="117" t="s">
        <v>24</v>
      </c>
      <c r="Z39" s="118"/>
      <c r="AA39" s="70">
        <v>60</v>
      </c>
      <c r="AB39" s="71">
        <v>0</v>
      </c>
      <c r="AC39" s="71">
        <v>60</v>
      </c>
      <c r="AD39" s="46"/>
      <c r="AE39" s="103" t="s">
        <v>24</v>
      </c>
      <c r="AF39" s="104"/>
      <c r="AG39" s="18">
        <v>59.635068835896099</v>
      </c>
      <c r="AH39" s="18">
        <v>0</v>
      </c>
      <c r="AI39" s="18">
        <v>59.635068835896099</v>
      </c>
    </row>
    <row r="40" spans="1:35" x14ac:dyDescent="0.2">
      <c r="A40" s="103" t="s">
        <v>25</v>
      </c>
      <c r="B40" s="104"/>
      <c r="C40" s="18">
        <v>116.94793219066101</v>
      </c>
      <c r="D40" s="18">
        <v>0</v>
      </c>
      <c r="E40" s="18">
        <v>116.94793219066101</v>
      </c>
      <c r="G40" s="103" t="s">
        <v>25</v>
      </c>
      <c r="H40" s="104"/>
      <c r="I40" s="18">
        <v>84.348548347633695</v>
      </c>
      <c r="J40" s="18">
        <v>0</v>
      </c>
      <c r="K40" s="18">
        <v>84.348548347633695</v>
      </c>
      <c r="M40" s="103" t="s">
        <v>25</v>
      </c>
      <c r="N40" s="104"/>
      <c r="O40" s="18">
        <v>76.152686788757904</v>
      </c>
      <c r="P40" s="18">
        <v>0</v>
      </c>
      <c r="Q40" s="18">
        <v>76.152686788757904</v>
      </c>
      <c r="S40" s="103" t="s">
        <v>25</v>
      </c>
      <c r="T40" s="104"/>
      <c r="U40" s="18">
        <v>82.656290200796505</v>
      </c>
      <c r="V40" s="18">
        <v>0</v>
      </c>
      <c r="W40" s="18">
        <v>82.656290200796505</v>
      </c>
      <c r="Y40" s="117" t="s">
        <v>25</v>
      </c>
      <c r="Z40" s="118"/>
      <c r="AA40" s="70">
        <v>49</v>
      </c>
      <c r="AB40" s="71">
        <v>0</v>
      </c>
      <c r="AC40" s="71">
        <v>49</v>
      </c>
      <c r="AD40" s="46"/>
      <c r="AE40" s="103" t="s">
        <v>25</v>
      </c>
      <c r="AF40" s="104"/>
      <c r="AG40" s="18">
        <v>48.621347176939103</v>
      </c>
      <c r="AH40" s="18">
        <v>0</v>
      </c>
      <c r="AI40" s="18">
        <v>48.621347176939103</v>
      </c>
    </row>
    <row r="41" spans="1:35" x14ac:dyDescent="0.2">
      <c r="A41" s="103" t="s">
        <v>26</v>
      </c>
      <c r="B41" s="104"/>
      <c r="C41" s="18">
        <v>34.722969215695699</v>
      </c>
      <c r="D41" s="18">
        <v>0</v>
      </c>
      <c r="E41" s="18">
        <v>34.722969215695699</v>
      </c>
      <c r="G41" s="103" t="s">
        <v>26</v>
      </c>
      <c r="H41" s="104"/>
      <c r="I41" s="18">
        <v>32.8356548197238</v>
      </c>
      <c r="J41" s="18">
        <v>0</v>
      </c>
      <c r="K41" s="18">
        <v>32.8356548197238</v>
      </c>
      <c r="M41" s="103" t="s">
        <v>26</v>
      </c>
      <c r="N41" s="104"/>
      <c r="O41" s="18">
        <v>29.010823746316198</v>
      </c>
      <c r="P41" s="18">
        <v>0</v>
      </c>
      <c r="Q41" s="18">
        <v>29.010823746316198</v>
      </c>
      <c r="S41" s="103" t="s">
        <v>26</v>
      </c>
      <c r="T41" s="104"/>
      <c r="U41" s="18">
        <v>26.557134013671099</v>
      </c>
      <c r="V41" s="18">
        <v>0</v>
      </c>
      <c r="W41" s="18">
        <v>26.557134013671099</v>
      </c>
      <c r="Y41" s="117" t="s">
        <v>26</v>
      </c>
      <c r="Z41" s="118"/>
      <c r="AA41" s="70">
        <v>37</v>
      </c>
      <c r="AB41" s="71">
        <v>0</v>
      </c>
      <c r="AC41" s="71">
        <v>37</v>
      </c>
      <c r="AD41" s="46"/>
      <c r="AE41" s="103" t="s">
        <v>26</v>
      </c>
      <c r="AF41" s="104"/>
      <c r="AG41" s="18">
        <v>36.924638178268602</v>
      </c>
      <c r="AH41" s="18">
        <v>0</v>
      </c>
      <c r="AI41" s="18">
        <v>36.924638178268602</v>
      </c>
    </row>
    <row r="42" spans="1:35" x14ac:dyDescent="0.2">
      <c r="A42" s="103" t="s">
        <v>27</v>
      </c>
      <c r="B42" s="104"/>
      <c r="C42" s="18">
        <v>0</v>
      </c>
      <c r="D42" s="18">
        <v>0</v>
      </c>
      <c r="E42" s="18">
        <v>0</v>
      </c>
      <c r="G42" s="103" t="s">
        <v>27</v>
      </c>
      <c r="H42" s="104"/>
      <c r="I42" s="18">
        <v>0</v>
      </c>
      <c r="J42" s="18">
        <v>0</v>
      </c>
      <c r="K42" s="18">
        <v>0</v>
      </c>
      <c r="M42" s="103" t="s">
        <v>27</v>
      </c>
      <c r="N42" s="104"/>
      <c r="O42" s="18">
        <v>0</v>
      </c>
      <c r="P42" s="18">
        <v>0</v>
      </c>
      <c r="Q42" s="18">
        <v>0</v>
      </c>
      <c r="S42" s="103" t="s">
        <v>27</v>
      </c>
      <c r="T42" s="104"/>
      <c r="U42" s="18">
        <v>0</v>
      </c>
      <c r="V42" s="18">
        <v>0</v>
      </c>
      <c r="W42" s="18">
        <v>0</v>
      </c>
      <c r="Y42" s="117" t="s">
        <v>27</v>
      </c>
      <c r="Z42" s="118"/>
      <c r="AA42" s="70">
        <v>0</v>
      </c>
      <c r="AB42" s="71">
        <v>0</v>
      </c>
      <c r="AC42" s="71">
        <v>0</v>
      </c>
      <c r="AD42" s="46"/>
      <c r="AE42" s="103" t="s">
        <v>27</v>
      </c>
      <c r="AF42" s="104"/>
      <c r="AG42" s="18">
        <v>0</v>
      </c>
      <c r="AH42" s="18">
        <v>0</v>
      </c>
      <c r="AI42" s="18">
        <v>0</v>
      </c>
    </row>
    <row r="43" spans="1:35" x14ac:dyDescent="0.2">
      <c r="A43" s="106" t="s">
        <v>28</v>
      </c>
      <c r="B43" s="107"/>
      <c r="C43" s="18">
        <v>368363.52503928001</v>
      </c>
      <c r="D43" s="18">
        <v>358369.61908777599</v>
      </c>
      <c r="E43" s="18">
        <v>9993.9059515040135</v>
      </c>
      <c r="G43" s="106" t="s">
        <v>28</v>
      </c>
      <c r="H43" s="107"/>
      <c r="I43" s="18">
        <v>370173.26468776801</v>
      </c>
      <c r="J43" s="18">
        <v>358369.61908777599</v>
      </c>
      <c r="K43" s="18">
        <v>11803.645599992014</v>
      </c>
      <c r="M43" s="106" t="s">
        <v>28</v>
      </c>
      <c r="N43" s="107"/>
      <c r="O43" s="18">
        <v>365256.78148484702</v>
      </c>
      <c r="P43" s="18">
        <v>358369.61908777599</v>
      </c>
      <c r="Q43" s="18">
        <v>6887.1623970710207</v>
      </c>
      <c r="S43" s="106" t="s">
        <v>28</v>
      </c>
      <c r="T43" s="107"/>
      <c r="U43" s="18">
        <v>367760.57974085299</v>
      </c>
      <c r="V43" s="18">
        <v>358369.61908777599</v>
      </c>
      <c r="W43" s="18">
        <v>9390.9606530769961</v>
      </c>
      <c r="Y43" s="125" t="s">
        <v>28</v>
      </c>
      <c r="Z43" s="126"/>
      <c r="AA43" s="70">
        <v>370727</v>
      </c>
      <c r="AB43" s="71">
        <v>358370</v>
      </c>
      <c r="AC43" s="71">
        <v>12357</v>
      </c>
      <c r="AD43" s="46"/>
      <c r="AE43" s="106" t="s">
        <v>28</v>
      </c>
      <c r="AF43" s="107"/>
      <c r="AG43" s="18">
        <v>370726.50344936602</v>
      </c>
      <c r="AH43" s="18">
        <v>358369.61908777599</v>
      </c>
      <c r="AI43" s="18">
        <v>12356.884361590026</v>
      </c>
    </row>
    <row r="44" spans="1:35" x14ac:dyDescent="0.2">
      <c r="A44" s="106" t="s">
        <v>29</v>
      </c>
      <c r="B44" s="107"/>
      <c r="C44" s="18">
        <v>1051.91319995871</v>
      </c>
      <c r="D44" s="18">
        <v>0</v>
      </c>
      <c r="E44" s="18">
        <v>1051.91319995871</v>
      </c>
      <c r="G44" s="106" t="s">
        <v>29</v>
      </c>
      <c r="H44" s="107"/>
      <c r="I44" s="18">
        <v>810.68931595154697</v>
      </c>
      <c r="J44" s="18">
        <v>0</v>
      </c>
      <c r="K44" s="18">
        <v>810.68931595154697</v>
      </c>
      <c r="M44" s="106" t="s">
        <v>29</v>
      </c>
      <c r="N44" s="107"/>
      <c r="O44" s="18">
        <v>713.57172002918003</v>
      </c>
      <c r="P44" s="18">
        <v>0</v>
      </c>
      <c r="Q44" s="18">
        <v>713.57172002918003</v>
      </c>
      <c r="S44" s="106" t="s">
        <v>29</v>
      </c>
      <c r="T44" s="107"/>
      <c r="U44" s="18">
        <v>617.83921952040896</v>
      </c>
      <c r="V44" s="18">
        <v>0</v>
      </c>
      <c r="W44" s="18">
        <v>617.83921952040896</v>
      </c>
      <c r="Y44" s="125" t="s">
        <v>29</v>
      </c>
      <c r="Z44" s="126"/>
      <c r="AA44" s="70">
        <v>573</v>
      </c>
      <c r="AB44" s="71">
        <v>0</v>
      </c>
      <c r="AC44" s="71">
        <v>573</v>
      </c>
      <c r="AD44" s="46"/>
      <c r="AE44" s="106" t="s">
        <v>29</v>
      </c>
      <c r="AF44" s="107"/>
      <c r="AG44" s="18">
        <v>572.57204448759001</v>
      </c>
      <c r="AH44" s="18">
        <v>0</v>
      </c>
      <c r="AI44" s="18">
        <v>572.57204448759001</v>
      </c>
    </row>
    <row r="45" spans="1:35" x14ac:dyDescent="0.2">
      <c r="C45" s="6"/>
      <c r="D45" s="6"/>
      <c r="E45" s="6"/>
      <c r="I45" s="6"/>
      <c r="J45" s="6"/>
      <c r="K45" s="6"/>
      <c r="O45" s="6"/>
      <c r="P45" s="6"/>
      <c r="Q45" s="6"/>
      <c r="U45" s="6"/>
      <c r="V45" s="6"/>
      <c r="W45" s="6"/>
      <c r="Y45" s="46"/>
      <c r="Z45" s="46"/>
      <c r="AA45" s="51"/>
      <c r="AB45" s="51"/>
      <c r="AC45" s="51"/>
      <c r="AD45" s="46"/>
      <c r="AG45" s="6"/>
      <c r="AH45" s="6"/>
      <c r="AI45" s="6"/>
    </row>
    <row r="46" spans="1:35" x14ac:dyDescent="0.2">
      <c r="A46" s="110" t="s">
        <v>30</v>
      </c>
      <c r="B46" s="111"/>
      <c r="C46" s="18">
        <v>15056.7623938537</v>
      </c>
      <c r="D46" s="18">
        <v>17381.499524656701</v>
      </c>
      <c r="E46" s="18">
        <v>-2324.7371308030015</v>
      </c>
      <c r="G46" s="110" t="s">
        <v>30</v>
      </c>
      <c r="H46" s="111"/>
      <c r="I46" s="18">
        <v>15711.116945657401</v>
      </c>
      <c r="J46" s="18">
        <v>17381.499524656701</v>
      </c>
      <c r="K46" s="18">
        <v>-1670.3825789993007</v>
      </c>
      <c r="M46" s="110" t="s">
        <v>30</v>
      </c>
      <c r="N46" s="111"/>
      <c r="O46" s="18">
        <v>15939.331815845901</v>
      </c>
      <c r="P46" s="18">
        <v>17381.499524656701</v>
      </c>
      <c r="Q46" s="18">
        <v>-1442.1677088108008</v>
      </c>
      <c r="S46" s="110" t="s">
        <v>30</v>
      </c>
      <c r="T46" s="111"/>
      <c r="U46" s="18">
        <v>15754.686545365799</v>
      </c>
      <c r="V46" s="18">
        <v>17381.499524656701</v>
      </c>
      <c r="W46" s="18">
        <v>-1626.8129792909021</v>
      </c>
      <c r="Y46" s="119" t="s">
        <v>30</v>
      </c>
      <c r="Z46" s="120"/>
      <c r="AA46" s="68">
        <v>16308</v>
      </c>
      <c r="AB46" s="69">
        <v>17381</v>
      </c>
      <c r="AC46" s="69">
        <v>-1073</v>
      </c>
      <c r="AD46" s="46"/>
      <c r="AE46" s="110" t="s">
        <v>30</v>
      </c>
      <c r="AF46" s="111"/>
      <c r="AG46" s="18">
        <v>16308.4430367037</v>
      </c>
      <c r="AH46" s="18">
        <v>17381.499524656701</v>
      </c>
      <c r="AI46" s="18">
        <v>-1073.0564879530011</v>
      </c>
    </row>
    <row r="47" spans="1:35" x14ac:dyDescent="0.2">
      <c r="A47" s="103" t="s">
        <v>31</v>
      </c>
      <c r="B47" s="104"/>
      <c r="C47" s="18">
        <v>3919.4638534220599</v>
      </c>
      <c r="D47" s="18">
        <v>2825.2306214407599</v>
      </c>
      <c r="E47" s="18">
        <v>1094.2332319812999</v>
      </c>
      <c r="G47" s="103" t="s">
        <v>31</v>
      </c>
      <c r="H47" s="104"/>
      <c r="I47" s="18">
        <v>3636.14721875133</v>
      </c>
      <c r="J47" s="18">
        <v>2825.2306214407599</v>
      </c>
      <c r="K47" s="18">
        <v>810.91659731057007</v>
      </c>
      <c r="M47" s="103" t="s">
        <v>31</v>
      </c>
      <c r="N47" s="104"/>
      <c r="O47" s="18">
        <v>3561.5928062032699</v>
      </c>
      <c r="P47" s="18">
        <v>2825.2306214407599</v>
      </c>
      <c r="Q47" s="18">
        <v>736.36218476250997</v>
      </c>
      <c r="S47" s="103" t="s">
        <v>31</v>
      </c>
      <c r="T47" s="104"/>
      <c r="U47" s="18">
        <v>3615.4144797878898</v>
      </c>
      <c r="V47" s="18">
        <v>2825.2306214407599</v>
      </c>
      <c r="W47" s="18">
        <v>790.1838583471299</v>
      </c>
      <c r="Y47" s="117" t="s">
        <v>31</v>
      </c>
      <c r="Z47" s="118"/>
      <c r="AA47" s="70">
        <v>3290</v>
      </c>
      <c r="AB47" s="71">
        <v>2825</v>
      </c>
      <c r="AC47" s="71">
        <v>465</v>
      </c>
      <c r="AD47" s="46"/>
      <c r="AE47" s="103" t="s">
        <v>31</v>
      </c>
      <c r="AF47" s="104"/>
      <c r="AG47" s="18">
        <v>3290.0446557626001</v>
      </c>
      <c r="AH47" s="18">
        <v>2825.2306214407599</v>
      </c>
      <c r="AI47" s="18">
        <v>464.81403432184015</v>
      </c>
    </row>
    <row r="48" spans="1:35" x14ac:dyDescent="0.2">
      <c r="A48" s="103" t="s">
        <v>32</v>
      </c>
      <c r="B48" s="104"/>
      <c r="C48" s="18">
        <v>3801.5402115072902</v>
      </c>
      <c r="D48" s="18">
        <v>2671.4767622480999</v>
      </c>
      <c r="E48" s="18">
        <v>1130.0634492591903</v>
      </c>
      <c r="G48" s="103" t="s">
        <v>32</v>
      </c>
      <c r="H48" s="104"/>
      <c r="I48" s="18">
        <v>3556.82288108903</v>
      </c>
      <c r="J48" s="18">
        <v>2671.4767622480999</v>
      </c>
      <c r="K48" s="18">
        <v>885.3461188409301</v>
      </c>
      <c r="M48" s="103" t="s">
        <v>32</v>
      </c>
      <c r="N48" s="104"/>
      <c r="O48" s="18">
        <v>3460.7387362306499</v>
      </c>
      <c r="P48" s="18">
        <v>2671.4767622480999</v>
      </c>
      <c r="Q48" s="18">
        <v>789.26197398254999</v>
      </c>
      <c r="S48" s="103" t="s">
        <v>32</v>
      </c>
      <c r="T48" s="104"/>
      <c r="U48" s="18">
        <v>3520.0828161732202</v>
      </c>
      <c r="V48" s="18">
        <v>2671.4767622480999</v>
      </c>
      <c r="W48" s="18">
        <v>848.60605392512025</v>
      </c>
      <c r="Y48" s="117" t="s">
        <v>32</v>
      </c>
      <c r="Z48" s="118"/>
      <c r="AA48" s="70">
        <v>3171</v>
      </c>
      <c r="AB48" s="71">
        <v>2671</v>
      </c>
      <c r="AC48" s="71">
        <v>499</v>
      </c>
      <c r="AD48" s="46"/>
      <c r="AE48" s="103" t="s">
        <v>32</v>
      </c>
      <c r="AF48" s="104"/>
      <c r="AG48" s="18">
        <v>3170.6567939687602</v>
      </c>
      <c r="AH48" s="18">
        <v>2671.4767622480999</v>
      </c>
      <c r="AI48" s="18">
        <v>499.18003172066028</v>
      </c>
    </row>
    <row r="49" spans="1:35" x14ac:dyDescent="0.2">
      <c r="A49" s="103" t="s">
        <v>33</v>
      </c>
      <c r="B49" s="104"/>
      <c r="C49" s="18">
        <v>3150.1203423575698</v>
      </c>
      <c r="D49" s="18">
        <v>3845.0608822109798</v>
      </c>
      <c r="E49" s="18">
        <v>-694.94053985340997</v>
      </c>
      <c r="G49" s="103" t="s">
        <v>33</v>
      </c>
      <c r="H49" s="104"/>
      <c r="I49" s="18">
        <v>3497.5313274789901</v>
      </c>
      <c r="J49" s="18">
        <v>3845.0608822109798</v>
      </c>
      <c r="K49" s="18">
        <v>-347.52955473198972</v>
      </c>
      <c r="M49" s="103" t="s">
        <v>33</v>
      </c>
      <c r="N49" s="104"/>
      <c r="O49" s="18">
        <v>3523.36818472399</v>
      </c>
      <c r="P49" s="18">
        <v>3845.0608822109798</v>
      </c>
      <c r="Q49" s="18">
        <v>-321.6926974869898</v>
      </c>
      <c r="S49" s="103" t="s">
        <v>33</v>
      </c>
      <c r="T49" s="104"/>
      <c r="U49" s="18">
        <v>3388.4088387448201</v>
      </c>
      <c r="V49" s="18">
        <v>3845.0608822109798</v>
      </c>
      <c r="W49" s="18">
        <v>-456.65204346615974</v>
      </c>
      <c r="Y49" s="117" t="s">
        <v>33</v>
      </c>
      <c r="Z49" s="118"/>
      <c r="AA49" s="70">
        <v>3970</v>
      </c>
      <c r="AB49" s="71">
        <v>3845</v>
      </c>
      <c r="AC49" s="71">
        <v>125</v>
      </c>
      <c r="AD49" s="46"/>
      <c r="AE49" s="103" t="s">
        <v>33</v>
      </c>
      <c r="AF49" s="104"/>
      <c r="AG49" s="18">
        <v>3970.3409452197898</v>
      </c>
      <c r="AH49" s="18">
        <v>3845.0608822109798</v>
      </c>
      <c r="AI49" s="18">
        <v>125.28006300880998</v>
      </c>
    </row>
    <row r="50" spans="1:35" x14ac:dyDescent="0.2">
      <c r="A50" s="103" t="s">
        <v>34</v>
      </c>
      <c r="B50" s="104"/>
      <c r="C50" s="18">
        <v>4185.6379865668096</v>
      </c>
      <c r="D50" s="18">
        <v>8039.7312587569004</v>
      </c>
      <c r="E50" s="18">
        <v>-3854.0932721900908</v>
      </c>
      <c r="G50" s="103" t="s">
        <v>34</v>
      </c>
      <c r="H50" s="104"/>
      <c r="I50" s="18">
        <v>5020.6155183380197</v>
      </c>
      <c r="J50" s="18">
        <v>8039.7312587569004</v>
      </c>
      <c r="K50" s="18">
        <v>-3019.1157404188807</v>
      </c>
      <c r="M50" s="103" t="s">
        <v>34</v>
      </c>
      <c r="N50" s="104"/>
      <c r="O50" s="18">
        <v>5393.6320886880203</v>
      </c>
      <c r="P50" s="18">
        <v>8039.7312587569004</v>
      </c>
      <c r="Q50" s="18">
        <v>-2646.0991700688801</v>
      </c>
      <c r="S50" s="103" t="s">
        <v>34</v>
      </c>
      <c r="T50" s="104"/>
      <c r="U50" s="18">
        <v>5230.7804106598996</v>
      </c>
      <c r="V50" s="18">
        <v>8039.7312587569004</v>
      </c>
      <c r="W50" s="18">
        <v>-2808.9508480970007</v>
      </c>
      <c r="Y50" s="117" t="s">
        <v>34</v>
      </c>
      <c r="Z50" s="118"/>
      <c r="AA50" s="70">
        <v>5877</v>
      </c>
      <c r="AB50" s="71">
        <v>8040</v>
      </c>
      <c r="AC50" s="71">
        <v>-2162</v>
      </c>
      <c r="AD50" s="46"/>
      <c r="AE50" s="103" t="s">
        <v>34</v>
      </c>
      <c r="AF50" s="104"/>
      <c r="AG50" s="18">
        <v>5877.4006417525397</v>
      </c>
      <c r="AH50" s="18">
        <v>8039.7312587569004</v>
      </c>
      <c r="AI50" s="18">
        <v>-2162.3306170043606</v>
      </c>
    </row>
    <row r="51" spans="1:35" x14ac:dyDescent="0.2">
      <c r="C51" s="20"/>
      <c r="D51" s="6"/>
      <c r="E51" s="6"/>
      <c r="I51" s="20"/>
      <c r="J51" s="6"/>
      <c r="K51" s="6"/>
      <c r="O51" s="20"/>
      <c r="P51" s="6"/>
      <c r="Q51" s="6"/>
      <c r="U51" s="20"/>
      <c r="V51" s="6"/>
      <c r="W51" s="6"/>
      <c r="Y51" s="46"/>
      <c r="Z51" s="46"/>
      <c r="AA51" s="72"/>
      <c r="AB51" s="51"/>
      <c r="AC51" s="51"/>
      <c r="AD51" s="46"/>
      <c r="AG51" s="20"/>
      <c r="AH51" s="6"/>
      <c r="AI51" s="6"/>
    </row>
    <row r="52" spans="1:35" ht="17" thickBot="1" x14ac:dyDescent="0.25">
      <c r="A52" s="2" t="s">
        <v>35</v>
      </c>
      <c r="B52" s="4"/>
      <c r="C52" s="5"/>
      <c r="D52" s="5"/>
      <c r="E52" s="5"/>
      <c r="F52" s="2"/>
      <c r="G52" s="3"/>
      <c r="H52" s="4"/>
      <c r="I52" s="5"/>
      <c r="J52" s="5"/>
      <c r="K52" s="5"/>
      <c r="L52" s="2"/>
      <c r="M52" s="3"/>
      <c r="N52" s="4"/>
      <c r="O52" s="5"/>
      <c r="P52" s="5"/>
      <c r="Q52" s="5"/>
      <c r="R52" s="2"/>
      <c r="S52" s="3"/>
      <c r="T52" s="4"/>
      <c r="U52" s="5"/>
      <c r="V52" s="5"/>
      <c r="W52" s="5"/>
      <c r="X52" s="2"/>
      <c r="Y52" s="48"/>
      <c r="Z52" s="49"/>
      <c r="AA52" s="50"/>
      <c r="AB52" s="50"/>
      <c r="AC52" s="50"/>
      <c r="AD52" s="48"/>
      <c r="AE52" s="3"/>
      <c r="AF52" s="4"/>
      <c r="AG52" s="5"/>
      <c r="AH52" s="5"/>
      <c r="AI52" s="5"/>
    </row>
    <row r="53" spans="1:35" x14ac:dyDescent="0.2">
      <c r="C53" s="6"/>
      <c r="D53" s="6"/>
      <c r="E53" s="6"/>
      <c r="I53" s="6"/>
      <c r="J53" s="6"/>
      <c r="K53" s="6"/>
      <c r="O53" s="6"/>
      <c r="P53" s="6"/>
      <c r="Q53" s="6"/>
      <c r="U53" s="6"/>
      <c r="V53" s="6"/>
      <c r="W53" s="6"/>
      <c r="Y53" s="46"/>
      <c r="Z53" s="46"/>
      <c r="AA53" s="51"/>
      <c r="AB53" s="51"/>
      <c r="AC53" s="51"/>
      <c r="AD53" s="46"/>
      <c r="AG53" s="6"/>
      <c r="AH53" s="6"/>
      <c r="AI53" s="6"/>
    </row>
    <row r="54" spans="1:35" x14ac:dyDescent="0.2">
      <c r="A54" s="22"/>
      <c r="C54" s="8" t="s">
        <v>4</v>
      </c>
      <c r="D54" s="23" t="s">
        <v>5</v>
      </c>
      <c r="E54" s="8" t="s">
        <v>6</v>
      </c>
      <c r="F54" s="21"/>
      <c r="G54" s="22"/>
      <c r="I54" s="8" t="s">
        <v>4</v>
      </c>
      <c r="J54" s="23" t="s">
        <v>5</v>
      </c>
      <c r="K54" s="8" t="s">
        <v>6</v>
      </c>
      <c r="L54" s="21"/>
      <c r="M54" s="22"/>
      <c r="O54" s="8" t="s">
        <v>4</v>
      </c>
      <c r="P54" s="23" t="s">
        <v>5</v>
      </c>
      <c r="Q54" s="8" t="s">
        <v>6</v>
      </c>
      <c r="R54" s="21"/>
      <c r="S54" s="22"/>
      <c r="U54" s="8" t="s">
        <v>4</v>
      </c>
      <c r="V54" s="23" t="s">
        <v>5</v>
      </c>
      <c r="W54" s="8" t="s">
        <v>6</v>
      </c>
      <c r="X54" s="21"/>
      <c r="Y54" s="22"/>
      <c r="Z54" s="46"/>
      <c r="AA54" s="53" t="s">
        <v>4</v>
      </c>
      <c r="AB54" s="73" t="s">
        <v>5</v>
      </c>
      <c r="AC54" s="54" t="s">
        <v>6</v>
      </c>
      <c r="AD54" s="47"/>
      <c r="AE54" s="22"/>
      <c r="AG54" s="8" t="s">
        <v>4</v>
      </c>
      <c r="AH54" s="23" t="s">
        <v>5</v>
      </c>
      <c r="AI54" s="8" t="s">
        <v>6</v>
      </c>
    </row>
    <row r="55" spans="1:35" x14ac:dyDescent="0.2">
      <c r="A55" s="110" t="s">
        <v>36</v>
      </c>
      <c r="B55" s="111"/>
      <c r="C55" s="41">
        <v>24864.839335522702</v>
      </c>
      <c r="D55" s="41">
        <v>10084.842593327099</v>
      </c>
      <c r="E55" s="41">
        <v>14779.996742195603</v>
      </c>
      <c r="F55" s="20"/>
      <c r="G55" s="110" t="s">
        <v>36</v>
      </c>
      <c r="H55" s="111"/>
      <c r="I55" s="41">
        <v>24920.935770716598</v>
      </c>
      <c r="J55" s="41">
        <v>10084.842593327099</v>
      </c>
      <c r="K55" s="41">
        <v>14836.093177389499</v>
      </c>
      <c r="L55" s="20"/>
      <c r="M55" s="110" t="s">
        <v>36</v>
      </c>
      <c r="N55" s="111"/>
      <c r="O55" s="41">
        <v>17625.9728782327</v>
      </c>
      <c r="P55" s="41">
        <v>10084.842593327099</v>
      </c>
      <c r="Q55" s="41">
        <v>7541.130284905601</v>
      </c>
      <c r="R55" s="20"/>
      <c r="S55" s="110" t="s">
        <v>36</v>
      </c>
      <c r="T55" s="111"/>
      <c r="U55" s="41">
        <v>24848.593341418898</v>
      </c>
      <c r="V55" s="41">
        <v>10084.842593327099</v>
      </c>
      <c r="W55" s="41">
        <v>14763.750748091799</v>
      </c>
      <c r="X55" s="20"/>
      <c r="Y55" s="119" t="s">
        <v>36</v>
      </c>
      <c r="Z55" s="120"/>
      <c r="AA55" s="74">
        <v>24905.45</v>
      </c>
      <c r="AB55" s="75">
        <v>10084.84</v>
      </c>
      <c r="AC55" s="75">
        <v>14820.6</v>
      </c>
      <c r="AD55" s="72"/>
      <c r="AE55" s="110" t="s">
        <v>36</v>
      </c>
      <c r="AF55" s="111"/>
      <c r="AG55" s="41">
        <v>30562.156756138502</v>
      </c>
      <c r="AH55" s="41">
        <v>15863.895804272001</v>
      </c>
      <c r="AI55" s="41">
        <v>14698.260951866501</v>
      </c>
    </row>
    <row r="56" spans="1:35" x14ac:dyDescent="0.2">
      <c r="A56" s="103" t="s">
        <v>37</v>
      </c>
      <c r="B56" s="104"/>
      <c r="C56" s="39">
        <v>17664.070829563399</v>
      </c>
      <c r="D56" s="39">
        <v>3122.70600039083</v>
      </c>
      <c r="E56" s="39">
        <v>14541.364829172569</v>
      </c>
      <c r="F56" s="20"/>
      <c r="G56" s="103" t="s">
        <v>37</v>
      </c>
      <c r="H56" s="104"/>
      <c r="I56" s="39">
        <v>17745.736270792</v>
      </c>
      <c r="J56" s="39">
        <v>3122.70600039083</v>
      </c>
      <c r="K56" s="39">
        <v>14623.03027040117</v>
      </c>
      <c r="L56" s="20"/>
      <c r="M56" s="103" t="s">
        <v>37</v>
      </c>
      <c r="N56" s="104"/>
      <c r="O56" s="39">
        <v>10454.8584547478</v>
      </c>
      <c r="P56" s="39">
        <v>3122.70600039083</v>
      </c>
      <c r="Q56" s="39">
        <v>7332.1524543569703</v>
      </c>
      <c r="R56" s="20"/>
      <c r="S56" s="103" t="s">
        <v>37</v>
      </c>
      <c r="T56" s="104"/>
      <c r="U56" s="39">
        <v>17745.510315435102</v>
      </c>
      <c r="V56" s="39">
        <v>3122.70600039083</v>
      </c>
      <c r="W56" s="39">
        <v>14622.804315044272</v>
      </c>
      <c r="X56" s="20"/>
      <c r="Y56" s="117" t="s">
        <v>37</v>
      </c>
      <c r="Z56" s="118"/>
      <c r="AA56" s="76">
        <v>17769.41</v>
      </c>
      <c r="AB56" s="77">
        <v>3122.71</v>
      </c>
      <c r="AC56" s="77">
        <v>14646.7</v>
      </c>
      <c r="AD56" s="72"/>
      <c r="AE56" s="103" t="s">
        <v>37</v>
      </c>
      <c r="AF56" s="104"/>
      <c r="AG56" s="39">
        <v>22926.7313379027</v>
      </c>
      <c r="AH56" s="39">
        <v>8279.8979552339206</v>
      </c>
      <c r="AI56" s="39">
        <v>14646.833382668779</v>
      </c>
    </row>
    <row r="57" spans="1:35" x14ac:dyDescent="0.2">
      <c r="A57" s="108" t="s">
        <v>38</v>
      </c>
      <c r="B57" s="109"/>
      <c r="C57" s="39">
        <v>17664.070829563399</v>
      </c>
      <c r="D57" s="39">
        <v>3122.70600039083</v>
      </c>
      <c r="E57" s="39">
        <v>14541.364829172569</v>
      </c>
      <c r="G57" s="108" t="s">
        <v>38</v>
      </c>
      <c r="H57" s="109"/>
      <c r="I57" s="39">
        <v>17745.736270792</v>
      </c>
      <c r="J57" s="39">
        <v>3122.70600039083</v>
      </c>
      <c r="K57" s="39">
        <v>14623.03027040117</v>
      </c>
      <c r="M57" s="108" t="s">
        <v>38</v>
      </c>
      <c r="N57" s="109"/>
      <c r="O57" s="39">
        <v>10454.8584547478</v>
      </c>
      <c r="P57" s="39">
        <v>3122.70600039083</v>
      </c>
      <c r="Q57" s="39">
        <v>7332.1524543569703</v>
      </c>
      <c r="S57" s="108" t="s">
        <v>38</v>
      </c>
      <c r="T57" s="109"/>
      <c r="U57" s="39">
        <v>17745.510315435102</v>
      </c>
      <c r="V57" s="39">
        <v>3122.70600039083</v>
      </c>
      <c r="W57" s="39">
        <v>14622.804315044272</v>
      </c>
      <c r="Y57" s="127" t="s">
        <v>38</v>
      </c>
      <c r="Z57" s="128"/>
      <c r="AA57" s="76">
        <v>17769.41</v>
      </c>
      <c r="AB57" s="77">
        <v>3122.71</v>
      </c>
      <c r="AC57" s="77">
        <v>14646.7</v>
      </c>
      <c r="AD57" s="46"/>
      <c r="AE57" s="108" t="s">
        <v>38</v>
      </c>
      <c r="AF57" s="109"/>
      <c r="AG57" s="39">
        <v>22926.7313379027</v>
      </c>
      <c r="AH57" s="39">
        <v>8279.8979552339206</v>
      </c>
      <c r="AI57" s="39">
        <v>14646.833382668779</v>
      </c>
    </row>
    <row r="58" spans="1:35" x14ac:dyDescent="0.2">
      <c r="A58" s="108" t="s">
        <v>39</v>
      </c>
      <c r="B58" s="109"/>
      <c r="C58" s="39">
        <v>0</v>
      </c>
      <c r="D58" s="39">
        <v>0</v>
      </c>
      <c r="E58" s="39">
        <v>0</v>
      </c>
      <c r="G58" s="108" t="s">
        <v>39</v>
      </c>
      <c r="H58" s="109"/>
      <c r="I58" s="39">
        <v>0</v>
      </c>
      <c r="J58" s="39">
        <v>0</v>
      </c>
      <c r="K58" s="39">
        <v>0</v>
      </c>
      <c r="M58" s="108" t="s">
        <v>39</v>
      </c>
      <c r="N58" s="109"/>
      <c r="O58" s="39">
        <v>0</v>
      </c>
      <c r="P58" s="39">
        <v>0</v>
      </c>
      <c r="Q58" s="39">
        <v>0</v>
      </c>
      <c r="S58" s="108" t="s">
        <v>39</v>
      </c>
      <c r="T58" s="109"/>
      <c r="U58" s="39">
        <v>0</v>
      </c>
      <c r="V58" s="39">
        <v>0</v>
      </c>
      <c r="W58" s="39">
        <v>0</v>
      </c>
      <c r="Y58" s="127" t="s">
        <v>39</v>
      </c>
      <c r="Z58" s="128"/>
      <c r="AA58" s="76">
        <v>0</v>
      </c>
      <c r="AB58" s="77">
        <v>0</v>
      </c>
      <c r="AC58" s="77">
        <v>0</v>
      </c>
      <c r="AD58" s="46"/>
      <c r="AE58" s="108" t="s">
        <v>39</v>
      </c>
      <c r="AF58" s="109"/>
      <c r="AG58" s="39">
        <v>0</v>
      </c>
      <c r="AH58" s="39">
        <v>0</v>
      </c>
      <c r="AI58" s="39">
        <v>0</v>
      </c>
    </row>
    <row r="59" spans="1:35" x14ac:dyDescent="0.2">
      <c r="A59" s="103" t="s">
        <v>40</v>
      </c>
      <c r="B59" s="104"/>
      <c r="C59" s="39">
        <v>4972.9025516475303</v>
      </c>
      <c r="D59" s="39">
        <v>4803.7192589686401</v>
      </c>
      <c r="E59" s="39">
        <v>169.18329267889021</v>
      </c>
      <c r="F59" s="20"/>
      <c r="G59" s="103" t="s">
        <v>40</v>
      </c>
      <c r="H59" s="104"/>
      <c r="I59" s="39">
        <v>4938.6025636477298</v>
      </c>
      <c r="J59" s="39">
        <v>4803.7192589686401</v>
      </c>
      <c r="K59" s="39">
        <v>134.88330467908963</v>
      </c>
      <c r="L59" s="20"/>
      <c r="M59" s="103" t="s">
        <v>40</v>
      </c>
      <c r="N59" s="104"/>
      <c r="O59" s="39">
        <v>4976.2816656589303</v>
      </c>
      <c r="P59" s="39">
        <v>4803.7192589686401</v>
      </c>
      <c r="Q59" s="39">
        <v>172.56240669029012</v>
      </c>
      <c r="R59" s="20"/>
      <c r="S59" s="103" t="s">
        <v>40</v>
      </c>
      <c r="T59" s="104"/>
      <c r="U59" s="39">
        <v>4882.8300863629902</v>
      </c>
      <c r="V59" s="39">
        <v>4803.7192589686401</v>
      </c>
      <c r="W59" s="39">
        <v>79.110827394350054</v>
      </c>
      <c r="X59" s="20"/>
      <c r="Y59" s="117" t="s">
        <v>40</v>
      </c>
      <c r="Z59" s="118"/>
      <c r="AA59" s="76">
        <v>4897.72</v>
      </c>
      <c r="AB59" s="77">
        <v>4803.72</v>
      </c>
      <c r="AC59" s="77">
        <v>94</v>
      </c>
      <c r="AD59" s="72"/>
      <c r="AE59" s="103" t="s">
        <v>40</v>
      </c>
      <c r="AF59" s="104"/>
      <c r="AG59" s="39">
        <v>5397.1071610478602</v>
      </c>
      <c r="AH59" s="39">
        <v>5425.58051507037</v>
      </c>
      <c r="AI59" s="39">
        <v>-28.473354022509739</v>
      </c>
    </row>
    <row r="60" spans="1:35" x14ac:dyDescent="0.2">
      <c r="A60" s="24" t="s">
        <v>41</v>
      </c>
      <c r="B60" s="19"/>
      <c r="C60" s="39">
        <v>1673.5707338523</v>
      </c>
      <c r="D60" s="39">
        <v>1143.4599796213799</v>
      </c>
      <c r="E60" s="39">
        <v>530.11075423092007</v>
      </c>
      <c r="F60" s="20"/>
      <c r="G60" s="24" t="s">
        <v>41</v>
      </c>
      <c r="H60" s="19"/>
      <c r="I60" s="39">
        <v>1495.9185710398301</v>
      </c>
      <c r="J60" s="39">
        <v>1143.4599796213799</v>
      </c>
      <c r="K60" s="39">
        <v>352.45859141845017</v>
      </c>
      <c r="L60" s="20"/>
      <c r="M60" s="24" t="s">
        <v>41</v>
      </c>
      <c r="N60" s="19"/>
      <c r="O60" s="39">
        <v>1444.5415702442599</v>
      </c>
      <c r="P60" s="39">
        <v>1143.4599796213799</v>
      </c>
      <c r="Q60" s="39">
        <v>301.08159062287996</v>
      </c>
      <c r="R60" s="20"/>
      <c r="S60" s="24" t="s">
        <v>41</v>
      </c>
      <c r="T60" s="19"/>
      <c r="U60" s="39">
        <v>1504.1180118859099</v>
      </c>
      <c r="V60" s="39">
        <v>1143.4599796213799</v>
      </c>
      <c r="W60" s="39">
        <v>360.65803226452999</v>
      </c>
      <c r="X60" s="20"/>
      <c r="Y60" s="78" t="s">
        <v>41</v>
      </c>
      <c r="Z60" s="79"/>
      <c r="AA60" s="76">
        <v>1355.61</v>
      </c>
      <c r="AB60" s="77">
        <v>1143.46</v>
      </c>
      <c r="AC60" s="77">
        <v>212.15</v>
      </c>
      <c r="AD60" s="72"/>
      <c r="AE60" s="24" t="s">
        <v>41</v>
      </c>
      <c r="AF60" s="19"/>
      <c r="AG60" s="39">
        <v>1355.61176330639</v>
      </c>
      <c r="AH60" s="39">
        <v>1143.4599796213799</v>
      </c>
      <c r="AI60" s="39">
        <v>212.15178368501006</v>
      </c>
    </row>
    <row r="61" spans="1:35" x14ac:dyDescent="0.2">
      <c r="A61" s="24" t="s">
        <v>42</v>
      </c>
      <c r="B61" s="19"/>
      <c r="C61" s="39">
        <v>1486.38641327452</v>
      </c>
      <c r="D61" s="39">
        <v>1006.15354135339</v>
      </c>
      <c r="E61" s="39">
        <v>480.23287192113003</v>
      </c>
      <c r="F61" s="20"/>
      <c r="G61" s="24" t="s">
        <v>42</v>
      </c>
      <c r="H61" s="19"/>
      <c r="I61" s="39">
        <v>1345.49470372265</v>
      </c>
      <c r="J61" s="39">
        <v>1006.15354135339</v>
      </c>
      <c r="K61" s="39">
        <v>339.34116236926002</v>
      </c>
      <c r="L61" s="20"/>
      <c r="M61" s="24" t="s">
        <v>42</v>
      </c>
      <c r="N61" s="19"/>
      <c r="O61" s="39">
        <v>1288.38618083806</v>
      </c>
      <c r="P61" s="39">
        <v>1006.15354135339</v>
      </c>
      <c r="Q61" s="39">
        <v>282.23263948467002</v>
      </c>
      <c r="R61" s="20"/>
      <c r="S61" s="24" t="s">
        <v>42</v>
      </c>
      <c r="T61" s="19"/>
      <c r="U61" s="39">
        <v>1343.5790960492</v>
      </c>
      <c r="V61" s="39">
        <v>1006.15354135339</v>
      </c>
      <c r="W61" s="39">
        <v>337.42555469580998</v>
      </c>
      <c r="X61" s="20"/>
      <c r="Y61" s="78" t="s">
        <v>42</v>
      </c>
      <c r="Z61" s="79"/>
      <c r="AA61" s="76">
        <v>1204.6400000000001</v>
      </c>
      <c r="AB61" s="77">
        <v>1006.15</v>
      </c>
      <c r="AC61" s="77">
        <v>198.49</v>
      </c>
      <c r="AD61" s="72"/>
      <c r="AE61" s="24" t="s">
        <v>42</v>
      </c>
      <c r="AF61" s="19"/>
      <c r="AG61" s="39">
        <v>1204.63916176269</v>
      </c>
      <c r="AH61" s="39">
        <v>1006.15354135339</v>
      </c>
      <c r="AI61" s="39">
        <v>198.48562040930005</v>
      </c>
    </row>
    <row r="62" spans="1:35" x14ac:dyDescent="0.2">
      <c r="A62" s="24" t="s">
        <v>43</v>
      </c>
      <c r="B62" s="19"/>
      <c r="C62" s="39">
        <v>1083.3543653296199</v>
      </c>
      <c r="D62" s="39">
        <v>1289.3283016279399</v>
      </c>
      <c r="E62" s="39">
        <v>-205.97393629832004</v>
      </c>
      <c r="F62" s="20"/>
      <c r="G62" s="24" t="s">
        <v>43</v>
      </c>
      <c r="H62" s="19"/>
      <c r="I62" s="39">
        <v>1194.40693791285</v>
      </c>
      <c r="J62" s="39">
        <v>1289.3283016279399</v>
      </c>
      <c r="K62" s="39">
        <v>-94.92136371508991</v>
      </c>
      <c r="L62" s="20"/>
      <c r="M62" s="24" t="s">
        <v>43</v>
      </c>
      <c r="N62" s="19"/>
      <c r="O62" s="39">
        <v>1219.4533321976901</v>
      </c>
      <c r="P62" s="39">
        <v>1289.3283016279399</v>
      </c>
      <c r="Q62" s="39">
        <v>-69.874969430249848</v>
      </c>
      <c r="R62" s="20"/>
      <c r="S62" s="24" t="s">
        <v>43</v>
      </c>
      <c r="T62" s="19"/>
      <c r="U62" s="39">
        <v>1138.1826954440601</v>
      </c>
      <c r="V62" s="39">
        <v>1289.3283016279399</v>
      </c>
      <c r="W62" s="39">
        <v>-151.14560618387986</v>
      </c>
      <c r="X62" s="20"/>
      <c r="Y62" s="78" t="s">
        <v>43</v>
      </c>
      <c r="Z62" s="79"/>
      <c r="AA62" s="76">
        <v>1335.28</v>
      </c>
      <c r="AB62" s="77">
        <v>1289.33</v>
      </c>
      <c r="AC62" s="77">
        <v>45.95</v>
      </c>
      <c r="AD62" s="72"/>
      <c r="AE62" s="24" t="s">
        <v>43</v>
      </c>
      <c r="AF62" s="19"/>
      <c r="AG62" s="39">
        <v>1495.8552314815499</v>
      </c>
      <c r="AH62" s="39">
        <v>1446.54091076135</v>
      </c>
      <c r="AI62" s="39">
        <v>49.31432072019993</v>
      </c>
    </row>
    <row r="63" spans="1:35" x14ac:dyDescent="0.2">
      <c r="A63" s="24" t="s">
        <v>44</v>
      </c>
      <c r="B63" s="19"/>
      <c r="C63" s="39">
        <v>729.591039191091</v>
      </c>
      <c r="D63" s="39">
        <v>1364.77743636593</v>
      </c>
      <c r="E63" s="39">
        <v>-635.18639717483904</v>
      </c>
      <c r="F63" s="20"/>
      <c r="G63" s="24" t="s">
        <v>44</v>
      </c>
      <c r="H63" s="19"/>
      <c r="I63" s="39">
        <v>902.78235097240395</v>
      </c>
      <c r="J63" s="39">
        <v>1364.77743636593</v>
      </c>
      <c r="K63" s="39">
        <v>-461.9950853935261</v>
      </c>
      <c r="L63" s="20"/>
      <c r="M63" s="24" t="s">
        <v>44</v>
      </c>
      <c r="N63" s="19"/>
      <c r="O63" s="39">
        <v>1023.90058237892</v>
      </c>
      <c r="P63" s="39">
        <v>1364.77743636593</v>
      </c>
      <c r="Q63" s="39">
        <v>-340.87685398701001</v>
      </c>
      <c r="R63" s="20"/>
      <c r="S63" s="24" t="s">
        <v>44</v>
      </c>
      <c r="T63" s="19"/>
      <c r="U63" s="39">
        <v>896.95028298382601</v>
      </c>
      <c r="V63" s="39">
        <v>1364.77743636593</v>
      </c>
      <c r="W63" s="39">
        <v>-467.82715338210403</v>
      </c>
      <c r="X63" s="20"/>
      <c r="Y63" s="78" t="s">
        <v>44</v>
      </c>
      <c r="Z63" s="79"/>
      <c r="AA63" s="76">
        <v>1002.19</v>
      </c>
      <c r="AB63" s="77">
        <v>1364.78</v>
      </c>
      <c r="AC63" s="77">
        <v>-362.58</v>
      </c>
      <c r="AD63" s="72"/>
      <c r="AE63" s="24" t="s">
        <v>44</v>
      </c>
      <c r="AF63" s="19"/>
      <c r="AG63" s="39">
        <v>1341.00100449722</v>
      </c>
      <c r="AH63" s="39">
        <v>1829.4260833342501</v>
      </c>
      <c r="AI63" s="39">
        <v>-488.42507883703001</v>
      </c>
    </row>
    <row r="64" spans="1:35" x14ac:dyDescent="0.2">
      <c r="A64" s="103" t="s">
        <v>45</v>
      </c>
      <c r="B64" s="104"/>
      <c r="C64" s="39">
        <v>2227.8659543118201</v>
      </c>
      <c r="D64" s="39">
        <v>2158.41733396768</v>
      </c>
      <c r="E64" s="39">
        <v>69.448620344140181</v>
      </c>
      <c r="F64" s="20"/>
      <c r="G64" s="103" t="s">
        <v>45</v>
      </c>
      <c r="H64" s="104"/>
      <c r="I64" s="39">
        <v>2236.5969362768801</v>
      </c>
      <c r="J64" s="39">
        <v>2158.41733396768</v>
      </c>
      <c r="K64" s="39">
        <v>78.179602309200163</v>
      </c>
      <c r="L64" s="20"/>
      <c r="M64" s="103" t="s">
        <v>45</v>
      </c>
      <c r="N64" s="104"/>
      <c r="O64" s="39">
        <v>2194.83275782601</v>
      </c>
      <c r="P64" s="39">
        <v>2158.41733396768</v>
      </c>
      <c r="Q64" s="39">
        <v>36.415423858330087</v>
      </c>
      <c r="R64" s="20"/>
      <c r="S64" s="103" t="s">
        <v>45</v>
      </c>
      <c r="T64" s="104"/>
      <c r="U64" s="39">
        <v>2220.2529396208402</v>
      </c>
      <c r="V64" s="39">
        <v>2158.41733396768</v>
      </c>
      <c r="W64" s="39">
        <v>61.835605653160201</v>
      </c>
      <c r="X64" s="20"/>
      <c r="Y64" s="117" t="s">
        <v>45</v>
      </c>
      <c r="Z64" s="118"/>
      <c r="AA64" s="76">
        <v>2238.3200000000002</v>
      </c>
      <c r="AB64" s="77">
        <v>2158.42</v>
      </c>
      <c r="AC64" s="77">
        <v>79.900000000000006</v>
      </c>
      <c r="AD64" s="72"/>
      <c r="AE64" s="103" t="s">
        <v>45</v>
      </c>
      <c r="AF64" s="104"/>
      <c r="AG64" s="39">
        <v>2238.3182571879802</v>
      </c>
      <c r="AH64" s="39">
        <v>2158.41733396768</v>
      </c>
      <c r="AI64" s="39">
        <v>79.900923220300228</v>
      </c>
    </row>
    <row r="65" spans="1:35" x14ac:dyDescent="0.2">
      <c r="A65" s="108" t="s">
        <v>46</v>
      </c>
      <c r="B65" s="109"/>
      <c r="C65" s="39">
        <v>5.01611346139142</v>
      </c>
      <c r="D65" s="39">
        <v>0</v>
      </c>
      <c r="E65" s="39">
        <v>5.01611346139142</v>
      </c>
      <c r="F65" s="20"/>
      <c r="G65" s="108" t="s">
        <v>46</v>
      </c>
      <c r="H65" s="109"/>
      <c r="I65" s="39">
        <v>3.8273477653082</v>
      </c>
      <c r="J65" s="39">
        <v>0</v>
      </c>
      <c r="K65" s="39">
        <v>3.8273477653082</v>
      </c>
      <c r="L65" s="20"/>
      <c r="M65" s="108" t="s">
        <v>46</v>
      </c>
      <c r="N65" s="109"/>
      <c r="O65" s="39">
        <v>3.0353729362430202</v>
      </c>
      <c r="P65" s="39">
        <v>0</v>
      </c>
      <c r="Q65" s="39">
        <v>3.0353729362430202</v>
      </c>
      <c r="R65" s="20"/>
      <c r="S65" s="108" t="s">
        <v>46</v>
      </c>
      <c r="T65" s="109"/>
      <c r="U65" s="39">
        <v>2.91970885437842</v>
      </c>
      <c r="V65" s="39">
        <v>0</v>
      </c>
      <c r="W65" s="39">
        <v>2.91970885437842</v>
      </c>
      <c r="X65" s="20"/>
      <c r="Y65" s="127" t="s">
        <v>46</v>
      </c>
      <c r="Z65" s="128"/>
      <c r="AA65" s="76">
        <v>2.67</v>
      </c>
      <c r="AB65" s="77">
        <v>0</v>
      </c>
      <c r="AC65" s="77">
        <v>2.67</v>
      </c>
      <c r="AD65" s="72"/>
      <c r="AE65" s="108" t="s">
        <v>46</v>
      </c>
      <c r="AF65" s="109"/>
      <c r="AG65" s="39">
        <v>2.6695939784241101</v>
      </c>
      <c r="AH65" s="39">
        <v>0</v>
      </c>
      <c r="AI65" s="39">
        <v>2.6695939784241101</v>
      </c>
    </row>
    <row r="66" spans="1:35" x14ac:dyDescent="0.2">
      <c r="A66" s="108" t="s">
        <v>47</v>
      </c>
      <c r="B66" s="109"/>
      <c r="C66" s="39">
        <v>2222.8498408504302</v>
      </c>
      <c r="D66" s="39">
        <v>2158.41733396768</v>
      </c>
      <c r="E66" s="39">
        <v>64.432506882750204</v>
      </c>
      <c r="F66" s="20"/>
      <c r="G66" s="108" t="s">
        <v>47</v>
      </c>
      <c r="H66" s="109"/>
      <c r="I66" s="39">
        <v>2232.76958851157</v>
      </c>
      <c r="J66" s="39">
        <v>2158.41733396768</v>
      </c>
      <c r="K66" s="39">
        <v>74.352254543890012</v>
      </c>
      <c r="L66" s="20"/>
      <c r="M66" s="108" t="s">
        <v>47</v>
      </c>
      <c r="N66" s="109"/>
      <c r="O66" s="39">
        <v>2191.79738488976</v>
      </c>
      <c r="P66" s="39">
        <v>2158.41733396768</v>
      </c>
      <c r="Q66" s="39">
        <v>33.380050922080045</v>
      </c>
      <c r="R66" s="20"/>
      <c r="S66" s="108" t="s">
        <v>47</v>
      </c>
      <c r="T66" s="109"/>
      <c r="U66" s="39">
        <v>2217.33323076646</v>
      </c>
      <c r="V66" s="39">
        <v>2158.41733396768</v>
      </c>
      <c r="W66" s="39">
        <v>58.915896798780068</v>
      </c>
      <c r="X66" s="20"/>
      <c r="Y66" s="127" t="s">
        <v>47</v>
      </c>
      <c r="Z66" s="128"/>
      <c r="AA66" s="76">
        <v>2235.65</v>
      </c>
      <c r="AB66" s="77">
        <v>2158.42</v>
      </c>
      <c r="AC66" s="77">
        <v>77.23</v>
      </c>
      <c r="AD66" s="72"/>
      <c r="AE66" s="108" t="s">
        <v>47</v>
      </c>
      <c r="AF66" s="109"/>
      <c r="AG66" s="39">
        <v>2235.6486632095598</v>
      </c>
      <c r="AH66" s="39">
        <v>2158.41733396768</v>
      </c>
      <c r="AI66" s="39">
        <v>77.231329241879848</v>
      </c>
    </row>
    <row r="67" spans="1:35" x14ac:dyDescent="0.2">
      <c r="A67" s="103" t="s">
        <v>48</v>
      </c>
      <c r="B67" s="104"/>
      <c r="C67" s="39">
        <v>0</v>
      </c>
      <c r="D67" s="39">
        <v>0</v>
      </c>
      <c r="E67" s="39">
        <v>0</v>
      </c>
      <c r="F67" s="20"/>
      <c r="G67" s="103" t="s">
        <v>48</v>
      </c>
      <c r="H67" s="104"/>
      <c r="I67" s="39">
        <v>0</v>
      </c>
      <c r="J67" s="39">
        <v>0</v>
      </c>
      <c r="K67" s="39">
        <v>0</v>
      </c>
      <c r="L67" s="20"/>
      <c r="M67" s="103" t="s">
        <v>48</v>
      </c>
      <c r="N67" s="104"/>
      <c r="O67" s="39">
        <v>0</v>
      </c>
      <c r="P67" s="39">
        <v>0</v>
      </c>
      <c r="Q67" s="39">
        <v>0</v>
      </c>
      <c r="R67" s="20"/>
      <c r="S67" s="103" t="s">
        <v>48</v>
      </c>
      <c r="T67" s="104"/>
      <c r="U67" s="39">
        <v>0</v>
      </c>
      <c r="V67" s="39">
        <v>0</v>
      </c>
      <c r="W67" s="39">
        <v>0</v>
      </c>
      <c r="X67" s="20"/>
      <c r="Y67" s="117" t="s">
        <v>48</v>
      </c>
      <c r="Z67" s="118"/>
      <c r="AA67" s="76">
        <v>0</v>
      </c>
      <c r="AB67" s="77">
        <v>0</v>
      </c>
      <c r="AC67" s="77">
        <v>0</v>
      </c>
      <c r="AD67" s="72"/>
      <c r="AE67" s="103" t="s">
        <v>48</v>
      </c>
      <c r="AF67" s="104"/>
      <c r="AG67" s="39">
        <v>0</v>
      </c>
      <c r="AH67" s="39">
        <v>0</v>
      </c>
      <c r="AI67" s="39">
        <v>0</v>
      </c>
    </row>
    <row r="68" spans="1:35" x14ac:dyDescent="0.2">
      <c r="B68" s="25"/>
      <c r="C68" s="6"/>
      <c r="D68" s="6"/>
      <c r="E68" s="6"/>
      <c r="H68" s="25"/>
      <c r="I68" s="6"/>
      <c r="J68" s="6"/>
      <c r="K68" s="6"/>
      <c r="N68" s="25"/>
      <c r="O68" s="6"/>
      <c r="P68" s="6"/>
      <c r="Q68" s="6"/>
      <c r="T68" s="25"/>
      <c r="U68" s="6"/>
      <c r="V68" s="6"/>
      <c r="W68" s="6"/>
      <c r="Y68" s="46"/>
      <c r="Z68" s="80"/>
      <c r="AA68" s="51"/>
      <c r="AB68" s="51"/>
      <c r="AC68" s="51"/>
      <c r="AD68" s="46"/>
      <c r="AF68" s="25"/>
      <c r="AG68" s="6"/>
      <c r="AH68" s="6"/>
      <c r="AI68" s="6"/>
    </row>
    <row r="69" spans="1:35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51"/>
      <c r="Z69" s="51"/>
      <c r="AA69" s="51"/>
      <c r="AB69" s="51"/>
      <c r="AC69" s="51"/>
      <c r="AD69" s="51"/>
      <c r="AE69" s="6"/>
      <c r="AF69" s="6"/>
      <c r="AG69" s="6"/>
      <c r="AH69" s="6"/>
      <c r="AI69" s="6"/>
    </row>
    <row r="70" spans="1:35" ht="17" thickBot="1" x14ac:dyDescent="0.25">
      <c r="A70" s="2" t="s">
        <v>49</v>
      </c>
      <c r="B70" s="4"/>
      <c r="C70" s="5"/>
      <c r="D70" s="5"/>
      <c r="E70" s="5"/>
      <c r="F70" s="2"/>
      <c r="G70" s="3"/>
      <c r="H70" s="4"/>
      <c r="I70" s="5"/>
      <c r="J70" s="5"/>
      <c r="K70" s="5"/>
      <c r="L70" s="2"/>
      <c r="M70" s="3"/>
      <c r="N70" s="4"/>
      <c r="O70" s="5"/>
      <c r="P70" s="5"/>
      <c r="Q70" s="5"/>
      <c r="R70" s="2"/>
      <c r="S70" s="3"/>
      <c r="T70" s="4"/>
      <c r="U70" s="5"/>
      <c r="V70" s="5"/>
      <c r="W70" s="5"/>
      <c r="X70" s="2"/>
      <c r="Y70" s="48"/>
      <c r="Z70" s="49"/>
      <c r="AA70" s="50"/>
      <c r="AB70" s="50"/>
      <c r="AC70" s="50"/>
      <c r="AD70" s="48"/>
      <c r="AE70" s="3"/>
      <c r="AF70" s="4"/>
      <c r="AG70" s="5"/>
      <c r="AH70" s="5"/>
      <c r="AI70" s="5"/>
    </row>
    <row r="71" spans="1:35" x14ac:dyDescent="0.2">
      <c r="C71" s="6"/>
      <c r="D71" s="6"/>
      <c r="E71" s="6"/>
      <c r="I71" s="6"/>
      <c r="J71" s="6"/>
      <c r="K71" s="6"/>
      <c r="O71" s="6"/>
      <c r="P71" s="6"/>
      <c r="Q71" s="6"/>
      <c r="U71" s="6"/>
      <c r="V71" s="6"/>
      <c r="W71" s="6"/>
      <c r="Y71" s="46"/>
      <c r="Z71" s="46"/>
      <c r="AA71" s="51"/>
      <c r="AB71" s="51"/>
      <c r="AC71" s="51"/>
      <c r="AD71" s="46"/>
      <c r="AG71" s="6"/>
      <c r="AH71" s="6"/>
      <c r="AI71" s="6"/>
    </row>
    <row r="72" spans="1:35" x14ac:dyDescent="0.2">
      <c r="C72" s="6"/>
      <c r="D72" s="6"/>
      <c r="E72" s="6"/>
      <c r="I72" s="6"/>
      <c r="J72" s="6"/>
      <c r="K72" s="6"/>
      <c r="O72" s="6"/>
      <c r="P72" s="6"/>
      <c r="Q72" s="6"/>
      <c r="U72" s="6"/>
      <c r="V72" s="6"/>
      <c r="W72" s="6"/>
      <c r="Y72" s="46"/>
      <c r="Z72" s="46"/>
      <c r="AA72" s="51"/>
      <c r="AB72" s="51"/>
      <c r="AC72" s="51"/>
      <c r="AD72" s="46"/>
      <c r="AG72" s="6"/>
      <c r="AH72" s="6"/>
      <c r="AI72" s="6"/>
    </row>
    <row r="73" spans="1:35" x14ac:dyDescent="0.2">
      <c r="C73" s="8" t="s">
        <v>4</v>
      </c>
      <c r="D73" s="23" t="s">
        <v>5</v>
      </c>
      <c r="I73" s="8" t="s">
        <v>4</v>
      </c>
      <c r="J73" s="23" t="s">
        <v>5</v>
      </c>
      <c r="O73" s="8" t="s">
        <v>4</v>
      </c>
      <c r="P73" s="23" t="s">
        <v>5</v>
      </c>
      <c r="U73" s="8" t="s">
        <v>4</v>
      </c>
      <c r="V73" s="23" t="s">
        <v>5</v>
      </c>
      <c r="Y73" s="46"/>
      <c r="Z73" s="46"/>
      <c r="AA73" s="53" t="s">
        <v>4</v>
      </c>
      <c r="AB73" s="73" t="s">
        <v>5</v>
      </c>
      <c r="AC73" s="46"/>
      <c r="AD73" s="46"/>
      <c r="AG73" s="8" t="s">
        <v>4</v>
      </c>
      <c r="AH73" s="23" t="s">
        <v>5</v>
      </c>
    </row>
    <row r="74" spans="1:35" x14ac:dyDescent="0.2">
      <c r="B74" s="26" t="s">
        <v>50</v>
      </c>
      <c r="C74" s="27">
        <v>0.17221747940920196</v>
      </c>
      <c r="D74" s="28" t="s">
        <v>51</v>
      </c>
      <c r="H74" s="26" t="s">
        <v>50</v>
      </c>
      <c r="I74" s="27">
        <v>0.13156029906859956</v>
      </c>
      <c r="J74" s="28" t="s">
        <v>51</v>
      </c>
      <c r="N74" s="26" t="s">
        <v>50</v>
      </c>
      <c r="O74" s="27">
        <v>9.6547973654701025E-2</v>
      </c>
      <c r="P74" s="28" t="s">
        <v>51</v>
      </c>
      <c r="T74" s="26" t="s">
        <v>50</v>
      </c>
      <c r="U74" s="27">
        <v>0.12981102392670252</v>
      </c>
      <c r="V74" s="28" t="s">
        <v>51</v>
      </c>
      <c r="Y74" s="46"/>
      <c r="Z74" s="81" t="s">
        <v>50</v>
      </c>
      <c r="AA74" s="82">
        <v>0.09</v>
      </c>
      <c r="AB74" s="83" t="s">
        <v>51</v>
      </c>
      <c r="AC74" s="46"/>
      <c r="AD74" s="46"/>
      <c r="AF74" s="26" t="s">
        <v>50</v>
      </c>
      <c r="AG74" s="27">
        <v>8.5593828237900738E-2</v>
      </c>
      <c r="AH74" s="28" t="s">
        <v>51</v>
      </c>
    </row>
    <row r="75" spans="1:35" x14ac:dyDescent="0.2">
      <c r="B75" s="26" t="s">
        <v>52</v>
      </c>
      <c r="C75" s="27">
        <v>0.1256765424733004</v>
      </c>
      <c r="D75" s="28" t="s">
        <v>51</v>
      </c>
      <c r="H75" s="26" t="s">
        <v>52</v>
      </c>
      <c r="I75" s="27">
        <v>9.5196200378799389E-2</v>
      </c>
      <c r="J75" s="28" t="s">
        <v>51</v>
      </c>
      <c r="N75" s="26" t="s">
        <v>52</v>
      </c>
      <c r="O75" s="27">
        <v>6.7633112754299063E-2</v>
      </c>
      <c r="P75" s="28" t="s">
        <v>51</v>
      </c>
      <c r="T75" s="26" t="s">
        <v>52</v>
      </c>
      <c r="U75" s="27">
        <v>9.6241960267500204E-2</v>
      </c>
      <c r="V75" s="28" t="s">
        <v>51</v>
      </c>
      <c r="Y75" s="46"/>
      <c r="Z75" s="84" t="s">
        <v>52</v>
      </c>
      <c r="AA75" s="85">
        <v>0.06</v>
      </c>
      <c r="AB75" s="86" t="s">
        <v>51</v>
      </c>
      <c r="AC75" s="46"/>
      <c r="AD75" s="46"/>
      <c r="AF75" s="26" t="s">
        <v>52</v>
      </c>
      <c r="AG75" s="27">
        <v>6.1413431517600259E-2</v>
      </c>
      <c r="AH75" s="28" t="s">
        <v>51</v>
      </c>
    </row>
    <row r="76" spans="1:35" x14ac:dyDescent="0.2">
      <c r="B76" s="26" t="s">
        <v>53</v>
      </c>
      <c r="C76" s="39">
        <v>14779.996742195603</v>
      </c>
      <c r="D76" s="28" t="s">
        <v>51</v>
      </c>
      <c r="H76" s="26" t="s">
        <v>53</v>
      </c>
      <c r="I76" s="39">
        <v>14836.093177389499</v>
      </c>
      <c r="J76" s="28" t="s">
        <v>51</v>
      </c>
      <c r="N76" s="26" t="s">
        <v>53</v>
      </c>
      <c r="O76" s="39">
        <v>7541.130284905601</v>
      </c>
      <c r="P76" s="28" t="s">
        <v>51</v>
      </c>
      <c r="T76" s="26" t="s">
        <v>53</v>
      </c>
      <c r="U76" s="39">
        <v>14757.194218922998</v>
      </c>
      <c r="V76" s="28" t="s">
        <v>51</v>
      </c>
      <c r="Y76" s="46"/>
      <c r="Z76" s="84" t="s">
        <v>53</v>
      </c>
      <c r="AA76" s="87">
        <v>14820.6</v>
      </c>
      <c r="AB76" s="88" t="s">
        <v>51</v>
      </c>
      <c r="AC76" s="46"/>
      <c r="AD76" s="46"/>
      <c r="AF76" s="26" t="s">
        <v>53</v>
      </c>
      <c r="AG76" s="39">
        <v>14698.260951866501</v>
      </c>
      <c r="AH76" s="28" t="s">
        <v>51</v>
      </c>
    </row>
    <row r="77" spans="1:35" ht="17" thickBot="1" x14ac:dyDescent="0.25">
      <c r="B77" s="26" t="s">
        <v>54</v>
      </c>
      <c r="C77" s="37">
        <v>85821.699358850761</v>
      </c>
      <c r="D77" s="30" t="s">
        <v>51</v>
      </c>
      <c r="H77" s="26" t="s">
        <v>54</v>
      </c>
      <c r="I77" s="37">
        <v>112770.29075202624</v>
      </c>
      <c r="J77" s="30" t="s">
        <v>51</v>
      </c>
      <c r="N77" s="26" t="s">
        <v>54</v>
      </c>
      <c r="O77" s="37">
        <v>78107.597699316553</v>
      </c>
      <c r="P77" s="30" t="s">
        <v>51</v>
      </c>
      <c r="T77" s="26" t="s">
        <v>54</v>
      </c>
      <c r="U77" s="37">
        <v>113682.1340170278</v>
      </c>
      <c r="V77" s="30" t="s">
        <v>51</v>
      </c>
      <c r="Y77" s="46"/>
      <c r="Z77" s="84" t="s">
        <v>54</v>
      </c>
      <c r="AA77" s="89">
        <v>173150.38</v>
      </c>
      <c r="AB77" s="90" t="s">
        <v>51</v>
      </c>
      <c r="AC77" s="46"/>
      <c r="AD77" s="46"/>
      <c r="AF77" s="26" t="s">
        <v>54</v>
      </c>
      <c r="AG77" s="37">
        <v>171721.03707073294</v>
      </c>
      <c r="AH77" s="30" t="s">
        <v>51</v>
      </c>
    </row>
    <row r="78" spans="1:35" ht="17" thickBot="1" x14ac:dyDescent="0.25">
      <c r="B78" s="31" t="s">
        <v>55</v>
      </c>
      <c r="C78" s="40">
        <v>117603.46403017547</v>
      </c>
      <c r="D78" s="32" t="s">
        <v>51</v>
      </c>
      <c r="E78" t="s">
        <v>82</v>
      </c>
      <c r="H78" s="31" t="s">
        <v>55</v>
      </c>
      <c r="I78" s="40">
        <v>155847.53507340155</v>
      </c>
      <c r="J78" s="32" t="s">
        <v>51</v>
      </c>
      <c r="K78" t="s">
        <v>85</v>
      </c>
      <c r="N78" s="31" t="s">
        <v>55</v>
      </c>
      <c r="O78" s="40">
        <v>111500.56500136841</v>
      </c>
      <c r="P78" s="32" t="s">
        <v>51</v>
      </c>
      <c r="Q78" t="s">
        <v>85</v>
      </c>
      <c r="T78" s="31" t="s">
        <v>55</v>
      </c>
      <c r="U78" s="40">
        <v>153334.30634523692</v>
      </c>
      <c r="V78" s="32" t="s">
        <v>51</v>
      </c>
      <c r="Y78" s="46"/>
      <c r="Z78" s="91" t="s">
        <v>55</v>
      </c>
      <c r="AA78" s="92">
        <v>241325.13</v>
      </c>
      <c r="AB78" s="93" t="s">
        <v>51</v>
      </c>
      <c r="AC78" s="46"/>
      <c r="AD78" s="46"/>
      <c r="AF78" s="31" t="s">
        <v>55</v>
      </c>
      <c r="AG78" s="40">
        <v>239333.00238489651</v>
      </c>
      <c r="AH78" s="32" t="s">
        <v>51</v>
      </c>
    </row>
    <row r="79" spans="1:35" x14ac:dyDescent="0.2">
      <c r="C79" s="6"/>
      <c r="D79" s="6"/>
      <c r="I79" s="6"/>
      <c r="J79" s="6"/>
      <c r="O79" s="6"/>
      <c r="P79" s="6"/>
      <c r="U79" s="6"/>
      <c r="V79" s="6"/>
      <c r="Y79" s="46"/>
      <c r="Z79" s="46"/>
      <c r="AA79" s="51"/>
      <c r="AB79" s="51"/>
      <c r="AC79" s="46"/>
      <c r="AD79" s="46"/>
      <c r="AG79" s="6"/>
      <c r="AH79" s="6"/>
    </row>
    <row r="80" spans="1:35" x14ac:dyDescent="0.2">
      <c r="B80" s="26" t="s">
        <v>56</v>
      </c>
      <c r="C80" s="42">
        <v>30000</v>
      </c>
      <c r="D80" s="42">
        <v>20000</v>
      </c>
      <c r="E80" s="42">
        <v>10000</v>
      </c>
      <c r="H80" s="26" t="s">
        <v>56</v>
      </c>
      <c r="I80" s="42">
        <v>30000</v>
      </c>
      <c r="J80" s="42">
        <v>20000</v>
      </c>
      <c r="K80" s="42">
        <v>10000</v>
      </c>
      <c r="N80" s="26" t="s">
        <v>56</v>
      </c>
      <c r="O80" s="42">
        <v>30000</v>
      </c>
      <c r="P80" s="42">
        <v>20000</v>
      </c>
      <c r="Q80" s="42">
        <v>10000</v>
      </c>
      <c r="T80" s="26" t="s">
        <v>56</v>
      </c>
      <c r="U80" s="42">
        <v>30000</v>
      </c>
      <c r="V80" s="42">
        <v>20000</v>
      </c>
      <c r="W80" s="42">
        <v>10000</v>
      </c>
      <c r="Y80" s="46"/>
      <c r="Z80" s="81" t="s">
        <v>56</v>
      </c>
      <c r="AA80" s="94">
        <v>30000</v>
      </c>
      <c r="AB80" s="94">
        <v>20000</v>
      </c>
      <c r="AC80" s="94">
        <v>10000</v>
      </c>
      <c r="AD80" s="46"/>
      <c r="AF80" s="26" t="s">
        <v>56</v>
      </c>
      <c r="AG80" s="42">
        <v>30000</v>
      </c>
      <c r="AH80" s="42">
        <v>20000</v>
      </c>
      <c r="AI80" s="42">
        <v>10000</v>
      </c>
    </row>
    <row r="81" spans="1:35" x14ac:dyDescent="0.2">
      <c r="B81" s="26" t="s">
        <v>57</v>
      </c>
      <c r="C81" s="38">
        <f>949*((C80*C75)+(-E55+E56))/E56</f>
        <v>230.48383134107181</v>
      </c>
      <c r="D81" s="38">
        <f>949*((D80*C75)+(-E55+E56))/E56</f>
        <v>148.46468100114558</v>
      </c>
      <c r="E81" s="38">
        <f>949*((E80*C75)+(-E55+E56))/E56</f>
        <v>66.445530661219323</v>
      </c>
      <c r="H81" s="26" t="s">
        <v>57</v>
      </c>
      <c r="I81" s="38">
        <v>171.51295454329173</v>
      </c>
      <c r="J81" s="38">
        <f>949*((J80*I75)+(-K55+K56))/K56</f>
        <v>109.73287716607229</v>
      </c>
      <c r="K81" s="38">
        <f>949*((K80*I75)+(-K55+K56))/K56</f>
        <v>47.95279978885285</v>
      </c>
      <c r="N81" s="26" t="s">
        <v>57</v>
      </c>
      <c r="O81" s="38">
        <v>235.56449073803645</v>
      </c>
      <c r="P81" s="38">
        <f>949*((P80*O75)+(-Q55+Q56))/Q56</f>
        <v>148.02699829856871</v>
      </c>
      <c r="Q81" s="38">
        <f>949*((Q80*O75)+(-Q55+Q56))/Q56</f>
        <v>60.489505859100987</v>
      </c>
      <c r="T81" s="26" t="s">
        <v>57</v>
      </c>
      <c r="U81" s="38">
        <v>178.31186786339288</v>
      </c>
      <c r="V81" s="38">
        <f>949*((V80*U75)+(-W55+W56))/W56</f>
        <v>115.77220103898551</v>
      </c>
      <c r="W81" s="38">
        <f>949*((W80*U75)+(-W55+W56))/W56</f>
        <v>53.312485155424376</v>
      </c>
      <c r="Y81" s="46"/>
      <c r="Z81" s="84" t="s">
        <v>57</v>
      </c>
      <c r="AA81" s="95">
        <v>108.11</v>
      </c>
      <c r="AB81" s="95">
        <v>68.319999999999993</v>
      </c>
      <c r="AC81" s="95">
        <v>28.52</v>
      </c>
      <c r="AD81" s="46"/>
      <c r="AF81" s="26" t="s">
        <v>57</v>
      </c>
      <c r="AG81" s="38">
        <v>116.04116656017789</v>
      </c>
      <c r="AH81" s="38">
        <f>949*((AH80*AG75)+(-AI55+AI56))/AI56</f>
        <v>76.250076576751511</v>
      </c>
      <c r="AI81" s="38">
        <f>949*((AI80*AG75)+(-AI55+AI56))/AI56</f>
        <v>36.458986593325164</v>
      </c>
    </row>
    <row r="82" spans="1:35" x14ac:dyDescent="0.2">
      <c r="C82" s="33"/>
      <c r="D82" s="6"/>
      <c r="I82" s="33"/>
      <c r="J82" s="6"/>
      <c r="O82" s="33"/>
      <c r="P82" s="6"/>
      <c r="U82" s="33"/>
      <c r="V82" s="6"/>
      <c r="Y82" s="46"/>
      <c r="Z82" s="46"/>
      <c r="AA82" s="96"/>
      <c r="AB82" s="51"/>
      <c r="AC82" s="46"/>
      <c r="AD82" s="46"/>
      <c r="AG82" s="33"/>
      <c r="AH82" s="6"/>
    </row>
    <row r="83" spans="1:35" x14ac:dyDescent="0.2">
      <c r="B83" s="34"/>
      <c r="C83" s="34"/>
      <c r="D83" s="34"/>
      <c r="E83" s="34"/>
      <c r="H83" s="34"/>
      <c r="I83" s="34"/>
      <c r="J83" s="34"/>
      <c r="K83" s="34"/>
      <c r="N83" s="34"/>
      <c r="O83" s="34"/>
      <c r="P83" s="34"/>
      <c r="Q83" s="34"/>
      <c r="T83" s="34"/>
      <c r="U83" s="34"/>
      <c r="V83" s="34"/>
      <c r="W83" s="34"/>
      <c r="Y83" s="46"/>
      <c r="Z83" s="63"/>
      <c r="AA83" s="63"/>
      <c r="AB83" s="63"/>
      <c r="AC83" s="63"/>
      <c r="AD83" s="46"/>
      <c r="AF83" s="34"/>
      <c r="AG83" s="34"/>
      <c r="AH83" s="34"/>
      <c r="AI83" s="34"/>
    </row>
    <row r="84" spans="1:35" ht="17" thickBot="1" x14ac:dyDescent="0.25">
      <c r="A84" s="2" t="s">
        <v>58</v>
      </c>
      <c r="B84" s="4"/>
      <c r="C84" s="5"/>
      <c r="D84" s="5"/>
      <c r="E84" s="5"/>
      <c r="F84" s="2"/>
      <c r="G84" s="3"/>
      <c r="H84" s="4"/>
      <c r="I84" s="5"/>
      <c r="J84" s="5"/>
      <c r="K84" s="5"/>
      <c r="L84" s="2"/>
      <c r="M84" s="3"/>
      <c r="N84" s="4"/>
      <c r="O84" s="5"/>
      <c r="P84" s="5"/>
      <c r="Q84" s="5"/>
      <c r="R84" s="2"/>
      <c r="S84" s="3"/>
      <c r="T84" s="4"/>
      <c r="U84" s="5"/>
      <c r="V84" s="5"/>
      <c r="W84" s="5"/>
      <c r="X84" s="2"/>
      <c r="Y84" s="48"/>
      <c r="Z84" s="48"/>
      <c r="AA84" s="48"/>
      <c r="AB84" s="48"/>
      <c r="AC84" s="48"/>
      <c r="AD84" s="48"/>
      <c r="AE84" s="3"/>
      <c r="AF84" s="4"/>
      <c r="AG84" s="5"/>
      <c r="AH84" s="5"/>
      <c r="AI84" s="5"/>
    </row>
    <row r="85" spans="1:35" x14ac:dyDescent="0.2">
      <c r="B85" s="34"/>
      <c r="C85" s="34"/>
      <c r="D85" s="34"/>
      <c r="E85" s="34"/>
      <c r="H85" s="34"/>
      <c r="I85" s="34"/>
      <c r="J85" s="34"/>
      <c r="K85" s="34"/>
      <c r="N85" s="34"/>
      <c r="O85" s="34"/>
      <c r="P85" s="34"/>
      <c r="Q85" s="34"/>
      <c r="T85" s="34"/>
      <c r="U85" s="34"/>
      <c r="V85" s="34"/>
      <c r="W85" s="34"/>
      <c r="Y85" s="46"/>
      <c r="Z85" s="63"/>
      <c r="AA85" s="63"/>
      <c r="AB85" s="63"/>
      <c r="AC85" s="63"/>
      <c r="AD85" s="46"/>
      <c r="AF85" s="34"/>
      <c r="AG85" s="34"/>
      <c r="AH85" s="34"/>
      <c r="AI85" s="34"/>
    </row>
    <row r="86" spans="1:35" x14ac:dyDescent="0.2">
      <c r="A86" s="35" t="s">
        <v>59</v>
      </c>
      <c r="B86" s="34"/>
      <c r="C86" s="8" t="s">
        <v>4</v>
      </c>
      <c r="D86" s="23" t="s">
        <v>5</v>
      </c>
      <c r="E86" s="34"/>
      <c r="G86" s="35" t="s">
        <v>59</v>
      </c>
      <c r="H86" s="34"/>
      <c r="I86" s="8" t="s">
        <v>4</v>
      </c>
      <c r="J86" s="23" t="s">
        <v>5</v>
      </c>
      <c r="K86" s="34"/>
      <c r="M86" s="35" t="s">
        <v>59</v>
      </c>
      <c r="N86" s="34"/>
      <c r="O86" s="8" t="s">
        <v>4</v>
      </c>
      <c r="P86" s="23" t="s">
        <v>5</v>
      </c>
      <c r="Q86" s="34"/>
      <c r="S86" s="35" t="s">
        <v>59</v>
      </c>
      <c r="T86" s="34"/>
      <c r="U86" s="8" t="s">
        <v>4</v>
      </c>
      <c r="V86" s="23" t="s">
        <v>5</v>
      </c>
      <c r="W86" s="34"/>
      <c r="Y86" s="97" t="s">
        <v>59</v>
      </c>
      <c r="Z86" s="97"/>
      <c r="AA86" s="53" t="s">
        <v>4</v>
      </c>
      <c r="AB86" s="73" t="s">
        <v>5</v>
      </c>
      <c r="AC86" s="63"/>
      <c r="AD86" s="46"/>
      <c r="AE86" s="35" t="s">
        <v>59</v>
      </c>
      <c r="AF86" s="34"/>
      <c r="AG86" s="8" t="s">
        <v>4</v>
      </c>
      <c r="AH86" s="23" t="s">
        <v>5</v>
      </c>
      <c r="AI86" s="34"/>
    </row>
    <row r="87" spans="1:35" x14ac:dyDescent="0.2">
      <c r="B87" s="26" t="s">
        <v>50</v>
      </c>
      <c r="C87" s="27">
        <v>0.51315664426725349</v>
      </c>
      <c r="D87" s="28" t="s">
        <v>51</v>
      </c>
      <c r="E87" s="34"/>
      <c r="H87" s="26" t="s">
        <v>50</v>
      </c>
      <c r="I87" s="27">
        <v>0.39201039186288061</v>
      </c>
      <c r="J87" s="28" t="s">
        <v>51</v>
      </c>
      <c r="K87" s="34"/>
      <c r="N87" s="26" t="s">
        <v>50</v>
      </c>
      <c r="O87" s="27">
        <v>0.28768412092322332</v>
      </c>
      <c r="P87" s="28" t="s">
        <v>51</v>
      </c>
      <c r="Q87" s="34"/>
      <c r="T87" s="26" t="s">
        <v>50</v>
      </c>
      <c r="U87" s="27">
        <v>0.38679807447909681</v>
      </c>
      <c r="V87" s="28" t="s">
        <v>51</v>
      </c>
      <c r="W87" s="34"/>
      <c r="Y87" s="46"/>
      <c r="Z87" s="81" t="s">
        <v>50</v>
      </c>
      <c r="AA87" s="82">
        <v>0.26</v>
      </c>
      <c r="AB87" s="83" t="s">
        <v>51</v>
      </c>
      <c r="AC87" s="63"/>
      <c r="AD87" s="46"/>
      <c r="AF87" s="26" t="s">
        <v>50</v>
      </c>
      <c r="AG87" s="27">
        <v>0.25504403977591794</v>
      </c>
      <c r="AH87" s="28" t="s">
        <v>51</v>
      </c>
      <c r="AI87" s="34"/>
    </row>
    <row r="88" spans="1:35" x14ac:dyDescent="0.2">
      <c r="B88" s="26" t="s">
        <v>60</v>
      </c>
      <c r="C88" s="27">
        <v>0.38195559020877357</v>
      </c>
      <c r="D88" s="28" t="s">
        <v>51</v>
      </c>
      <c r="E88" s="34"/>
      <c r="H88" s="26" t="s">
        <v>60</v>
      </c>
      <c r="I88" s="27">
        <v>0.29047956076246184</v>
      </c>
      <c r="J88" s="28" t="s">
        <v>51</v>
      </c>
      <c r="K88" s="34"/>
      <c r="N88" s="26" t="s">
        <v>60</v>
      </c>
      <c r="O88" s="27">
        <v>0.20504270632456228</v>
      </c>
      <c r="P88" s="28" t="s">
        <v>51</v>
      </c>
      <c r="Q88" s="34"/>
      <c r="T88" s="26" t="s">
        <v>60</v>
      </c>
      <c r="U88" s="27">
        <v>0.292369909492807</v>
      </c>
      <c r="V88" s="28" t="s">
        <v>51</v>
      </c>
      <c r="W88" s="34"/>
      <c r="Y88" s="46"/>
      <c r="Z88" s="84" t="s">
        <v>60</v>
      </c>
      <c r="AA88" s="85">
        <v>0.19</v>
      </c>
      <c r="AB88" s="86" t="s">
        <v>51</v>
      </c>
      <c r="AC88" s="63"/>
      <c r="AD88" s="46"/>
      <c r="AF88" s="26" t="s">
        <v>60</v>
      </c>
      <c r="AG88" s="27">
        <v>0.18961298687599751</v>
      </c>
      <c r="AH88" s="28" t="s">
        <v>51</v>
      </c>
      <c r="AI88" s="34"/>
    </row>
    <row r="89" spans="1:35" x14ac:dyDescent="0.2">
      <c r="B89" s="26" t="s">
        <v>61</v>
      </c>
      <c r="C89" s="27">
        <v>0.37965195836756649</v>
      </c>
      <c r="D89" s="28" t="s">
        <v>51</v>
      </c>
      <c r="E89" s="34"/>
      <c r="H89" s="26" t="s">
        <v>61</v>
      </c>
      <c r="I89" s="27">
        <v>0.28948003689103119</v>
      </c>
      <c r="J89" s="28" t="s">
        <v>51</v>
      </c>
      <c r="K89" s="34"/>
      <c r="N89" s="26" t="s">
        <v>61</v>
      </c>
      <c r="O89" s="27">
        <v>0.20423914994387768</v>
      </c>
      <c r="P89" s="28" t="s">
        <v>51</v>
      </c>
      <c r="Q89" s="34"/>
      <c r="T89" s="26" t="s">
        <v>61</v>
      </c>
      <c r="U89" s="27">
        <v>0.2913785832776612</v>
      </c>
      <c r="V89" s="28" t="s">
        <v>51</v>
      </c>
      <c r="W89" s="34"/>
      <c r="Y89" s="46"/>
      <c r="Z89" s="84" t="s">
        <v>61</v>
      </c>
      <c r="AA89" s="85">
        <v>0.19</v>
      </c>
      <c r="AB89" s="86" t="s">
        <v>51</v>
      </c>
      <c r="AC89" s="63"/>
      <c r="AD89" s="46"/>
      <c r="AF89" s="26" t="s">
        <v>61</v>
      </c>
      <c r="AG89" s="27">
        <v>0.18894570274153941</v>
      </c>
      <c r="AH89" s="28" t="s">
        <v>51</v>
      </c>
      <c r="AI89" s="34"/>
    </row>
    <row r="90" spans="1:35" x14ac:dyDescent="0.2">
      <c r="B90" s="26" t="s">
        <v>62</v>
      </c>
      <c r="C90" s="37">
        <v>14671.985114928855</v>
      </c>
      <c r="D90" s="28" t="s">
        <v>51</v>
      </c>
      <c r="E90" s="34"/>
      <c r="H90" s="26" t="s">
        <v>62</v>
      </c>
      <c r="I90" s="37">
        <v>14734.655980838479</v>
      </c>
      <c r="J90" s="28" t="s">
        <v>51</v>
      </c>
      <c r="K90" s="34"/>
      <c r="N90" s="26" t="s">
        <v>62</v>
      </c>
      <c r="O90" s="29">
        <v>7485.7251913177797</v>
      </c>
      <c r="P90" s="28" t="s">
        <v>51</v>
      </c>
      <c r="Q90" s="34"/>
      <c r="T90" s="26" t="s">
        <v>62</v>
      </c>
      <c r="U90" s="37">
        <v>14672.624350084785</v>
      </c>
      <c r="V90" s="28" t="s">
        <v>51</v>
      </c>
      <c r="W90" s="34"/>
      <c r="Y90" s="46"/>
      <c r="Z90" s="84" t="s">
        <v>62</v>
      </c>
      <c r="AA90" s="98">
        <v>14724.95</v>
      </c>
      <c r="AB90" s="86" t="s">
        <v>51</v>
      </c>
      <c r="AC90" s="63"/>
      <c r="AD90" s="46"/>
      <c r="AF90" s="26" t="s">
        <v>62</v>
      </c>
      <c r="AG90" s="37">
        <v>14601.78675337926</v>
      </c>
      <c r="AH90" s="28" t="s">
        <v>51</v>
      </c>
      <c r="AI90" s="34"/>
    </row>
    <row r="91" spans="1:35" x14ac:dyDescent="0.2">
      <c r="B91" s="26" t="s">
        <v>63</v>
      </c>
      <c r="C91" s="37">
        <v>14710.54812185146</v>
      </c>
      <c r="D91" s="28" t="s">
        <v>51</v>
      </c>
      <c r="E91" s="34"/>
      <c r="H91" s="26" t="s">
        <v>63</v>
      </c>
      <c r="I91" s="37">
        <v>14757.91357508026</v>
      </c>
      <c r="J91" s="28" t="s">
        <v>51</v>
      </c>
      <c r="K91" s="34"/>
      <c r="N91" s="26" t="s">
        <v>63</v>
      </c>
      <c r="O91" s="29">
        <v>7504.7148610472605</v>
      </c>
      <c r="P91" s="28" t="s">
        <v>51</v>
      </c>
      <c r="Q91" s="34"/>
      <c r="T91" s="26" t="s">
        <v>63</v>
      </c>
      <c r="U91" s="37">
        <v>14695.358613269831</v>
      </c>
      <c r="V91" s="28" t="s">
        <v>51</v>
      </c>
      <c r="W91" s="34"/>
      <c r="Y91" s="46"/>
      <c r="Z91" s="84" t="s">
        <v>63</v>
      </c>
      <c r="AA91" s="89">
        <v>14740.7</v>
      </c>
      <c r="AB91" s="86" t="s">
        <v>51</v>
      </c>
      <c r="AC91" s="63"/>
      <c r="AD91" s="46"/>
      <c r="AF91" s="26" t="s">
        <v>63</v>
      </c>
      <c r="AG91" s="37">
        <v>14618.36002864627</v>
      </c>
      <c r="AH91" s="28" t="s">
        <v>51</v>
      </c>
      <c r="AI91" s="34"/>
    </row>
    <row r="92" spans="1:35" x14ac:dyDescent="0.2">
      <c r="B92" s="34"/>
      <c r="C92" s="36"/>
      <c r="D92" s="34"/>
      <c r="E92" s="34"/>
      <c r="H92" s="34"/>
      <c r="I92" s="36"/>
      <c r="J92" s="34"/>
      <c r="K92" s="34"/>
      <c r="N92" s="34"/>
      <c r="O92" s="36"/>
      <c r="P92" s="34"/>
      <c r="Q92" s="34"/>
      <c r="T92" s="34"/>
      <c r="U92" s="36"/>
      <c r="V92" s="34"/>
      <c r="W92" s="34"/>
      <c r="Y92" s="46"/>
      <c r="Z92" s="63"/>
      <c r="AA92" s="99"/>
      <c r="AB92" s="63"/>
      <c r="AC92" s="63"/>
      <c r="AD92" s="46"/>
      <c r="AF92" s="34"/>
      <c r="AG92" s="36"/>
      <c r="AH92" s="34"/>
      <c r="AI92" s="34"/>
    </row>
    <row r="93" spans="1:35" x14ac:dyDescent="0.2">
      <c r="A93" s="35" t="s">
        <v>64</v>
      </c>
      <c r="B93" s="34"/>
      <c r="C93" s="8" t="s">
        <v>4</v>
      </c>
      <c r="D93" s="23" t="s">
        <v>5</v>
      </c>
      <c r="E93" s="34"/>
      <c r="G93" s="35" t="s">
        <v>64</v>
      </c>
      <c r="H93" s="34"/>
      <c r="I93" s="8" t="s">
        <v>4</v>
      </c>
      <c r="J93" s="23" t="s">
        <v>5</v>
      </c>
      <c r="K93" s="34"/>
      <c r="M93" s="35" t="s">
        <v>64</v>
      </c>
      <c r="N93" s="34"/>
      <c r="O93" s="8" t="s">
        <v>4</v>
      </c>
      <c r="P93" s="23" t="s">
        <v>5</v>
      </c>
      <c r="Q93" s="34"/>
      <c r="S93" s="35" t="s">
        <v>64</v>
      </c>
      <c r="T93" s="34"/>
      <c r="U93" s="8" t="s">
        <v>4</v>
      </c>
      <c r="V93" s="23" t="s">
        <v>5</v>
      </c>
      <c r="W93" s="34"/>
      <c r="Y93" s="97" t="s">
        <v>64</v>
      </c>
      <c r="Z93" s="97"/>
      <c r="AA93" s="53" t="s">
        <v>4</v>
      </c>
      <c r="AB93" s="73" t="s">
        <v>5</v>
      </c>
      <c r="AC93" s="63"/>
      <c r="AD93" s="46"/>
      <c r="AE93" s="35" t="s">
        <v>64</v>
      </c>
      <c r="AF93" s="34"/>
      <c r="AG93" s="8" t="s">
        <v>4</v>
      </c>
      <c r="AH93" s="23" t="s">
        <v>5</v>
      </c>
      <c r="AI93" s="34"/>
    </row>
    <row r="94" spans="1:35" x14ac:dyDescent="0.2">
      <c r="B94" s="26" t="s">
        <v>50</v>
      </c>
      <c r="C94" s="27">
        <v>2.3313347519984058</v>
      </c>
      <c r="D94" s="28" t="s">
        <v>51</v>
      </c>
      <c r="E94" s="34"/>
      <c r="H94" s="26" t="s">
        <v>50</v>
      </c>
      <c r="I94" s="27">
        <v>2.3915480571865846</v>
      </c>
      <c r="J94" s="28" t="s">
        <v>51</v>
      </c>
      <c r="K94" s="34"/>
      <c r="N94" s="26" t="s">
        <v>50</v>
      </c>
      <c r="O94" s="27">
        <v>2.0320492483195554</v>
      </c>
      <c r="P94" s="28" t="s">
        <v>51</v>
      </c>
      <c r="Q94" s="34"/>
      <c r="T94" s="26" t="s">
        <v>50</v>
      </c>
      <c r="U94" s="27">
        <v>2.4197783847974312</v>
      </c>
      <c r="V94" s="28" t="s">
        <v>51</v>
      </c>
      <c r="W94" s="34"/>
      <c r="Y94" s="46"/>
      <c r="Z94" s="81" t="s">
        <v>50</v>
      </c>
      <c r="AA94" s="82">
        <v>2.2799999999999998</v>
      </c>
      <c r="AB94" s="83" t="s">
        <v>51</v>
      </c>
      <c r="AC94" s="63"/>
      <c r="AD94" s="46"/>
      <c r="AF94" s="26" t="s">
        <v>50</v>
      </c>
      <c r="AG94" s="27">
        <v>2.2844255549857913</v>
      </c>
      <c r="AH94" s="28" t="s">
        <v>51</v>
      </c>
      <c r="AI94" s="34"/>
    </row>
    <row r="95" spans="1:35" x14ac:dyDescent="0.2">
      <c r="B95" s="26" t="s">
        <v>60</v>
      </c>
      <c r="C95" s="27">
        <v>1.7352719703070207</v>
      </c>
      <c r="D95" s="28" t="s">
        <v>51</v>
      </c>
      <c r="E95" s="34"/>
      <c r="H95" s="26" t="s">
        <v>60</v>
      </c>
      <c r="I95" s="27">
        <v>1.7721362586654903</v>
      </c>
      <c r="J95" s="28" t="s">
        <v>51</v>
      </c>
      <c r="K95" s="34"/>
      <c r="N95" s="26" t="s">
        <v>60</v>
      </c>
      <c r="O95" s="27">
        <v>1.4483137822244658</v>
      </c>
      <c r="P95" s="28" t="s">
        <v>51</v>
      </c>
      <c r="Q95" s="34"/>
      <c r="T95" s="26" t="s">
        <v>60</v>
      </c>
      <c r="U95" s="27">
        <v>1.8290431985956244</v>
      </c>
      <c r="V95" s="28" t="s">
        <v>51</v>
      </c>
      <c r="W95" s="34"/>
      <c r="Y95" s="46"/>
      <c r="Z95" s="84" t="s">
        <v>60</v>
      </c>
      <c r="AA95" s="85">
        <v>1.7</v>
      </c>
      <c r="AB95" s="86" t="s">
        <v>51</v>
      </c>
      <c r="AC95" s="63"/>
      <c r="AD95" s="46"/>
      <c r="AF95" s="26" t="s">
        <v>60</v>
      </c>
      <c r="AG95" s="27">
        <v>1.698360617081216</v>
      </c>
      <c r="AH95" s="28" t="s">
        <v>51</v>
      </c>
      <c r="AI95" s="34"/>
    </row>
    <row r="96" spans="1:35" x14ac:dyDescent="0.2">
      <c r="B96" s="26" t="s">
        <v>61</v>
      </c>
      <c r="C96" s="27">
        <v>1.7248062830218351</v>
      </c>
      <c r="D96" s="28" t="s">
        <v>51</v>
      </c>
      <c r="E96" s="34"/>
      <c r="H96" s="26" t="s">
        <v>61</v>
      </c>
      <c r="I96" s="27">
        <v>1.7660384372238902</v>
      </c>
      <c r="J96" s="28" t="s">
        <v>51</v>
      </c>
      <c r="K96" s="34"/>
      <c r="N96" s="26" t="s">
        <v>61</v>
      </c>
      <c r="O96" s="27">
        <v>1.442637882789654</v>
      </c>
      <c r="P96" s="28" t="s">
        <v>51</v>
      </c>
      <c r="Q96" s="34"/>
      <c r="T96" s="26" t="s">
        <v>61</v>
      </c>
      <c r="U96" s="27">
        <v>1.8228415396268631</v>
      </c>
      <c r="V96" s="28" t="s">
        <v>51</v>
      </c>
      <c r="W96" s="34"/>
      <c r="Y96" s="46"/>
      <c r="Z96" s="84" t="s">
        <v>61</v>
      </c>
      <c r="AA96" s="85">
        <v>1.69</v>
      </c>
      <c r="AB96" s="86" t="s">
        <v>51</v>
      </c>
      <c r="AC96" s="63"/>
      <c r="AD96" s="46"/>
      <c r="AF96" s="26" t="s">
        <v>61</v>
      </c>
      <c r="AG96" s="27">
        <v>1.692383763316933</v>
      </c>
      <c r="AH96" s="28" t="s">
        <v>51</v>
      </c>
      <c r="AI96" s="34"/>
    </row>
    <row r="97" spans="1:35" x14ac:dyDescent="0.2">
      <c r="B97" s="26" t="s">
        <v>62</v>
      </c>
      <c r="C97" s="37">
        <v>198616.94002594549</v>
      </c>
      <c r="D97" s="28" t="s">
        <v>51</v>
      </c>
      <c r="E97" s="34"/>
      <c r="H97" s="26" t="s">
        <v>62</v>
      </c>
      <c r="I97" s="37">
        <v>267851.6097467402</v>
      </c>
      <c r="J97" s="28" t="s">
        <v>51</v>
      </c>
      <c r="K97" s="34"/>
      <c r="N97" s="26" t="s">
        <v>62</v>
      </c>
      <c r="O97" s="37">
        <v>157552.37186589467</v>
      </c>
      <c r="P97" s="28" t="s">
        <v>51</v>
      </c>
      <c r="Q97" s="34"/>
      <c r="T97" s="26" t="s">
        <v>62</v>
      </c>
      <c r="U97" s="37">
        <v>273509.12254289864</v>
      </c>
      <c r="V97" s="28" t="s">
        <v>51</v>
      </c>
      <c r="W97" s="34"/>
      <c r="Y97" s="46"/>
      <c r="Z97" s="84" t="s">
        <v>62</v>
      </c>
      <c r="AA97" s="98">
        <v>392996.36</v>
      </c>
      <c r="AB97" s="86" t="s">
        <v>51</v>
      </c>
      <c r="AC97" s="63"/>
      <c r="AD97" s="46"/>
      <c r="AF97" s="26" t="s">
        <v>62</v>
      </c>
      <c r="AG97" s="37">
        <v>389709.11214720417</v>
      </c>
      <c r="AH97" s="28" t="s">
        <v>51</v>
      </c>
      <c r="AI97" s="34"/>
    </row>
    <row r="98" spans="1:35" x14ac:dyDescent="0.2">
      <c r="B98" s="26" t="s">
        <v>63</v>
      </c>
      <c r="C98" s="37">
        <v>199138.97343677367</v>
      </c>
      <c r="D98" s="28" t="s">
        <v>51</v>
      </c>
      <c r="E98" s="34"/>
      <c r="H98" s="26" t="s">
        <v>63</v>
      </c>
      <c r="I98" s="37">
        <v>268274.39423961181</v>
      </c>
      <c r="J98" s="28" t="s">
        <v>51</v>
      </c>
      <c r="K98" s="34"/>
      <c r="N98" s="26" t="s">
        <v>63</v>
      </c>
      <c r="O98" s="37">
        <v>157952.0482406432</v>
      </c>
      <c r="P98" s="28" t="s">
        <v>51</v>
      </c>
      <c r="Q98" s="34"/>
      <c r="T98" s="26" t="s">
        <v>63</v>
      </c>
      <c r="U98" s="37">
        <v>273932.9068794318</v>
      </c>
      <c r="V98" s="28" t="s">
        <v>51</v>
      </c>
      <c r="W98" s="34"/>
      <c r="Y98" s="46"/>
      <c r="Z98" s="84" t="s">
        <v>63</v>
      </c>
      <c r="AA98" s="89">
        <v>393416.67</v>
      </c>
      <c r="AB98" s="86" t="s">
        <v>51</v>
      </c>
      <c r="AC98" s="63"/>
      <c r="AD98" s="46"/>
      <c r="AF98" s="26" t="s">
        <v>63</v>
      </c>
      <c r="AG98" s="37">
        <v>390151.43858976662</v>
      </c>
      <c r="AH98" s="28" t="s">
        <v>51</v>
      </c>
      <c r="AI98" s="34"/>
    </row>
    <row r="99" spans="1:35" x14ac:dyDescent="0.2">
      <c r="B99" s="34"/>
      <c r="C99" s="34"/>
      <c r="D99" s="34"/>
      <c r="E99" s="34"/>
      <c r="H99" s="34"/>
      <c r="I99" s="34"/>
      <c r="J99" s="34"/>
      <c r="K99" s="34"/>
      <c r="N99" s="34"/>
      <c r="O99" s="34"/>
      <c r="P99" s="34"/>
      <c r="Q99" s="34"/>
      <c r="T99" s="34"/>
      <c r="U99" s="34"/>
      <c r="V99" s="34"/>
      <c r="W99" s="34"/>
      <c r="Y99" s="46"/>
      <c r="Z99" s="63"/>
      <c r="AA99" s="63"/>
      <c r="AB99" s="63"/>
      <c r="AC99" s="63"/>
      <c r="AD99" s="46"/>
      <c r="AF99" s="34"/>
      <c r="AG99" s="34"/>
      <c r="AH99" s="34"/>
      <c r="AI99" s="34"/>
    </row>
    <row r="100" spans="1:35" ht="17" thickBot="1" x14ac:dyDescent="0.25">
      <c r="A100" s="2" t="s">
        <v>65</v>
      </c>
      <c r="B100" s="4"/>
      <c r="C100" s="5"/>
      <c r="D100" s="5"/>
      <c r="E100" s="5"/>
      <c r="F100" s="2"/>
      <c r="G100" s="3"/>
      <c r="H100" s="4"/>
      <c r="I100" s="5"/>
      <c r="J100" s="5"/>
      <c r="K100" s="5"/>
      <c r="L100" s="2"/>
      <c r="M100" s="3"/>
      <c r="N100" s="4"/>
      <c r="O100" s="5"/>
      <c r="P100" s="5"/>
      <c r="Q100" s="5"/>
      <c r="R100" s="2"/>
      <c r="S100" s="3"/>
      <c r="T100" s="4"/>
      <c r="U100" s="5"/>
      <c r="V100" s="5"/>
      <c r="W100" s="5"/>
      <c r="X100" s="2"/>
      <c r="Y100" s="48"/>
      <c r="Z100" s="48"/>
      <c r="AA100" s="50"/>
      <c r="AB100" s="50"/>
      <c r="AC100" s="50"/>
      <c r="AD100" s="48"/>
      <c r="AE100" s="3"/>
      <c r="AF100" s="4"/>
      <c r="AG100" s="5"/>
      <c r="AH100" s="5"/>
      <c r="AI100" s="5"/>
    </row>
    <row r="101" spans="1:35" x14ac:dyDescent="0.2">
      <c r="B101" s="34"/>
      <c r="C101" s="34"/>
      <c r="D101" s="34"/>
      <c r="E101" s="34"/>
      <c r="H101" s="34"/>
      <c r="I101" s="34"/>
      <c r="J101" s="34"/>
      <c r="K101" s="34"/>
      <c r="N101" s="34"/>
      <c r="O101" s="34"/>
      <c r="P101" s="34"/>
      <c r="Q101" s="34"/>
      <c r="T101" s="34"/>
      <c r="U101" s="34"/>
      <c r="V101" s="34"/>
      <c r="W101" s="34"/>
      <c r="Y101" s="46"/>
      <c r="Z101" s="63"/>
      <c r="AA101" s="63"/>
      <c r="AB101" s="63"/>
      <c r="AC101" s="63"/>
      <c r="AD101" s="46"/>
      <c r="AF101" s="34"/>
      <c r="AG101" s="34"/>
      <c r="AH101" s="34"/>
      <c r="AI101" s="34"/>
    </row>
    <row r="102" spans="1:35" x14ac:dyDescent="0.2">
      <c r="B102" s="34"/>
      <c r="C102" s="8" t="s">
        <v>4</v>
      </c>
      <c r="D102" s="8" t="s">
        <v>5</v>
      </c>
      <c r="E102" s="8" t="s">
        <v>6</v>
      </c>
      <c r="H102" s="34"/>
      <c r="I102" s="8" t="s">
        <v>4</v>
      </c>
      <c r="J102" s="8" t="s">
        <v>5</v>
      </c>
      <c r="K102" s="8" t="s">
        <v>6</v>
      </c>
      <c r="N102" s="34"/>
      <c r="O102" s="8" t="s">
        <v>4</v>
      </c>
      <c r="P102" s="8" t="s">
        <v>5</v>
      </c>
      <c r="Q102" s="8" t="s">
        <v>6</v>
      </c>
      <c r="T102" s="34"/>
      <c r="U102" s="8" t="s">
        <v>4</v>
      </c>
      <c r="V102" s="8" t="s">
        <v>5</v>
      </c>
      <c r="W102" s="8" t="s">
        <v>6</v>
      </c>
      <c r="Y102" s="46"/>
      <c r="Z102" s="63"/>
      <c r="AA102" s="53" t="s">
        <v>4</v>
      </c>
      <c r="AB102" s="54" t="s">
        <v>5</v>
      </c>
      <c r="AC102" s="54" t="s">
        <v>6</v>
      </c>
      <c r="AD102" s="46"/>
      <c r="AF102" s="34"/>
      <c r="AG102" s="8" t="s">
        <v>4</v>
      </c>
      <c r="AH102" s="8" t="s">
        <v>5</v>
      </c>
      <c r="AI102" s="8" t="s">
        <v>6</v>
      </c>
    </row>
    <row r="103" spans="1:35" x14ac:dyDescent="0.2">
      <c r="A103" s="106" t="s">
        <v>66</v>
      </c>
      <c r="B103" s="107"/>
      <c r="C103" s="18">
        <v>33560.411101197897</v>
      </c>
      <c r="D103" s="18">
        <v>33560.411101197897</v>
      </c>
      <c r="E103" s="18">
        <v>0</v>
      </c>
      <c r="G103" s="106" t="s">
        <v>66</v>
      </c>
      <c r="H103" s="107"/>
      <c r="I103" s="18">
        <v>33560.411101197897</v>
      </c>
      <c r="J103" s="18">
        <v>33560.411101197897</v>
      </c>
      <c r="K103" s="18">
        <v>0</v>
      </c>
      <c r="M103" s="106" t="s">
        <v>66</v>
      </c>
      <c r="N103" s="107"/>
      <c r="O103" s="18">
        <v>33560.411101197897</v>
      </c>
      <c r="P103" s="18">
        <v>33560.411101197897</v>
      </c>
      <c r="Q103" s="18">
        <v>0</v>
      </c>
      <c r="S103" s="106" t="s">
        <v>66</v>
      </c>
      <c r="T103" s="107"/>
      <c r="U103" s="18">
        <v>33560.411101197897</v>
      </c>
      <c r="V103" s="18">
        <v>33560.411101197897</v>
      </c>
      <c r="W103" s="18">
        <v>0</v>
      </c>
      <c r="Y103" s="125" t="s">
        <v>66</v>
      </c>
      <c r="Z103" s="126"/>
      <c r="AA103" s="68">
        <v>33560</v>
      </c>
      <c r="AB103" s="69">
        <v>33560</v>
      </c>
      <c r="AC103" s="69">
        <v>0</v>
      </c>
      <c r="AD103" s="46"/>
      <c r="AE103" s="106" t="s">
        <v>66</v>
      </c>
      <c r="AF103" s="107"/>
      <c r="AG103" s="18">
        <v>33560.411101197897</v>
      </c>
      <c r="AH103" s="18">
        <v>33560.411101197897</v>
      </c>
      <c r="AI103" s="18">
        <v>0</v>
      </c>
    </row>
    <row r="104" spans="1:35" x14ac:dyDescent="0.2">
      <c r="A104" s="103" t="s">
        <v>19</v>
      </c>
      <c r="B104" s="104"/>
      <c r="C104" s="18">
        <v>13673.147301716601</v>
      </c>
      <c r="D104" s="18">
        <v>10244.020617808899</v>
      </c>
      <c r="E104" s="18">
        <v>3429.1266839077016</v>
      </c>
      <c r="G104" s="103" t="s">
        <v>19</v>
      </c>
      <c r="H104" s="104"/>
      <c r="I104" s="18">
        <v>12628.1049057981</v>
      </c>
      <c r="J104" s="18">
        <v>10244.020617808899</v>
      </c>
      <c r="K104" s="18">
        <v>2384.0842879892007</v>
      </c>
      <c r="M104" s="103" t="s">
        <v>19</v>
      </c>
      <c r="N104" s="104"/>
      <c r="O104" s="18">
        <v>12327.1433836874</v>
      </c>
      <c r="P104" s="18">
        <v>10244.020617808899</v>
      </c>
      <c r="Q104" s="18">
        <v>2083.122765878501</v>
      </c>
      <c r="S104" s="103" t="s">
        <v>19</v>
      </c>
      <c r="T104" s="104"/>
      <c r="U104" s="18">
        <v>12697.837521552799</v>
      </c>
      <c r="V104" s="18">
        <v>10244.020617808899</v>
      </c>
      <c r="W104" s="18">
        <v>2453.8169037439002</v>
      </c>
      <c r="Y104" s="117" t="s">
        <v>19</v>
      </c>
      <c r="Z104" s="118"/>
      <c r="AA104" s="70">
        <v>11687</v>
      </c>
      <c r="AB104" s="71">
        <v>10244</v>
      </c>
      <c r="AC104" s="71">
        <v>1443</v>
      </c>
      <c r="AD104" s="46"/>
      <c r="AE104" s="103" t="s">
        <v>19</v>
      </c>
      <c r="AF104" s="104"/>
      <c r="AG104" s="18">
        <v>11687.4423258935</v>
      </c>
      <c r="AH104" s="18">
        <v>10244.020617808899</v>
      </c>
      <c r="AI104" s="18">
        <v>1443.4217080846011</v>
      </c>
    </row>
    <row r="105" spans="1:35" x14ac:dyDescent="0.2">
      <c r="A105" s="103" t="s">
        <v>20</v>
      </c>
      <c r="B105" s="104"/>
      <c r="C105" s="18">
        <v>9012.7366988548602</v>
      </c>
      <c r="D105" s="18">
        <v>6754.8771741712999</v>
      </c>
      <c r="E105" s="18">
        <v>2257.8595246835603</v>
      </c>
      <c r="G105" s="103" t="s">
        <v>20</v>
      </c>
      <c r="H105" s="104"/>
      <c r="I105" s="18">
        <v>8422.9913151821293</v>
      </c>
      <c r="J105" s="18">
        <v>6754.8771741712999</v>
      </c>
      <c r="K105" s="18">
        <v>1668.1141410108294</v>
      </c>
      <c r="M105" s="103" t="s">
        <v>20</v>
      </c>
      <c r="N105" s="104"/>
      <c r="O105" s="18">
        <v>8182.3126222086503</v>
      </c>
      <c r="P105" s="18">
        <v>6754.8771741712999</v>
      </c>
      <c r="Q105" s="18">
        <v>1427.4354480373504</v>
      </c>
      <c r="S105" s="103" t="s">
        <v>20</v>
      </c>
      <c r="T105" s="104"/>
      <c r="U105" s="18">
        <v>8390.7550857853603</v>
      </c>
      <c r="V105" s="18">
        <v>6754.8771741712999</v>
      </c>
      <c r="W105" s="18">
        <v>1635.8779116140604</v>
      </c>
      <c r="Y105" s="117" t="s">
        <v>20</v>
      </c>
      <c r="Z105" s="118"/>
      <c r="AA105" s="70">
        <v>7717</v>
      </c>
      <c r="AB105" s="71">
        <v>6755</v>
      </c>
      <c r="AC105" s="71">
        <v>962</v>
      </c>
      <c r="AD105" s="46"/>
      <c r="AE105" s="103" t="s">
        <v>20</v>
      </c>
      <c r="AF105" s="104"/>
      <c r="AG105" s="18">
        <v>7717.1582986501598</v>
      </c>
      <c r="AH105" s="18">
        <v>6754.8771741712999</v>
      </c>
      <c r="AI105" s="18">
        <v>962.28112447885997</v>
      </c>
    </row>
    <row r="106" spans="1:35" x14ac:dyDescent="0.2">
      <c r="A106" s="103" t="s">
        <v>21</v>
      </c>
      <c r="B106" s="104"/>
      <c r="C106" s="18">
        <v>5696.39939422509</v>
      </c>
      <c r="D106" s="18">
        <v>6914.6414242224901</v>
      </c>
      <c r="E106" s="18">
        <v>-1218.2420299974001</v>
      </c>
      <c r="G106" s="103" t="s">
        <v>21</v>
      </c>
      <c r="H106" s="104"/>
      <c r="I106" s="18">
        <v>6263.3041156254703</v>
      </c>
      <c r="J106" s="18">
        <v>6914.6414242224901</v>
      </c>
      <c r="K106" s="18">
        <v>-651.33730859701973</v>
      </c>
      <c r="M106" s="103" t="s">
        <v>21</v>
      </c>
      <c r="N106" s="104"/>
      <c r="O106" s="18">
        <v>6344.5363997838804</v>
      </c>
      <c r="P106" s="18">
        <v>6914.6414242224901</v>
      </c>
      <c r="Q106" s="18">
        <v>-570.10502443860969</v>
      </c>
      <c r="S106" s="103" t="s">
        <v>21</v>
      </c>
      <c r="T106" s="104"/>
      <c r="U106" s="18">
        <v>6071.4675353101102</v>
      </c>
      <c r="V106" s="18">
        <v>6914.6414242224901</v>
      </c>
      <c r="W106" s="18">
        <v>-843.17388891237988</v>
      </c>
      <c r="Y106" s="117" t="s">
        <v>21</v>
      </c>
      <c r="Z106" s="118"/>
      <c r="AA106" s="70">
        <v>7010</v>
      </c>
      <c r="AB106" s="71">
        <v>6915</v>
      </c>
      <c r="AC106" s="71">
        <v>95</v>
      </c>
      <c r="AD106" s="46"/>
      <c r="AE106" s="103" t="s">
        <v>21</v>
      </c>
      <c r="AF106" s="104"/>
      <c r="AG106" s="18">
        <v>7009.8621552252098</v>
      </c>
      <c r="AH106" s="18">
        <v>6914.6414242224901</v>
      </c>
      <c r="AI106" s="18">
        <v>95.220731002719731</v>
      </c>
    </row>
    <row r="107" spans="1:35" x14ac:dyDescent="0.2">
      <c r="A107" s="103" t="s">
        <v>22</v>
      </c>
      <c r="B107" s="104"/>
      <c r="C107" s="18">
        <v>5178.1277064012902</v>
      </c>
      <c r="D107" s="18">
        <v>9646.8718849952002</v>
      </c>
      <c r="E107" s="18">
        <v>-4468.74417859391</v>
      </c>
      <c r="G107" s="103" t="s">
        <v>22</v>
      </c>
      <c r="H107" s="104"/>
      <c r="I107" s="18">
        <v>6246.0107645921498</v>
      </c>
      <c r="J107" s="18">
        <v>9646.8718849952002</v>
      </c>
      <c r="K107" s="18">
        <v>-3400.8611204030503</v>
      </c>
      <c r="M107" s="103" t="s">
        <v>22</v>
      </c>
      <c r="N107" s="104"/>
      <c r="O107" s="18">
        <v>6706.4186955179002</v>
      </c>
      <c r="P107" s="18">
        <v>9646.8718849952002</v>
      </c>
      <c r="Q107" s="18">
        <v>-2940.4531894772999</v>
      </c>
      <c r="S107" s="103" t="s">
        <v>22</v>
      </c>
      <c r="T107" s="104"/>
      <c r="U107" s="18">
        <v>6400.3509585496104</v>
      </c>
      <c r="V107" s="18">
        <v>9646.8718849952002</v>
      </c>
      <c r="W107" s="18">
        <v>-3246.5209264455898</v>
      </c>
      <c r="Y107" s="117" t="s">
        <v>22</v>
      </c>
      <c r="Z107" s="118"/>
      <c r="AA107" s="70">
        <v>7146</v>
      </c>
      <c r="AB107" s="71">
        <v>9647</v>
      </c>
      <c r="AC107" s="71">
        <v>-2501</v>
      </c>
      <c r="AD107" s="46"/>
      <c r="AE107" s="103" t="s">
        <v>22</v>
      </c>
      <c r="AF107" s="104"/>
      <c r="AG107" s="18">
        <v>7145.9483214289803</v>
      </c>
      <c r="AH107" s="18">
        <v>9646.8718849952002</v>
      </c>
      <c r="AI107" s="18">
        <v>-2500.9235635662199</v>
      </c>
    </row>
    <row r="108" spans="1:35" x14ac:dyDescent="0.2">
      <c r="B108" s="34"/>
      <c r="C108" s="34"/>
      <c r="D108" s="34"/>
      <c r="E108" s="34"/>
      <c r="H108" s="34"/>
      <c r="I108" s="34"/>
      <c r="J108" s="34"/>
      <c r="K108" s="34"/>
      <c r="N108" s="34"/>
      <c r="O108" s="34"/>
      <c r="P108" s="34"/>
      <c r="Q108" s="34"/>
      <c r="T108" s="34"/>
      <c r="U108" s="34"/>
      <c r="V108" s="34"/>
      <c r="W108" s="34"/>
      <c r="Y108" s="46"/>
      <c r="Z108" s="63"/>
      <c r="AA108" s="63"/>
      <c r="AB108" s="63"/>
      <c r="AC108" s="63"/>
      <c r="AD108" s="46"/>
      <c r="AF108" s="34"/>
      <c r="AG108" s="34"/>
      <c r="AH108" s="34"/>
      <c r="AI108" s="34"/>
    </row>
    <row r="109" spans="1:35" x14ac:dyDescent="0.2">
      <c r="A109" s="106" t="s">
        <v>67</v>
      </c>
      <c r="B109" s="107" t="s">
        <v>12</v>
      </c>
      <c r="C109" s="9">
        <v>5.2534984294848304</v>
      </c>
      <c r="D109" s="9">
        <v>4.3043748061612099</v>
      </c>
      <c r="E109" s="9">
        <v>0.94912362332362044</v>
      </c>
      <c r="G109" s="106" t="s">
        <v>67</v>
      </c>
      <c r="H109" s="107" t="s">
        <v>12</v>
      </c>
      <c r="I109" s="9">
        <v>4.8950227844088001</v>
      </c>
      <c r="J109" s="9">
        <v>4.3043748061612099</v>
      </c>
      <c r="K109" s="9">
        <v>0.59064797824759019</v>
      </c>
      <c r="M109" s="106" t="s">
        <v>67</v>
      </c>
      <c r="N109" s="107" t="s">
        <v>12</v>
      </c>
      <c r="O109" s="9">
        <v>4.85418765033684</v>
      </c>
      <c r="P109" s="9">
        <v>4.3043748061612099</v>
      </c>
      <c r="Q109" s="9">
        <v>0.54981284417563003</v>
      </c>
      <c r="S109" s="106" t="s">
        <v>67</v>
      </c>
      <c r="T109" s="107" t="s">
        <v>12</v>
      </c>
      <c r="U109" s="9">
        <v>4.8903142106957302</v>
      </c>
      <c r="V109" s="9">
        <v>4.3043748061612099</v>
      </c>
      <c r="W109" s="9">
        <v>0.58593940453452031</v>
      </c>
      <c r="Y109" s="125" t="s">
        <v>67</v>
      </c>
      <c r="Z109" s="126"/>
      <c r="AA109" s="55">
        <v>4.6900000000000004</v>
      </c>
      <c r="AB109" s="56">
        <v>4.3</v>
      </c>
      <c r="AC109" s="56">
        <v>0.39</v>
      </c>
      <c r="AD109" s="46"/>
      <c r="AE109" s="106" t="s">
        <v>67</v>
      </c>
      <c r="AF109" s="107" t="s">
        <v>12</v>
      </c>
      <c r="AG109" s="9">
        <v>4.6895236462418897</v>
      </c>
      <c r="AH109" s="9">
        <v>4.3043748061612099</v>
      </c>
      <c r="AI109" s="9">
        <v>0.38514884008067973</v>
      </c>
    </row>
    <row r="110" spans="1:35" x14ac:dyDescent="0.2">
      <c r="A110" s="106" t="s">
        <v>68</v>
      </c>
      <c r="B110" s="107"/>
      <c r="C110" s="9">
        <v>3.6685543177121702</v>
      </c>
      <c r="D110" s="9">
        <v>2.9401930620668302</v>
      </c>
      <c r="E110" s="9">
        <v>0.72836125564534004</v>
      </c>
      <c r="G110" s="106" t="s">
        <v>68</v>
      </c>
      <c r="H110" s="107"/>
      <c r="I110" s="9">
        <v>3.3883508494058501</v>
      </c>
      <c r="J110" s="9">
        <v>2.9401930620668302</v>
      </c>
      <c r="K110" s="9">
        <v>0.4481577873390199</v>
      </c>
      <c r="M110" s="106" t="s">
        <v>68</v>
      </c>
      <c r="N110" s="107"/>
      <c r="O110" s="9">
        <v>3.3547560170021602</v>
      </c>
      <c r="P110" s="9">
        <v>2.9401930620668302</v>
      </c>
      <c r="Q110" s="9">
        <v>0.41456295493533002</v>
      </c>
      <c r="S110" s="106" t="s">
        <v>68</v>
      </c>
      <c r="T110" s="107"/>
      <c r="U110" s="9">
        <v>3.39071213469028</v>
      </c>
      <c r="V110" s="9">
        <v>2.9401930620668302</v>
      </c>
      <c r="W110" s="9">
        <v>0.45051907262344981</v>
      </c>
      <c r="Y110" s="125" t="s">
        <v>68</v>
      </c>
      <c r="Z110" s="126"/>
      <c r="AA110" s="59">
        <v>3.23</v>
      </c>
      <c r="AB110" s="60">
        <v>2.94</v>
      </c>
      <c r="AC110" s="60">
        <v>0.28999999999999998</v>
      </c>
      <c r="AD110" s="46"/>
      <c r="AE110" s="106" t="s">
        <v>68</v>
      </c>
      <c r="AF110" s="107"/>
      <c r="AG110" s="9">
        <v>3.2331287793246402</v>
      </c>
      <c r="AH110" s="9">
        <v>2.9401930620668302</v>
      </c>
      <c r="AI110" s="9">
        <v>0.29293571725780998</v>
      </c>
    </row>
    <row r="111" spans="1:35" x14ac:dyDescent="0.2">
      <c r="B111" s="34"/>
      <c r="C111" s="34"/>
      <c r="D111" s="34"/>
      <c r="E111" s="34"/>
      <c r="H111" s="34"/>
      <c r="I111" s="34"/>
      <c r="J111" s="34"/>
      <c r="K111" s="34"/>
      <c r="N111" s="34"/>
      <c r="O111" s="34"/>
      <c r="P111" s="34"/>
      <c r="Q111" s="34"/>
      <c r="T111" s="34"/>
      <c r="U111" s="34"/>
      <c r="V111" s="34"/>
      <c r="W111" s="34"/>
      <c r="Y111" s="46"/>
      <c r="Z111" s="63"/>
      <c r="AA111" s="63"/>
      <c r="AB111" s="63"/>
      <c r="AC111" s="63"/>
      <c r="AD111" s="46"/>
      <c r="AF111" s="34"/>
      <c r="AG111" s="34"/>
      <c r="AH111" s="34"/>
      <c r="AI111" s="34"/>
    </row>
    <row r="112" spans="1:35" x14ac:dyDescent="0.2">
      <c r="A112" s="106" t="s">
        <v>69</v>
      </c>
      <c r="B112" s="107"/>
      <c r="C112" s="39">
        <v>493433954.47249418</v>
      </c>
      <c r="D112" s="39">
        <v>480371925.89686555</v>
      </c>
      <c r="E112" s="39">
        <v>13062028.575628638</v>
      </c>
      <c r="F112" s="20"/>
      <c r="G112" s="106" t="s">
        <v>69</v>
      </c>
      <c r="H112" s="107"/>
      <c r="I112" s="39">
        <v>491534496.94059652</v>
      </c>
      <c r="J112" s="39">
        <v>480371925.89686555</v>
      </c>
      <c r="K112" s="39">
        <v>11162571.043730974</v>
      </c>
      <c r="L112" s="20"/>
      <c r="M112" s="106" t="s">
        <v>69</v>
      </c>
      <c r="N112" s="107"/>
      <c r="O112" s="39">
        <v>495729199.59294647</v>
      </c>
      <c r="P112" s="39">
        <v>480371925.89686555</v>
      </c>
      <c r="Q112" s="39">
        <v>15357273.696080923</v>
      </c>
      <c r="R112" s="20"/>
      <c r="S112" s="106" t="s">
        <v>69</v>
      </c>
      <c r="T112" s="107"/>
      <c r="U112" s="39">
        <v>486009582.31779587</v>
      </c>
      <c r="V112" s="39">
        <v>480371925.89686555</v>
      </c>
      <c r="W112" s="39">
        <v>5637656.420930326</v>
      </c>
      <c r="X112" s="20"/>
      <c r="Y112" s="125" t="s">
        <v>69</v>
      </c>
      <c r="Z112" s="126"/>
      <c r="AA112" s="87" t="s">
        <v>97</v>
      </c>
      <c r="AB112" s="100" t="s">
        <v>97</v>
      </c>
      <c r="AC112" s="100" t="s">
        <v>97</v>
      </c>
      <c r="AD112" s="72"/>
      <c r="AE112" s="106" t="s">
        <v>69</v>
      </c>
      <c r="AF112" s="107"/>
      <c r="AG112" s="39">
        <v>538053388.57808423</v>
      </c>
      <c r="AH112" s="39">
        <v>542558051.50703621</v>
      </c>
      <c r="AI112" s="39">
        <v>-4504662.9289519787</v>
      </c>
    </row>
    <row r="113" spans="1:35" x14ac:dyDescent="0.2">
      <c r="A113" s="103" t="s">
        <v>41</v>
      </c>
      <c r="B113" s="104"/>
      <c r="C113" s="39">
        <v>67391323.88807793</v>
      </c>
      <c r="D113" s="39">
        <v>34903111.203136042</v>
      </c>
      <c r="E113" s="39">
        <v>32488212.684941888</v>
      </c>
      <c r="F113" s="20"/>
      <c r="G113" s="103" t="s">
        <v>41</v>
      </c>
      <c r="H113" s="104"/>
      <c r="I113" s="39">
        <v>55910788.304567933</v>
      </c>
      <c r="J113" s="39">
        <v>34903111.203136042</v>
      </c>
      <c r="K113" s="39">
        <v>21007677.101431891</v>
      </c>
      <c r="L113" s="20"/>
      <c r="M113" s="103" t="s">
        <v>41</v>
      </c>
      <c r="N113" s="104"/>
      <c r="O113" s="39">
        <v>52753179.787598707</v>
      </c>
      <c r="P113" s="39">
        <v>34903111.203136042</v>
      </c>
      <c r="Q113" s="39">
        <v>17850068.584462665</v>
      </c>
      <c r="R113" s="20"/>
      <c r="S113" s="103" t="s">
        <v>41</v>
      </c>
      <c r="T113" s="104"/>
      <c r="U113" s="39">
        <v>56521499.623620428</v>
      </c>
      <c r="V113" s="39">
        <v>34903111.203136042</v>
      </c>
      <c r="W113" s="39">
        <v>21618388.420484386</v>
      </c>
      <c r="X113" s="20"/>
      <c r="Y113" s="117" t="s">
        <v>41</v>
      </c>
      <c r="Z113" s="118"/>
      <c r="AA113" s="76" t="s">
        <v>97</v>
      </c>
      <c r="AB113" s="77" t="s">
        <v>97</v>
      </c>
      <c r="AC113" s="77" t="s">
        <v>97</v>
      </c>
      <c r="AD113" s="72"/>
      <c r="AE113" s="103" t="s">
        <v>41</v>
      </c>
      <c r="AF113" s="104"/>
      <c r="AG113" s="39">
        <v>46999248.992761642</v>
      </c>
      <c r="AH113" s="39">
        <v>34903111.203136042</v>
      </c>
      <c r="AI113" s="39">
        <v>12096137.7896256</v>
      </c>
    </row>
    <row r="114" spans="1:35" x14ac:dyDescent="0.2">
      <c r="A114" s="103" t="s">
        <v>42</v>
      </c>
      <c r="B114" s="104"/>
      <c r="C114" s="39">
        <v>39520824.102383755</v>
      </c>
      <c r="D114" s="39">
        <v>20251371.682264812</v>
      </c>
      <c r="E114" s="39">
        <v>19269452.420118943</v>
      </c>
      <c r="G114" s="103" t="s">
        <v>42</v>
      </c>
      <c r="H114" s="104"/>
      <c r="I114" s="39">
        <v>33530827.384968523</v>
      </c>
      <c r="J114" s="39">
        <v>20251371.682264812</v>
      </c>
      <c r="K114" s="39">
        <v>13279455.702703711</v>
      </c>
      <c r="M114" s="103" t="s">
        <v>42</v>
      </c>
      <c r="N114" s="104"/>
      <c r="O114" s="39">
        <v>31223047.778421726</v>
      </c>
      <c r="P114" s="39">
        <v>20251371.682264812</v>
      </c>
      <c r="Q114" s="39">
        <v>10971676.096156914</v>
      </c>
      <c r="S114" s="103" t="s">
        <v>42</v>
      </c>
      <c r="T114" s="104"/>
      <c r="U114" s="39">
        <v>33354499.695319399</v>
      </c>
      <c r="V114" s="39">
        <v>20251371.682264812</v>
      </c>
      <c r="W114" s="39">
        <v>13103128.013054587</v>
      </c>
      <c r="Y114" s="117" t="s">
        <v>42</v>
      </c>
      <c r="Z114" s="118"/>
      <c r="AA114" s="76" t="s">
        <v>97</v>
      </c>
      <c r="AB114" s="77" t="s">
        <v>97</v>
      </c>
      <c r="AC114" s="77" t="s">
        <v>97</v>
      </c>
      <c r="AD114" s="46"/>
      <c r="AE114" s="103" t="s">
        <v>42</v>
      </c>
      <c r="AF114" s="104"/>
      <c r="AG114" s="39">
        <v>27571929.722007178</v>
      </c>
      <c r="AH114" s="39">
        <v>20251371.682264812</v>
      </c>
      <c r="AI114" s="39">
        <v>7320558.0397423655</v>
      </c>
    </row>
    <row r="115" spans="1:35" x14ac:dyDescent="0.2">
      <c r="A115" s="103" t="s">
        <v>43</v>
      </c>
      <c r="B115" s="104"/>
      <c r="C115" s="39">
        <v>18314847.588950787</v>
      </c>
      <c r="D115" s="39">
        <v>26564760.654975362</v>
      </c>
      <c r="E115" s="39">
        <v>-8249913.0660245754</v>
      </c>
      <c r="G115" s="103" t="s">
        <v>43</v>
      </c>
      <c r="H115" s="104"/>
      <c r="I115" s="39">
        <v>22221453.118547957</v>
      </c>
      <c r="J115" s="39">
        <v>26564760.654975362</v>
      </c>
      <c r="K115" s="39">
        <v>-4343307.5364274047</v>
      </c>
      <c r="M115" s="103" t="s">
        <v>43</v>
      </c>
      <c r="N115" s="104"/>
      <c r="O115" s="39">
        <v>22998811.943523925</v>
      </c>
      <c r="P115" s="39">
        <v>26564760.654975362</v>
      </c>
      <c r="Q115" s="39">
        <v>-3565948.7114514373</v>
      </c>
      <c r="S115" s="103" t="s">
        <v>43</v>
      </c>
      <c r="T115" s="104"/>
      <c r="U115" s="39">
        <v>20537172.259103611</v>
      </c>
      <c r="V115" s="39">
        <v>26564760.654975362</v>
      </c>
      <c r="W115" s="39">
        <v>-6027588.395871751</v>
      </c>
      <c r="Y115" s="117" t="s">
        <v>43</v>
      </c>
      <c r="Z115" s="118"/>
      <c r="AA115" s="76" t="s">
        <v>97</v>
      </c>
      <c r="AB115" s="77" t="s">
        <v>97</v>
      </c>
      <c r="AC115" s="77" t="s">
        <v>97</v>
      </c>
      <c r="AD115" s="46"/>
      <c r="AE115" s="103" t="s">
        <v>43</v>
      </c>
      <c r="AF115" s="104"/>
      <c r="AG115" s="39">
        <v>31140939.153535742</v>
      </c>
      <c r="AH115" s="39">
        <v>29803901.010693911</v>
      </c>
      <c r="AI115" s="39">
        <v>1337038.1428418308</v>
      </c>
    </row>
    <row r="116" spans="1:35" x14ac:dyDescent="0.2">
      <c r="A116" s="103" t="s">
        <v>44</v>
      </c>
      <c r="B116" s="104"/>
      <c r="C116" s="39">
        <v>11257059.882209413</v>
      </c>
      <c r="D116" s="39">
        <v>39230249.714326136</v>
      </c>
      <c r="E116" s="39">
        <v>-27973189.832116723</v>
      </c>
      <c r="G116" s="103" t="s">
        <v>44</v>
      </c>
      <c r="H116" s="104"/>
      <c r="I116" s="39">
        <v>16801904.676478121</v>
      </c>
      <c r="J116" s="39">
        <v>39230249.714326136</v>
      </c>
      <c r="K116" s="39">
        <v>-22428345.037848014</v>
      </c>
      <c r="M116" s="103" t="s">
        <v>44</v>
      </c>
      <c r="N116" s="104"/>
      <c r="O116" s="39">
        <v>20460732.698749743</v>
      </c>
      <c r="P116" s="39">
        <v>39230249.714326136</v>
      </c>
      <c r="Q116" s="39">
        <v>-18769517.015576392</v>
      </c>
      <c r="S116" s="103" t="s">
        <v>44</v>
      </c>
      <c r="T116" s="104"/>
      <c r="U116" s="39">
        <v>17105859.002013132</v>
      </c>
      <c r="V116" s="39">
        <v>39230249.714326136</v>
      </c>
      <c r="W116" s="39">
        <v>-22124390.712313004</v>
      </c>
      <c r="Y116" s="117" t="s">
        <v>44</v>
      </c>
      <c r="Z116" s="118"/>
      <c r="AA116" s="76" t="s">
        <v>97</v>
      </c>
      <c r="AB116" s="77" t="s">
        <v>97</v>
      </c>
      <c r="AC116" s="77" t="s">
        <v>97</v>
      </c>
      <c r="AD116" s="46"/>
      <c r="AE116" s="103" t="s">
        <v>44</v>
      </c>
      <c r="AF116" s="104"/>
      <c r="AG116" s="39">
        <v>28553654.626654509</v>
      </c>
      <c r="AH116" s="39">
        <v>52586480.528434657</v>
      </c>
      <c r="AI116" s="39">
        <v>-24032825.901780147</v>
      </c>
    </row>
    <row r="117" spans="1:35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51"/>
      <c r="Z117" s="51"/>
      <c r="AA117" s="51"/>
      <c r="AB117" s="51"/>
      <c r="AC117" s="51"/>
      <c r="AD117" s="51"/>
      <c r="AE117" s="6"/>
      <c r="AF117" s="6"/>
      <c r="AG117" s="6"/>
      <c r="AH117" s="6"/>
      <c r="AI117" s="6"/>
    </row>
    <row r="118" spans="1:35" x14ac:dyDescent="0.2">
      <c r="A118" s="106" t="s">
        <v>70</v>
      </c>
      <c r="B118" s="107"/>
      <c r="C118" s="39">
        <v>14702.857869785799</v>
      </c>
      <c r="D118" s="39">
        <v>14313.6484367952</v>
      </c>
      <c r="E118" s="39">
        <v>389.20943299059945</v>
      </c>
      <c r="F118" s="20"/>
      <c r="G118" s="106" t="s">
        <v>70</v>
      </c>
      <c r="H118" s="107"/>
      <c r="I118" s="39">
        <v>14646.259709346999</v>
      </c>
      <c r="J118" s="39">
        <v>14313.6484367952</v>
      </c>
      <c r="K118" s="39">
        <v>332.61127255179963</v>
      </c>
      <c r="L118" s="20"/>
      <c r="M118" s="106" t="s">
        <v>70</v>
      </c>
      <c r="N118" s="107"/>
      <c r="O118" s="39">
        <v>14771.2493180768</v>
      </c>
      <c r="P118" s="39">
        <v>14313.6484367952</v>
      </c>
      <c r="Q118" s="39">
        <v>457.60088128159987</v>
      </c>
      <c r="R118" s="20"/>
      <c r="S118" s="106" t="s">
        <v>70</v>
      </c>
      <c r="T118" s="107"/>
      <c r="U118" s="39">
        <v>14481.633757473501</v>
      </c>
      <c r="V118" s="39">
        <v>14313.6484367952</v>
      </c>
      <c r="W118" s="39">
        <v>167.98532067830092</v>
      </c>
      <c r="X118" s="20"/>
      <c r="Y118" s="125" t="s">
        <v>70</v>
      </c>
      <c r="Z118" s="126"/>
      <c r="AA118" s="87">
        <v>14546.82</v>
      </c>
      <c r="AB118" s="100">
        <v>14313.65</v>
      </c>
      <c r="AC118" s="100">
        <v>233.17</v>
      </c>
      <c r="AD118" s="72"/>
      <c r="AE118" s="106" t="s">
        <v>70</v>
      </c>
      <c r="AF118" s="107"/>
      <c r="AG118" s="39">
        <v>16032.3837200814</v>
      </c>
      <c r="AH118" s="39">
        <v>16166.6092191484</v>
      </c>
      <c r="AI118" s="39">
        <v>-134.22549906700078</v>
      </c>
    </row>
    <row r="119" spans="1:35" x14ac:dyDescent="0.2">
      <c r="A119" s="103" t="s">
        <v>41</v>
      </c>
      <c r="B119" s="104"/>
      <c r="C119" s="39">
        <v>4928.7353087768797</v>
      </c>
      <c r="D119" s="39">
        <v>3407.1691677834101</v>
      </c>
      <c r="E119" s="39">
        <v>1521.5661409934696</v>
      </c>
      <c r="F119" s="20"/>
      <c r="G119" s="103" t="s">
        <v>41</v>
      </c>
      <c r="H119" s="104"/>
      <c r="I119" s="39">
        <v>4427.48842535327</v>
      </c>
      <c r="J119" s="39">
        <v>3407.1691677834101</v>
      </c>
      <c r="K119" s="39">
        <v>1020.3192575698599</v>
      </c>
      <c r="L119" s="20"/>
      <c r="M119" s="103" t="s">
        <v>41</v>
      </c>
      <c r="N119" s="104"/>
      <c r="O119" s="39">
        <v>4279.4326427165097</v>
      </c>
      <c r="P119" s="39">
        <v>3407.1691677834101</v>
      </c>
      <c r="Q119" s="39">
        <v>872.26347493309959</v>
      </c>
      <c r="R119" s="20"/>
      <c r="S119" s="103" t="s">
        <v>41</v>
      </c>
      <c r="T119" s="104"/>
      <c r="U119" s="39">
        <v>4451.2697164129804</v>
      </c>
      <c r="V119" s="39">
        <v>3407.1691677834101</v>
      </c>
      <c r="W119" s="39">
        <v>1044.1005486295703</v>
      </c>
      <c r="X119" s="20"/>
      <c r="Y119" s="117" t="s">
        <v>41</v>
      </c>
      <c r="Z119" s="118"/>
      <c r="AA119" s="76">
        <v>4021.35</v>
      </c>
      <c r="AB119" s="77">
        <v>3407.17</v>
      </c>
      <c r="AC119" s="77">
        <v>614.17999999999995</v>
      </c>
      <c r="AD119" s="72"/>
      <c r="AE119" s="103" t="s">
        <v>41</v>
      </c>
      <c r="AF119" s="104"/>
      <c r="AG119" s="39">
        <v>4021.3459610949199</v>
      </c>
      <c r="AH119" s="39">
        <v>3407.1691677834101</v>
      </c>
      <c r="AI119" s="39">
        <v>614.17679331150975</v>
      </c>
    </row>
    <row r="120" spans="1:35" x14ac:dyDescent="0.2">
      <c r="A120" s="103" t="s">
        <v>42</v>
      </c>
      <c r="B120" s="104"/>
      <c r="C120" s="39">
        <v>4384.9970794559204</v>
      </c>
      <c r="D120" s="39">
        <v>2998.0369975786102</v>
      </c>
      <c r="E120" s="39">
        <v>1386.9600818773101</v>
      </c>
      <c r="G120" s="103" t="s">
        <v>42</v>
      </c>
      <c r="H120" s="104"/>
      <c r="I120" s="39">
        <v>3980.86928150222</v>
      </c>
      <c r="J120" s="39">
        <v>2998.0369975786102</v>
      </c>
      <c r="K120" s="39">
        <v>982.83228392360979</v>
      </c>
      <c r="M120" s="103" t="s">
        <v>42</v>
      </c>
      <c r="N120" s="104"/>
      <c r="O120" s="39">
        <v>3815.91968188496</v>
      </c>
      <c r="P120" s="39">
        <v>2998.0369975786102</v>
      </c>
      <c r="Q120" s="39">
        <v>817.8826843063498</v>
      </c>
      <c r="S120" s="103" t="s">
        <v>42</v>
      </c>
      <c r="T120" s="104"/>
      <c r="U120" s="39">
        <v>3975.1487624546098</v>
      </c>
      <c r="V120" s="39">
        <v>2998.0369975786102</v>
      </c>
      <c r="W120" s="39">
        <v>977.1117648759996</v>
      </c>
      <c r="Y120" s="117" t="s">
        <v>42</v>
      </c>
      <c r="Z120" s="118"/>
      <c r="AA120" s="76">
        <v>3572.81</v>
      </c>
      <c r="AB120" s="77">
        <v>2998.04</v>
      </c>
      <c r="AC120" s="77">
        <v>574.77</v>
      </c>
      <c r="AD120" s="46"/>
      <c r="AE120" s="103" t="s">
        <v>42</v>
      </c>
      <c r="AF120" s="104"/>
      <c r="AG120" s="39">
        <v>3572.8086239762501</v>
      </c>
      <c r="AH120" s="39">
        <v>2998.0369975786102</v>
      </c>
      <c r="AI120" s="39">
        <v>574.77162639763992</v>
      </c>
    </row>
    <row r="121" spans="1:35" x14ac:dyDescent="0.2">
      <c r="A121" s="103" t="s">
        <v>43</v>
      </c>
      <c r="B121" s="104"/>
      <c r="C121" s="39">
        <v>3215.1621263632001</v>
      </c>
      <c r="D121" s="39">
        <v>3841.8131939448199</v>
      </c>
      <c r="E121" s="39">
        <v>-626.65106758161983</v>
      </c>
      <c r="G121" s="103" t="s">
        <v>43</v>
      </c>
      <c r="H121" s="104"/>
      <c r="I121" s="39">
        <v>3547.88027346631</v>
      </c>
      <c r="J121" s="39">
        <v>3841.8131939448199</v>
      </c>
      <c r="K121" s="39">
        <v>-293.93292047850991</v>
      </c>
      <c r="M121" s="103" t="s">
        <v>43</v>
      </c>
      <c r="N121" s="104"/>
      <c r="O121" s="39">
        <v>3624.9791149921298</v>
      </c>
      <c r="P121" s="39">
        <v>3841.8131939448199</v>
      </c>
      <c r="Q121" s="39">
        <v>-216.83407895269011</v>
      </c>
      <c r="S121" s="103" t="s">
        <v>43</v>
      </c>
      <c r="T121" s="104"/>
      <c r="U121" s="39">
        <v>3382.5713700459801</v>
      </c>
      <c r="V121" s="39">
        <v>3841.8131939448199</v>
      </c>
      <c r="W121" s="39">
        <v>-459.24182389883981</v>
      </c>
      <c r="Y121" s="117" t="s">
        <v>43</v>
      </c>
      <c r="Z121" s="118"/>
      <c r="AA121" s="76">
        <v>3966.43</v>
      </c>
      <c r="AB121" s="77">
        <v>3841.81</v>
      </c>
      <c r="AC121" s="77">
        <v>124.62</v>
      </c>
      <c r="AD121" s="46"/>
      <c r="AE121" s="103" t="s">
        <v>43</v>
      </c>
      <c r="AF121" s="104"/>
      <c r="AG121" s="39">
        <v>4442.4467220547303</v>
      </c>
      <c r="AH121" s="39">
        <v>4310.2598070073</v>
      </c>
      <c r="AI121" s="39">
        <v>132.18691504743038</v>
      </c>
    </row>
    <row r="122" spans="1:35" x14ac:dyDescent="0.2">
      <c r="A122" s="103" t="s">
        <v>44</v>
      </c>
      <c r="B122" s="104"/>
      <c r="C122" s="39">
        <v>2173.9633551898</v>
      </c>
      <c r="D122" s="39">
        <v>4066.62907748833</v>
      </c>
      <c r="E122" s="39">
        <v>-1892.66572229853</v>
      </c>
      <c r="G122" s="103" t="s">
        <v>44</v>
      </c>
      <c r="H122" s="104"/>
      <c r="I122" s="39">
        <v>2690.0217290251899</v>
      </c>
      <c r="J122" s="39">
        <v>4066.62907748833</v>
      </c>
      <c r="K122" s="39">
        <v>-1376.6073484631402</v>
      </c>
      <c r="M122" s="103" t="s">
        <v>44</v>
      </c>
      <c r="N122" s="104"/>
      <c r="O122" s="39">
        <v>3050.9178784832302</v>
      </c>
      <c r="P122" s="39">
        <v>4066.62907748833</v>
      </c>
      <c r="Q122" s="39">
        <v>-1015.7111990050998</v>
      </c>
      <c r="S122" s="103" t="s">
        <v>44</v>
      </c>
      <c r="T122" s="104"/>
      <c r="U122" s="39">
        <v>2672.6439085599</v>
      </c>
      <c r="V122" s="39">
        <v>4066.62907748833</v>
      </c>
      <c r="W122" s="39">
        <v>-1393.9851689284301</v>
      </c>
      <c r="Y122" s="117" t="s">
        <v>44</v>
      </c>
      <c r="Z122" s="118"/>
      <c r="AA122" s="76">
        <v>2986.24</v>
      </c>
      <c r="AB122" s="77">
        <v>4066.63</v>
      </c>
      <c r="AC122" s="77">
        <v>-1080.3900000000001</v>
      </c>
      <c r="AD122" s="46"/>
      <c r="AE122" s="103" t="s">
        <v>44</v>
      </c>
      <c r="AF122" s="104"/>
      <c r="AG122" s="39">
        <v>3995.7824129554601</v>
      </c>
      <c r="AH122" s="39">
        <v>5451.1432467790901</v>
      </c>
      <c r="AI122" s="39">
        <v>-1455.3608338236299</v>
      </c>
    </row>
    <row r="123" spans="1:35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51"/>
      <c r="Z123" s="51"/>
      <c r="AA123" s="51"/>
      <c r="AB123" s="51"/>
      <c r="AC123" s="51"/>
      <c r="AD123" s="51"/>
      <c r="AE123" s="6"/>
      <c r="AF123" s="6"/>
      <c r="AG123" s="6"/>
      <c r="AH123" s="6"/>
      <c r="AI123" s="6"/>
    </row>
    <row r="124" spans="1:35" ht="17" thickBot="1" x14ac:dyDescent="0.25">
      <c r="A124" s="2" t="s">
        <v>71</v>
      </c>
      <c r="B124" s="4"/>
      <c r="C124" s="5"/>
      <c r="D124" s="5"/>
      <c r="E124" s="5"/>
      <c r="F124" s="2"/>
      <c r="G124" s="3"/>
      <c r="H124" s="4"/>
      <c r="I124" s="5"/>
      <c r="J124" s="5"/>
      <c r="K124" s="5"/>
      <c r="L124" s="2"/>
      <c r="M124" s="3"/>
      <c r="N124" s="4"/>
      <c r="O124" s="5"/>
      <c r="P124" s="5"/>
      <c r="Q124" s="5"/>
      <c r="R124" s="2"/>
      <c r="S124" s="3"/>
      <c r="T124" s="4"/>
      <c r="U124" s="5"/>
      <c r="V124" s="5"/>
      <c r="W124" s="5"/>
      <c r="X124" s="2"/>
      <c r="Y124" s="48"/>
      <c r="Z124" s="48"/>
      <c r="AA124" s="50"/>
      <c r="AB124" s="50"/>
      <c r="AC124" s="50"/>
      <c r="AD124" s="48"/>
      <c r="AE124" s="3"/>
      <c r="AF124" s="4"/>
      <c r="AG124" s="5"/>
      <c r="AH124" s="5"/>
      <c r="AI124" s="5"/>
    </row>
    <row r="125" spans="1:35" x14ac:dyDescent="0.2">
      <c r="C125" s="6"/>
      <c r="D125" s="6"/>
      <c r="E125" s="6"/>
      <c r="I125" s="6"/>
      <c r="J125" s="6"/>
      <c r="K125" s="6"/>
      <c r="O125" s="6"/>
      <c r="P125" s="6"/>
      <c r="Q125" s="6"/>
      <c r="U125" s="6"/>
      <c r="V125" s="6"/>
      <c r="W125" s="6"/>
      <c r="Y125" s="46"/>
      <c r="Z125" s="46"/>
      <c r="AA125" s="51"/>
      <c r="AB125" s="51"/>
      <c r="AC125" s="51"/>
      <c r="AD125" s="46"/>
      <c r="AG125" s="6"/>
      <c r="AH125" s="6"/>
      <c r="AI125" s="6"/>
    </row>
    <row r="126" spans="1:35" x14ac:dyDescent="0.2">
      <c r="B126" s="34"/>
      <c r="C126" s="8" t="s">
        <v>4</v>
      </c>
      <c r="D126" s="8" t="s">
        <v>5</v>
      </c>
      <c r="E126" s="8" t="s">
        <v>6</v>
      </c>
      <c r="H126" s="34"/>
      <c r="I126" s="8" t="s">
        <v>4</v>
      </c>
      <c r="J126" s="8" t="s">
        <v>5</v>
      </c>
      <c r="K126" s="8" t="s">
        <v>6</v>
      </c>
      <c r="N126" s="34"/>
      <c r="O126" s="8" t="s">
        <v>4</v>
      </c>
      <c r="P126" s="8" t="s">
        <v>5</v>
      </c>
      <c r="Q126" s="8" t="s">
        <v>6</v>
      </c>
      <c r="T126" s="34"/>
      <c r="U126" s="8" t="s">
        <v>4</v>
      </c>
      <c r="V126" s="8" t="s">
        <v>5</v>
      </c>
      <c r="W126" s="8" t="s">
        <v>6</v>
      </c>
      <c r="Y126" s="46"/>
      <c r="Z126" s="63"/>
      <c r="AA126" s="53" t="s">
        <v>4</v>
      </c>
      <c r="AB126" s="54" t="s">
        <v>5</v>
      </c>
      <c r="AC126" s="54" t="s">
        <v>6</v>
      </c>
      <c r="AD126" s="46"/>
      <c r="AF126" s="34"/>
      <c r="AG126" s="8" t="s">
        <v>4</v>
      </c>
      <c r="AH126" s="8" t="s">
        <v>5</v>
      </c>
      <c r="AI126" s="8" t="s">
        <v>6</v>
      </c>
    </row>
    <row r="127" spans="1:35" x14ac:dyDescent="0.2">
      <c r="A127" s="106" t="s">
        <v>72</v>
      </c>
      <c r="B127" s="107"/>
      <c r="C127" s="18">
        <v>7387.0764059763696</v>
      </c>
      <c r="D127" s="18">
        <v>0</v>
      </c>
      <c r="E127" s="18">
        <v>7387.0764059763696</v>
      </c>
      <c r="G127" s="106" t="s">
        <v>72</v>
      </c>
      <c r="H127" s="107"/>
      <c r="I127" s="18">
        <v>5501.0518677750097</v>
      </c>
      <c r="J127" s="18">
        <v>0</v>
      </c>
      <c r="K127" s="18">
        <v>5501.0518677750097</v>
      </c>
      <c r="M127" s="106" t="s">
        <v>72</v>
      </c>
      <c r="N127" s="107"/>
      <c r="O127" s="18">
        <v>4751.2615028667897</v>
      </c>
      <c r="P127" s="18">
        <v>0</v>
      </c>
      <c r="Q127" s="18">
        <v>4751.2615028667897</v>
      </c>
      <c r="S127" s="106" t="s">
        <v>72</v>
      </c>
      <c r="T127" s="107"/>
      <c r="U127" s="18">
        <v>5364.58316770895</v>
      </c>
      <c r="V127" s="18">
        <v>0</v>
      </c>
      <c r="W127" s="18">
        <v>5364.58316770895</v>
      </c>
      <c r="Y127" s="125" t="s">
        <v>72</v>
      </c>
      <c r="Z127" s="126"/>
      <c r="AA127" s="68">
        <v>3747</v>
      </c>
      <c r="AB127" s="69">
        <v>0</v>
      </c>
      <c r="AC127" s="69">
        <v>3747</v>
      </c>
      <c r="AD127" s="46"/>
      <c r="AE127" s="106" t="s">
        <v>72</v>
      </c>
      <c r="AF127" s="107"/>
      <c r="AG127" s="18">
        <v>3746.84252901527</v>
      </c>
      <c r="AH127" s="18">
        <v>0</v>
      </c>
      <c r="AI127" s="18">
        <v>3746.84252901527</v>
      </c>
    </row>
    <row r="128" spans="1:35" x14ac:dyDescent="0.2">
      <c r="A128" s="103" t="s">
        <v>19</v>
      </c>
      <c r="B128" s="104"/>
      <c r="C128" s="18">
        <v>3429.1266839077498</v>
      </c>
      <c r="D128" s="18">
        <v>0</v>
      </c>
      <c r="E128" s="18">
        <v>3429.1266839077498</v>
      </c>
      <c r="G128" s="103" t="s">
        <v>19</v>
      </c>
      <c r="H128" s="104"/>
      <c r="I128" s="18">
        <v>2384.0842879892298</v>
      </c>
      <c r="J128" s="18">
        <v>0</v>
      </c>
      <c r="K128" s="18">
        <v>2384.0842879892298</v>
      </c>
      <c r="M128" s="103" t="s">
        <v>19</v>
      </c>
      <c r="N128" s="104"/>
      <c r="O128" s="18">
        <v>2083.1227658785601</v>
      </c>
      <c r="P128" s="18">
        <v>0</v>
      </c>
      <c r="Q128" s="18">
        <v>2083.1227658785601</v>
      </c>
      <c r="S128" s="103" t="s">
        <v>19</v>
      </c>
      <c r="T128" s="104"/>
      <c r="U128" s="18">
        <v>2453.8169037439002</v>
      </c>
      <c r="V128" s="18">
        <v>0</v>
      </c>
      <c r="W128" s="18">
        <v>2453.8169037439002</v>
      </c>
      <c r="Y128" s="117" t="s">
        <v>19</v>
      </c>
      <c r="Z128" s="118"/>
      <c r="AA128" s="70">
        <v>1443</v>
      </c>
      <c r="AB128" s="71">
        <v>0</v>
      </c>
      <c r="AC128" s="71">
        <v>1443</v>
      </c>
      <c r="AD128" s="46"/>
      <c r="AE128" s="103" t="s">
        <v>19</v>
      </c>
      <c r="AF128" s="104"/>
      <c r="AG128" s="18">
        <v>1443.4217080846499</v>
      </c>
      <c r="AH128" s="18">
        <v>0</v>
      </c>
      <c r="AI128" s="18">
        <v>1443.4217080846499</v>
      </c>
    </row>
    <row r="129" spans="1:35" x14ac:dyDescent="0.2">
      <c r="A129" s="103" t="s">
        <v>20</v>
      </c>
      <c r="B129" s="104"/>
      <c r="C129" s="18">
        <v>2999.4895802268602</v>
      </c>
      <c r="D129" s="18">
        <v>0</v>
      </c>
      <c r="E129" s="18">
        <v>2999.4895802268602</v>
      </c>
      <c r="G129" s="103" t="s">
        <v>20</v>
      </c>
      <c r="H129" s="104"/>
      <c r="I129" s="18">
        <v>2204.5623764317402</v>
      </c>
      <c r="J129" s="18">
        <v>0</v>
      </c>
      <c r="K129" s="18">
        <v>2204.5623764317402</v>
      </c>
      <c r="M129" s="103" t="s">
        <v>20</v>
      </c>
      <c r="N129" s="104"/>
      <c r="O129" s="18">
        <v>1897.3720572342099</v>
      </c>
      <c r="P129" s="18">
        <v>0</v>
      </c>
      <c r="Q129" s="18">
        <v>1897.3720572342099</v>
      </c>
      <c r="S129" s="103" t="s">
        <v>20</v>
      </c>
      <c r="T129" s="104"/>
      <c r="U129" s="18">
        <v>2175.6330606043898</v>
      </c>
      <c r="V129" s="18">
        <v>0</v>
      </c>
      <c r="W129" s="18">
        <v>2175.6330606043898</v>
      </c>
      <c r="Y129" s="117" t="s">
        <v>20</v>
      </c>
      <c r="Z129" s="118"/>
      <c r="AA129" s="70">
        <v>1280</v>
      </c>
      <c r="AB129" s="71">
        <v>0</v>
      </c>
      <c r="AC129" s="71">
        <v>1280</v>
      </c>
      <c r="AD129" s="46"/>
      <c r="AE129" s="103" t="s">
        <v>20</v>
      </c>
      <c r="AF129" s="104"/>
      <c r="AG129" s="18">
        <v>1279.7841532967</v>
      </c>
      <c r="AH129" s="18">
        <v>0</v>
      </c>
      <c r="AI129" s="18">
        <v>1279.7841532967</v>
      </c>
    </row>
    <row r="130" spans="1:35" x14ac:dyDescent="0.2">
      <c r="A130" s="103" t="s">
        <v>21</v>
      </c>
      <c r="B130" s="104"/>
      <c r="C130" s="18">
        <v>958.46014184175999</v>
      </c>
      <c r="D130" s="18">
        <v>0</v>
      </c>
      <c r="E130" s="18">
        <v>958.46014184175999</v>
      </c>
      <c r="G130" s="103" t="s">
        <v>21</v>
      </c>
      <c r="H130" s="104"/>
      <c r="I130" s="18">
        <v>912.40520335403801</v>
      </c>
      <c r="J130" s="18">
        <v>0</v>
      </c>
      <c r="K130" s="18">
        <v>912.40520335403801</v>
      </c>
      <c r="M130" s="103" t="s">
        <v>21</v>
      </c>
      <c r="N130" s="104"/>
      <c r="O130" s="18">
        <v>770.76667975402495</v>
      </c>
      <c r="P130" s="18">
        <v>0</v>
      </c>
      <c r="Q130" s="18">
        <v>770.76667975402495</v>
      </c>
      <c r="S130" s="103" t="s">
        <v>21</v>
      </c>
      <c r="T130" s="104"/>
      <c r="U130" s="18">
        <v>735.13320336066499</v>
      </c>
      <c r="V130" s="18">
        <v>0</v>
      </c>
      <c r="W130" s="18">
        <v>735.13320336066499</v>
      </c>
      <c r="Y130" s="117" t="s">
        <v>21</v>
      </c>
      <c r="Z130" s="118"/>
      <c r="AA130" s="70">
        <v>1024</v>
      </c>
      <c r="AB130" s="71">
        <v>0</v>
      </c>
      <c r="AC130" s="71">
        <v>1024</v>
      </c>
      <c r="AD130" s="46"/>
      <c r="AE130" s="103" t="s">
        <v>21</v>
      </c>
      <c r="AF130" s="104"/>
      <c r="AG130" s="18">
        <v>1023.63666763392</v>
      </c>
      <c r="AH130" s="18">
        <v>0</v>
      </c>
      <c r="AI130" s="18">
        <v>1023.63666763392</v>
      </c>
    </row>
    <row r="131" spans="1:35" x14ac:dyDescent="0.2">
      <c r="A131" s="103" t="s">
        <v>22</v>
      </c>
      <c r="B131" s="104"/>
      <c r="C131" s="18">
        <v>0</v>
      </c>
      <c r="D131" s="18">
        <v>0</v>
      </c>
      <c r="E131" s="18">
        <v>0</v>
      </c>
      <c r="G131" s="103" t="s">
        <v>22</v>
      </c>
      <c r="H131" s="104"/>
      <c r="I131" s="18">
        <v>0</v>
      </c>
      <c r="J131" s="18">
        <v>0</v>
      </c>
      <c r="K131" s="18">
        <v>0</v>
      </c>
      <c r="M131" s="103" t="s">
        <v>22</v>
      </c>
      <c r="N131" s="104"/>
      <c r="O131" s="18">
        <v>0</v>
      </c>
      <c r="P131" s="18">
        <v>0</v>
      </c>
      <c r="Q131" s="18">
        <v>0</v>
      </c>
      <c r="S131" s="103" t="s">
        <v>22</v>
      </c>
      <c r="T131" s="104"/>
      <c r="U131" s="18">
        <v>0</v>
      </c>
      <c r="V131" s="18">
        <v>0</v>
      </c>
      <c r="W131" s="18">
        <v>0</v>
      </c>
      <c r="Y131" s="117" t="s">
        <v>22</v>
      </c>
      <c r="Z131" s="118"/>
      <c r="AA131" s="70">
        <v>0</v>
      </c>
      <c r="AB131" s="71">
        <v>0</v>
      </c>
      <c r="AC131" s="71">
        <v>0</v>
      </c>
      <c r="AD131" s="46"/>
      <c r="AE131" s="103" t="s">
        <v>22</v>
      </c>
      <c r="AF131" s="104"/>
      <c r="AG131" s="18">
        <v>0</v>
      </c>
      <c r="AH131" s="18">
        <v>0</v>
      </c>
      <c r="AI131" s="18">
        <v>0</v>
      </c>
    </row>
    <row r="132" spans="1:35" x14ac:dyDescent="0.2">
      <c r="B132" s="34"/>
      <c r="C132" s="34"/>
      <c r="D132" s="34"/>
      <c r="E132" s="34"/>
      <c r="H132" s="34"/>
      <c r="I132" s="34"/>
      <c r="J132" s="34"/>
      <c r="K132" s="34"/>
      <c r="N132" s="34"/>
      <c r="O132" s="34"/>
      <c r="P132" s="34"/>
      <c r="Q132" s="34"/>
      <c r="T132" s="34"/>
      <c r="U132" s="34"/>
      <c r="V132" s="34"/>
      <c r="W132" s="34"/>
      <c r="Y132" s="46"/>
      <c r="Z132" s="63"/>
      <c r="AA132" s="63"/>
      <c r="AB132" s="63"/>
      <c r="AC132" s="63"/>
      <c r="AD132" s="46"/>
      <c r="AF132" s="34"/>
      <c r="AG132" s="34"/>
      <c r="AH132" s="34"/>
      <c r="AI132" s="34"/>
    </row>
    <row r="133" spans="1:35" x14ac:dyDescent="0.2">
      <c r="A133" s="106" t="s">
        <v>67</v>
      </c>
      <c r="B133" s="107" t="s">
        <v>12</v>
      </c>
      <c r="C133" s="9">
        <v>6.7930550840792598</v>
      </c>
      <c r="D133" s="9">
        <v>0</v>
      </c>
      <c r="E133" s="9">
        <v>6.7930550840792598</v>
      </c>
      <c r="G133" s="106" t="s">
        <v>67</v>
      </c>
      <c r="H133" s="107" t="s">
        <v>12</v>
      </c>
      <c r="I133" s="9">
        <v>5.9632320380549597</v>
      </c>
      <c r="J133" s="9">
        <v>0</v>
      </c>
      <c r="K133" s="9">
        <v>5.9632320380549597</v>
      </c>
      <c r="M133" s="106" t="s">
        <v>67</v>
      </c>
      <c r="N133" s="107" t="s">
        <v>12</v>
      </c>
      <c r="O133" s="9">
        <v>5.7894308217163903</v>
      </c>
      <c r="P133" s="9">
        <v>0</v>
      </c>
      <c r="Q133" s="9">
        <v>5.7894308217163903</v>
      </c>
      <c r="S133" s="106" t="s">
        <v>67</v>
      </c>
      <c r="T133" s="107" t="s">
        <v>12</v>
      </c>
      <c r="U133" s="9">
        <v>6.2094062267261201</v>
      </c>
      <c r="V133" s="9">
        <v>0</v>
      </c>
      <c r="W133" s="9">
        <v>6.2094062267261201</v>
      </c>
      <c r="Y133" s="125" t="s">
        <v>67</v>
      </c>
      <c r="Z133" s="126"/>
      <c r="AA133" s="55">
        <v>5.84</v>
      </c>
      <c r="AB133" s="56">
        <v>0</v>
      </c>
      <c r="AC133" s="56">
        <v>5.84</v>
      </c>
      <c r="AD133" s="46"/>
      <c r="AE133" s="106" t="s">
        <v>67</v>
      </c>
      <c r="AF133" s="107" t="s">
        <v>12</v>
      </c>
      <c r="AG133" s="9">
        <v>5.8389726995619498</v>
      </c>
      <c r="AH133" s="9">
        <v>0</v>
      </c>
      <c r="AI133" s="9">
        <v>5.8389726995619498</v>
      </c>
    </row>
    <row r="134" spans="1:35" x14ac:dyDescent="0.2">
      <c r="A134" s="106" t="s">
        <v>68</v>
      </c>
      <c r="B134" s="107"/>
      <c r="C134" s="9">
        <v>4.8484730729374403</v>
      </c>
      <c r="D134" s="9">
        <v>0</v>
      </c>
      <c r="E134" s="9">
        <v>4.8484730729374403</v>
      </c>
      <c r="G134" s="106" t="s">
        <v>68</v>
      </c>
      <c r="H134" s="107"/>
      <c r="I134" s="9">
        <v>4.2101008764780703</v>
      </c>
      <c r="J134" s="9">
        <v>0</v>
      </c>
      <c r="K134" s="9">
        <v>4.2101008764780703</v>
      </c>
      <c r="M134" s="106" t="s">
        <v>68</v>
      </c>
      <c r="N134" s="107"/>
      <c r="O134" s="9">
        <v>4.0934381242631703</v>
      </c>
      <c r="P134" s="9">
        <v>0</v>
      </c>
      <c r="Q134" s="9">
        <v>4.0934381242631703</v>
      </c>
      <c r="S134" s="106" t="s">
        <v>68</v>
      </c>
      <c r="T134" s="107"/>
      <c r="U134" s="9">
        <v>4.4063297552101499</v>
      </c>
      <c r="V134" s="9">
        <v>0</v>
      </c>
      <c r="W134" s="9">
        <v>4.4063297552101499</v>
      </c>
      <c r="Y134" s="125" t="s">
        <v>68</v>
      </c>
      <c r="Z134" s="126"/>
      <c r="AA134" s="59">
        <v>4.0999999999999996</v>
      </c>
      <c r="AB134" s="60">
        <v>0</v>
      </c>
      <c r="AC134" s="60">
        <v>4.0999999999999996</v>
      </c>
      <c r="AD134" s="46"/>
      <c r="AE134" s="106" t="s">
        <v>68</v>
      </c>
      <c r="AF134" s="107"/>
      <c r="AG134" s="9">
        <v>4.0982625095599303</v>
      </c>
      <c r="AH134" s="9">
        <v>0</v>
      </c>
      <c r="AI134" s="9">
        <v>4.0982625095599303</v>
      </c>
    </row>
    <row r="135" spans="1:35" x14ac:dyDescent="0.2">
      <c r="B135" s="34"/>
      <c r="C135" s="34"/>
      <c r="D135" s="34"/>
      <c r="E135" s="34"/>
      <c r="H135" s="34"/>
      <c r="I135" s="34"/>
      <c r="J135" s="34"/>
      <c r="K135" s="34"/>
      <c r="N135" s="34"/>
      <c r="O135" s="34"/>
      <c r="P135" s="34"/>
      <c r="Q135" s="34"/>
      <c r="T135" s="34"/>
      <c r="U135" s="34"/>
      <c r="V135" s="34"/>
      <c r="W135" s="34"/>
      <c r="Y135" s="46"/>
      <c r="Z135" s="63"/>
      <c r="AA135" s="63"/>
      <c r="AB135" s="63"/>
      <c r="AC135" s="63"/>
      <c r="AD135" s="46"/>
      <c r="AF135" s="34"/>
      <c r="AG135" s="34"/>
      <c r="AH135" s="34"/>
      <c r="AI135" s="34"/>
    </row>
    <row r="136" spans="1:35" x14ac:dyDescent="0.2">
      <c r="A136" s="106" t="s">
        <v>73</v>
      </c>
      <c r="B136" s="107"/>
      <c r="C136" s="39">
        <v>132089049.36670083</v>
      </c>
      <c r="D136" s="39">
        <v>0</v>
      </c>
      <c r="E136" s="39">
        <v>132089049.36670083</v>
      </c>
      <c r="F136" s="20"/>
      <c r="G136" s="106" t="s">
        <v>73</v>
      </c>
      <c r="H136" s="107"/>
      <c r="I136" s="39">
        <v>96645885.901398614</v>
      </c>
      <c r="J136" s="39">
        <v>0</v>
      </c>
      <c r="K136" s="39">
        <v>96645885.901398614</v>
      </c>
      <c r="L136" s="20"/>
      <c r="M136" s="106" t="s">
        <v>73</v>
      </c>
      <c r="N136" s="107"/>
      <c r="O136" s="39">
        <v>79710364.048259795</v>
      </c>
      <c r="P136" s="39">
        <v>0</v>
      </c>
      <c r="Q136" s="39">
        <v>79710364.048259795</v>
      </c>
      <c r="R136" s="20"/>
      <c r="S136" s="106" t="s">
        <v>73</v>
      </c>
      <c r="T136" s="107"/>
      <c r="U136" s="39">
        <v>93332565.127433836</v>
      </c>
      <c r="V136" s="39">
        <v>0</v>
      </c>
      <c r="W136" s="39">
        <v>93332565.127433836</v>
      </c>
      <c r="X136" s="20"/>
      <c r="Y136" s="125" t="s">
        <v>73</v>
      </c>
      <c r="Z136" s="126"/>
      <c r="AA136" s="87" t="s">
        <v>97</v>
      </c>
      <c r="AB136" s="100">
        <v>0</v>
      </c>
      <c r="AC136" s="100" t="s">
        <v>97</v>
      </c>
      <c r="AD136" s="72"/>
      <c r="AE136" s="106" t="s">
        <v>73</v>
      </c>
      <c r="AF136" s="107"/>
      <c r="AG136" s="39">
        <v>70643634.823509783</v>
      </c>
      <c r="AH136" s="39">
        <v>0</v>
      </c>
      <c r="AI136" s="39">
        <v>70643634.823509783</v>
      </c>
    </row>
    <row r="137" spans="1:35" x14ac:dyDescent="0.2">
      <c r="A137" s="103" t="s">
        <v>41</v>
      </c>
      <c r="B137" s="104"/>
      <c r="C137" s="39">
        <v>23704404.326621696</v>
      </c>
      <c r="D137" s="39">
        <v>0</v>
      </c>
      <c r="E137" s="39">
        <v>23704404.326621696</v>
      </c>
      <c r="F137" s="20"/>
      <c r="G137" s="103" t="s">
        <v>41</v>
      </c>
      <c r="H137" s="104"/>
      <c r="I137" s="39">
        <v>14840181.807464436</v>
      </c>
      <c r="J137" s="39">
        <v>0</v>
      </c>
      <c r="K137" s="39">
        <v>14840181.807464436</v>
      </c>
      <c r="L137" s="20"/>
      <c r="M137" s="103" t="s">
        <v>41</v>
      </c>
      <c r="N137" s="104"/>
      <c r="O137" s="39">
        <v>12834557.221138394</v>
      </c>
      <c r="P137" s="39">
        <v>0</v>
      </c>
      <c r="Q137" s="39">
        <v>12834557.221138394</v>
      </c>
      <c r="R137" s="20"/>
      <c r="S137" s="103" t="s">
        <v>41</v>
      </c>
      <c r="T137" s="104"/>
      <c r="U137" s="39">
        <v>16027868.380049001</v>
      </c>
      <c r="V137" s="39">
        <v>0</v>
      </c>
      <c r="W137" s="39">
        <v>16027868.380049001</v>
      </c>
      <c r="X137" s="20"/>
      <c r="Y137" s="117" t="s">
        <v>41</v>
      </c>
      <c r="Z137" s="118"/>
      <c r="AA137" s="76" t="s">
        <v>97</v>
      </c>
      <c r="AB137" s="77">
        <v>0</v>
      </c>
      <c r="AC137" s="77" t="s">
        <v>97</v>
      </c>
      <c r="AD137" s="72"/>
      <c r="AE137" s="103" t="s">
        <v>41</v>
      </c>
      <c r="AF137" s="104"/>
      <c r="AG137" s="39">
        <v>7940511.2631960418</v>
      </c>
      <c r="AH137" s="39">
        <v>0</v>
      </c>
      <c r="AI137" s="39">
        <v>7940511.2631960418</v>
      </c>
    </row>
    <row r="138" spans="1:35" x14ac:dyDescent="0.2">
      <c r="A138" s="103" t="s">
        <v>42</v>
      </c>
      <c r="B138" s="104"/>
      <c r="C138" s="39">
        <v>23752341.498217788</v>
      </c>
      <c r="D138" s="39">
        <v>0</v>
      </c>
      <c r="E138" s="39">
        <v>23752341.498217788</v>
      </c>
      <c r="G138" s="103" t="s">
        <v>42</v>
      </c>
      <c r="H138" s="104"/>
      <c r="I138" s="39">
        <v>16672120.496747384</v>
      </c>
      <c r="J138" s="39">
        <v>0</v>
      </c>
      <c r="K138" s="39">
        <v>16672120.496747384</v>
      </c>
      <c r="M138" s="103" t="s">
        <v>42</v>
      </c>
      <c r="N138" s="104"/>
      <c r="O138" s="39">
        <v>13718613.726351475</v>
      </c>
      <c r="P138" s="39">
        <v>0</v>
      </c>
      <c r="Q138" s="39">
        <v>13718613.726351475</v>
      </c>
      <c r="S138" s="103" t="s">
        <v>42</v>
      </c>
      <c r="T138" s="104"/>
      <c r="U138" s="39">
        <v>16881420.274722517</v>
      </c>
      <c r="V138" s="39">
        <v>0</v>
      </c>
      <c r="W138" s="39">
        <v>16881420.274722517</v>
      </c>
      <c r="Y138" s="117" t="s">
        <v>42</v>
      </c>
      <c r="Z138" s="118"/>
      <c r="AA138" s="76" t="s">
        <v>97</v>
      </c>
      <c r="AB138" s="77">
        <v>0</v>
      </c>
      <c r="AC138" s="77" t="s">
        <v>97</v>
      </c>
      <c r="AD138" s="46"/>
      <c r="AE138" s="103" t="s">
        <v>42</v>
      </c>
      <c r="AF138" s="104"/>
      <c r="AG138" s="39">
        <v>8363377.1286166422</v>
      </c>
      <c r="AH138" s="39">
        <v>0</v>
      </c>
      <c r="AI138" s="39">
        <v>8363377.1286166422</v>
      </c>
    </row>
    <row r="139" spans="1:35" x14ac:dyDescent="0.2">
      <c r="A139" s="103" t="s">
        <v>43</v>
      </c>
      <c r="B139" s="104"/>
      <c r="C139" s="39">
        <v>2922958.4751473698</v>
      </c>
      <c r="D139" s="39">
        <v>0</v>
      </c>
      <c r="E139" s="39">
        <v>2922958.4751473698</v>
      </c>
      <c r="G139" s="103" t="s">
        <v>43</v>
      </c>
      <c r="H139" s="104"/>
      <c r="I139" s="39">
        <v>3450148.572065128</v>
      </c>
      <c r="J139" s="39">
        <v>0</v>
      </c>
      <c r="K139" s="39">
        <v>3450148.572065128</v>
      </c>
      <c r="M139" s="103" t="s">
        <v>43</v>
      </c>
      <c r="N139" s="104"/>
      <c r="O139" s="39">
        <v>2609153.1664479719</v>
      </c>
      <c r="P139" s="39">
        <v>0</v>
      </c>
      <c r="Q139" s="39">
        <v>2609153.1664479719</v>
      </c>
      <c r="S139" s="103" t="s">
        <v>43</v>
      </c>
      <c r="T139" s="104"/>
      <c r="U139" s="39">
        <v>2283904.8072880558</v>
      </c>
      <c r="V139" s="39">
        <v>0</v>
      </c>
      <c r="W139" s="39">
        <v>2283904.8072880558</v>
      </c>
      <c r="Y139" s="117" t="s">
        <v>43</v>
      </c>
      <c r="Z139" s="118"/>
      <c r="AA139" s="76" t="s">
        <v>97</v>
      </c>
      <c r="AB139" s="77">
        <v>0</v>
      </c>
      <c r="AC139" s="77" t="s">
        <v>97</v>
      </c>
      <c r="AD139" s="46"/>
      <c r="AE139" s="103" t="s">
        <v>43</v>
      </c>
      <c r="AF139" s="104"/>
      <c r="AG139" s="39">
        <v>6979170.3479166264</v>
      </c>
      <c r="AH139" s="39">
        <v>0</v>
      </c>
      <c r="AI139" s="39">
        <v>6979170.3479166264</v>
      </c>
    </row>
    <row r="140" spans="1:35" x14ac:dyDescent="0.2">
      <c r="A140" s="103" t="s">
        <v>44</v>
      </c>
      <c r="B140" s="104"/>
      <c r="C140" s="39">
        <v>0</v>
      </c>
      <c r="D140" s="39">
        <v>0</v>
      </c>
      <c r="E140" s="39">
        <v>0</v>
      </c>
      <c r="G140" s="103" t="s">
        <v>44</v>
      </c>
      <c r="H140" s="104"/>
      <c r="I140" s="39">
        <v>0</v>
      </c>
      <c r="J140" s="39">
        <v>0</v>
      </c>
      <c r="K140" s="39">
        <v>0</v>
      </c>
      <c r="M140" s="103" t="s">
        <v>44</v>
      </c>
      <c r="N140" s="104"/>
      <c r="O140" s="39">
        <v>0</v>
      </c>
      <c r="P140" s="39">
        <v>0</v>
      </c>
      <c r="Q140" s="39">
        <v>0</v>
      </c>
      <c r="S140" s="103" t="s">
        <v>44</v>
      </c>
      <c r="T140" s="104"/>
      <c r="U140" s="39">
        <v>0</v>
      </c>
      <c r="V140" s="39">
        <v>0</v>
      </c>
      <c r="W140" s="39">
        <v>0</v>
      </c>
      <c r="Y140" s="117" t="s">
        <v>44</v>
      </c>
      <c r="Z140" s="118"/>
      <c r="AA140" s="76">
        <v>0</v>
      </c>
      <c r="AB140" s="77">
        <v>0</v>
      </c>
      <c r="AC140" s="77">
        <v>0</v>
      </c>
      <c r="AD140" s="46"/>
      <c r="AE140" s="103" t="s">
        <v>44</v>
      </c>
      <c r="AF140" s="104"/>
      <c r="AG140" s="39">
        <v>0</v>
      </c>
      <c r="AH140" s="39">
        <v>0</v>
      </c>
      <c r="AI140" s="39">
        <v>0</v>
      </c>
    </row>
    <row r="141" spans="1:35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51"/>
      <c r="Z141" s="51"/>
      <c r="AA141" s="51"/>
      <c r="AB141" s="51"/>
      <c r="AC141" s="51"/>
      <c r="AD141" s="51"/>
      <c r="AE141" s="6"/>
      <c r="AF141" s="6"/>
      <c r="AG141" s="6"/>
      <c r="AH141" s="6"/>
      <c r="AI141" s="6"/>
    </row>
    <row r="142" spans="1:35" x14ac:dyDescent="0.2">
      <c r="A142" s="106" t="s">
        <v>74</v>
      </c>
      <c r="B142" s="107"/>
      <c r="C142" s="39">
        <v>17881.099653962799</v>
      </c>
      <c r="D142" s="39">
        <v>0</v>
      </c>
      <c r="E142" s="39">
        <v>17881.099653962799</v>
      </c>
      <c r="G142" s="106" t="s">
        <v>74</v>
      </c>
      <c r="H142" s="107"/>
      <c r="I142" s="39">
        <v>17568.6192794413</v>
      </c>
      <c r="J142" s="39">
        <v>0</v>
      </c>
      <c r="K142" s="39">
        <v>17568.6192794413</v>
      </c>
      <c r="M142" s="106" t="s">
        <v>74</v>
      </c>
      <c r="N142" s="107"/>
      <c r="O142" s="39">
        <v>16776.6737318425</v>
      </c>
      <c r="P142" s="39">
        <v>0</v>
      </c>
      <c r="Q142" s="39">
        <v>16776.6737318425</v>
      </c>
      <c r="S142" s="106" t="s">
        <v>74</v>
      </c>
      <c r="T142" s="107"/>
      <c r="U142" s="39">
        <v>17397.915590018401</v>
      </c>
      <c r="V142" s="39">
        <v>0</v>
      </c>
      <c r="W142" s="39">
        <v>17397.915590018401</v>
      </c>
      <c r="Y142" s="125" t="s">
        <v>74</v>
      </c>
      <c r="Z142" s="126"/>
      <c r="AA142" s="87">
        <v>18188.59</v>
      </c>
      <c r="AB142" s="100">
        <v>0</v>
      </c>
      <c r="AC142" s="100">
        <v>18188.59</v>
      </c>
      <c r="AD142" s="46"/>
      <c r="AE142" s="106" t="s">
        <v>74</v>
      </c>
      <c r="AF142" s="107"/>
      <c r="AG142" s="39">
        <v>18854.177691336299</v>
      </c>
      <c r="AH142" s="39">
        <v>0</v>
      </c>
      <c r="AI142" s="39">
        <v>18854.177691336299</v>
      </c>
    </row>
    <row r="143" spans="1:35" x14ac:dyDescent="0.2">
      <c r="A143" s="103" t="s">
        <v>41</v>
      </c>
      <c r="B143" s="104"/>
      <c r="C143" s="39">
        <v>6912.6650927952096</v>
      </c>
      <c r="D143" s="39">
        <v>0</v>
      </c>
      <c r="E143" s="39">
        <v>6912.6650927952096</v>
      </c>
      <c r="G143" s="103" t="s">
        <v>41</v>
      </c>
      <c r="H143" s="104"/>
      <c r="I143" s="39">
        <v>6224.6883980686998</v>
      </c>
      <c r="J143" s="39">
        <v>0</v>
      </c>
      <c r="K143" s="39">
        <v>6224.6883980686998</v>
      </c>
      <c r="M143" s="103" t="s">
        <v>41</v>
      </c>
      <c r="N143" s="104"/>
      <c r="O143" s="39">
        <v>6161.2101943139196</v>
      </c>
      <c r="P143" s="39">
        <v>0</v>
      </c>
      <c r="Q143" s="39">
        <v>6161.2101943139196</v>
      </c>
      <c r="S143" s="103" t="s">
        <v>41</v>
      </c>
      <c r="T143" s="104"/>
      <c r="U143" s="39">
        <v>6531.8110555007397</v>
      </c>
      <c r="V143" s="39">
        <v>0</v>
      </c>
      <c r="W143" s="39">
        <v>6531.8110555007397</v>
      </c>
      <c r="Y143" s="117" t="s">
        <v>41</v>
      </c>
      <c r="Z143" s="118"/>
      <c r="AA143" s="76">
        <v>5501.17</v>
      </c>
      <c r="AB143" s="77">
        <v>0</v>
      </c>
      <c r="AC143" s="77">
        <v>5501.17</v>
      </c>
      <c r="AD143" s="46"/>
      <c r="AE143" s="103" t="s">
        <v>41</v>
      </c>
      <c r="AF143" s="104"/>
      <c r="AG143" s="39">
        <v>5501.17212365658</v>
      </c>
      <c r="AH143" s="39">
        <v>0</v>
      </c>
      <c r="AI143" s="39">
        <v>5501.17212365658</v>
      </c>
    </row>
    <row r="144" spans="1:35" x14ac:dyDescent="0.2">
      <c r="A144" s="103" t="s">
        <v>42</v>
      </c>
      <c r="B144" s="104"/>
      <c r="C144" s="39">
        <v>7918.7944691647599</v>
      </c>
      <c r="D144" s="39">
        <v>0</v>
      </c>
      <c r="E144" s="39">
        <v>7918.7944691647599</v>
      </c>
      <c r="G144" s="103" t="s">
        <v>42</v>
      </c>
      <c r="H144" s="104"/>
      <c r="I144" s="39">
        <v>7562.5533098920696</v>
      </c>
      <c r="J144" s="39">
        <v>0</v>
      </c>
      <c r="K144" s="39">
        <v>7562.5533098920696</v>
      </c>
      <c r="M144" s="103" t="s">
        <v>42</v>
      </c>
      <c r="N144" s="104"/>
      <c r="O144" s="39">
        <v>7230.3234750642596</v>
      </c>
      <c r="P144" s="39">
        <v>0</v>
      </c>
      <c r="Q144" s="39">
        <v>7230.3234750642596</v>
      </c>
      <c r="S144" s="103" t="s">
        <v>42</v>
      </c>
      <c r="T144" s="104"/>
      <c r="U144" s="39">
        <v>7759.3140959316297</v>
      </c>
      <c r="V144" s="39">
        <v>0</v>
      </c>
      <c r="W144" s="39">
        <v>7759.3140959316297</v>
      </c>
      <c r="Y144" s="117" t="s">
        <v>42</v>
      </c>
      <c r="Z144" s="118"/>
      <c r="AA144" s="76">
        <v>6534.99</v>
      </c>
      <c r="AB144" s="77">
        <v>0</v>
      </c>
      <c r="AC144" s="77">
        <v>6534.99</v>
      </c>
      <c r="AD144" s="46"/>
      <c r="AE144" s="103" t="s">
        <v>42</v>
      </c>
      <c r="AF144" s="104"/>
      <c r="AG144" s="39">
        <v>6534.9903787078001</v>
      </c>
      <c r="AH144" s="39">
        <v>0</v>
      </c>
      <c r="AI144" s="39">
        <v>6534.9903787078001</v>
      </c>
    </row>
    <row r="145" spans="1:35" x14ac:dyDescent="0.2">
      <c r="A145" s="103" t="s">
        <v>43</v>
      </c>
      <c r="B145" s="104"/>
      <c r="C145" s="39">
        <v>3049.64009200285</v>
      </c>
      <c r="D145" s="39">
        <v>0</v>
      </c>
      <c r="E145" s="39">
        <v>3049.64009200285</v>
      </c>
      <c r="G145" s="103" t="s">
        <v>43</v>
      </c>
      <c r="H145" s="104"/>
      <c r="I145" s="39">
        <v>3781.3775714805702</v>
      </c>
      <c r="J145" s="39">
        <v>0</v>
      </c>
      <c r="K145" s="39">
        <v>3781.3775714805702</v>
      </c>
      <c r="M145" s="103" t="s">
        <v>43</v>
      </c>
      <c r="N145" s="104"/>
      <c r="O145" s="39">
        <v>3385.1400624643402</v>
      </c>
      <c r="P145" s="39">
        <v>0</v>
      </c>
      <c r="Q145" s="39">
        <v>3385.1400624643402</v>
      </c>
      <c r="S145" s="103" t="s">
        <v>43</v>
      </c>
      <c r="T145" s="104"/>
      <c r="U145" s="39">
        <v>3106.7904385860602</v>
      </c>
      <c r="V145" s="39">
        <v>0</v>
      </c>
      <c r="W145" s="39">
        <v>3106.7904385860602</v>
      </c>
      <c r="Y145" s="117" t="s">
        <v>43</v>
      </c>
      <c r="Z145" s="118"/>
      <c r="AA145" s="76">
        <v>6152.42</v>
      </c>
      <c r="AB145" s="77">
        <v>0</v>
      </c>
      <c r="AC145" s="77">
        <v>6152.42</v>
      </c>
      <c r="AD145" s="46"/>
      <c r="AE145" s="103" t="s">
        <v>43</v>
      </c>
      <c r="AF145" s="104"/>
      <c r="AG145" s="39">
        <v>6818.01518897188</v>
      </c>
      <c r="AH145" s="39">
        <v>0</v>
      </c>
      <c r="AI145" s="39">
        <v>6818.01518897188</v>
      </c>
    </row>
    <row r="146" spans="1:35" x14ac:dyDescent="0.2">
      <c r="A146" s="103" t="s">
        <v>44</v>
      </c>
      <c r="B146" s="104"/>
      <c r="C146" s="39">
        <v>0</v>
      </c>
      <c r="D146" s="39">
        <v>0</v>
      </c>
      <c r="E146" s="39">
        <v>0</v>
      </c>
      <c r="G146" s="103" t="s">
        <v>44</v>
      </c>
      <c r="H146" s="104"/>
      <c r="I146" s="39">
        <v>0</v>
      </c>
      <c r="J146" s="39">
        <v>0</v>
      </c>
      <c r="K146" s="39">
        <v>0</v>
      </c>
      <c r="M146" s="103" t="s">
        <v>44</v>
      </c>
      <c r="N146" s="104"/>
      <c r="O146" s="39">
        <v>0</v>
      </c>
      <c r="P146" s="39">
        <v>0</v>
      </c>
      <c r="Q146" s="39">
        <v>0</v>
      </c>
      <c r="S146" s="103" t="s">
        <v>44</v>
      </c>
      <c r="T146" s="104"/>
      <c r="U146" s="39">
        <v>0</v>
      </c>
      <c r="V146" s="39">
        <v>0</v>
      </c>
      <c r="W146" s="39">
        <v>0</v>
      </c>
      <c r="Y146" s="117" t="s">
        <v>44</v>
      </c>
      <c r="Z146" s="118"/>
      <c r="AA146" s="76">
        <v>0</v>
      </c>
      <c r="AB146" s="77">
        <v>0</v>
      </c>
      <c r="AC146" s="77">
        <v>0</v>
      </c>
      <c r="AD146" s="46"/>
      <c r="AE146" s="103" t="s">
        <v>44</v>
      </c>
      <c r="AF146" s="104"/>
      <c r="AG146" s="39">
        <v>0</v>
      </c>
      <c r="AH146" s="39">
        <v>0</v>
      </c>
      <c r="AI146" s="39">
        <v>0</v>
      </c>
    </row>
    <row r="147" spans="1:35" x14ac:dyDescent="0.2">
      <c r="C147" s="6"/>
      <c r="D147" s="6"/>
      <c r="E147" s="6"/>
      <c r="I147" s="6"/>
      <c r="J147" s="6"/>
      <c r="K147" s="6"/>
      <c r="O147" s="6"/>
      <c r="P147" s="6"/>
      <c r="Q147" s="6"/>
      <c r="U147" s="6"/>
      <c r="V147" s="6"/>
      <c r="W147" s="6"/>
      <c r="Y147" s="46"/>
      <c r="Z147" s="46"/>
      <c r="AA147" s="51"/>
      <c r="AB147" s="51"/>
      <c r="AC147" s="51"/>
      <c r="AD147" s="46"/>
      <c r="AG147" s="6"/>
      <c r="AH147" s="6"/>
      <c r="AI147" s="6"/>
    </row>
    <row r="148" spans="1:35" ht="17" thickBot="1" x14ac:dyDescent="0.25">
      <c r="A148" s="2" t="s">
        <v>75</v>
      </c>
      <c r="B148" s="4"/>
      <c r="C148" s="5"/>
      <c r="D148" s="5"/>
      <c r="E148" s="5"/>
      <c r="F148" s="2"/>
      <c r="G148" s="3"/>
      <c r="H148" s="4"/>
      <c r="I148" s="5"/>
      <c r="J148" s="5"/>
      <c r="K148" s="5"/>
      <c r="L148" s="2"/>
      <c r="M148" s="3"/>
      <c r="N148" s="4"/>
      <c r="O148" s="5"/>
      <c r="P148" s="5"/>
      <c r="Q148" s="5"/>
      <c r="R148" s="2"/>
      <c r="S148" s="3"/>
      <c r="T148" s="4"/>
      <c r="U148" s="5"/>
      <c r="V148" s="5"/>
      <c r="W148" s="5"/>
      <c r="X148" s="2"/>
      <c r="Y148" s="48"/>
      <c r="Z148" s="49"/>
      <c r="AA148" s="50"/>
      <c r="AB148" s="50"/>
      <c r="AC148" s="50"/>
      <c r="AD148" s="48"/>
      <c r="AE148" s="3"/>
      <c r="AF148" s="4"/>
      <c r="AG148" s="5"/>
      <c r="AH148" s="5"/>
      <c r="AI148" s="5"/>
    </row>
    <row r="149" spans="1:35" x14ac:dyDescent="0.2">
      <c r="C149" s="6"/>
      <c r="D149" s="6"/>
      <c r="E149" s="6"/>
      <c r="I149" s="6"/>
      <c r="J149" s="6"/>
      <c r="K149" s="6"/>
      <c r="O149" s="6"/>
      <c r="P149" s="6"/>
      <c r="Q149" s="6"/>
      <c r="U149" s="6"/>
      <c r="V149" s="6"/>
      <c r="W149" s="6"/>
      <c r="Y149" s="46"/>
      <c r="Z149" s="46"/>
      <c r="AA149" s="51"/>
      <c r="AB149" s="51"/>
      <c r="AC149" s="51"/>
      <c r="AD149" s="46"/>
      <c r="AG149" s="6"/>
      <c r="AH149" s="6"/>
      <c r="AI149" s="6"/>
    </row>
    <row r="150" spans="1:35" x14ac:dyDescent="0.2">
      <c r="C150" s="8" t="s">
        <v>4</v>
      </c>
      <c r="D150" s="8" t="s">
        <v>5</v>
      </c>
      <c r="E150" s="8" t="s">
        <v>6</v>
      </c>
      <c r="I150" s="8" t="s">
        <v>4</v>
      </c>
      <c r="J150" s="8" t="s">
        <v>5</v>
      </c>
      <c r="K150" s="8" t="s">
        <v>6</v>
      </c>
      <c r="O150" s="8" t="s">
        <v>4</v>
      </c>
      <c r="P150" s="8" t="s">
        <v>5</v>
      </c>
      <c r="Q150" s="8" t="s">
        <v>6</v>
      </c>
      <c r="U150" s="8" t="s">
        <v>4</v>
      </c>
      <c r="V150" s="8" t="s">
        <v>5</v>
      </c>
      <c r="W150" s="8" t="s">
        <v>6</v>
      </c>
      <c r="Y150" s="46"/>
      <c r="Z150" s="46"/>
      <c r="AA150" s="53" t="s">
        <v>4</v>
      </c>
      <c r="AB150" s="54" t="s">
        <v>5</v>
      </c>
      <c r="AC150" s="54" t="s">
        <v>6</v>
      </c>
      <c r="AD150" s="46"/>
      <c r="AG150" s="8" t="s">
        <v>4</v>
      </c>
      <c r="AH150" s="8" t="s">
        <v>5</v>
      </c>
      <c r="AI150" s="8" t="s">
        <v>6</v>
      </c>
    </row>
    <row r="151" spans="1:35" x14ac:dyDescent="0.2">
      <c r="A151" s="14" t="s">
        <v>76</v>
      </c>
      <c r="B151" s="15"/>
      <c r="C151" s="39">
        <v>6071.9681281476696</v>
      </c>
      <c r="D151" s="39">
        <v>1863.10325218857</v>
      </c>
      <c r="E151" s="39">
        <v>4208.8648759590997</v>
      </c>
      <c r="G151" s="14" t="s">
        <v>76</v>
      </c>
      <c r="H151" s="15"/>
      <c r="I151" s="39">
        <v>5995.9077584730703</v>
      </c>
      <c r="J151" s="39">
        <v>1863.10325218857</v>
      </c>
      <c r="K151" s="39">
        <v>4132.8045062845003</v>
      </c>
      <c r="M151" s="14" t="s">
        <v>76</v>
      </c>
      <c r="N151" s="15"/>
      <c r="O151" s="39">
        <v>1995.90561043863</v>
      </c>
      <c r="P151" s="39">
        <v>1863.10325218857</v>
      </c>
      <c r="Q151" s="39">
        <v>132.80235825006002</v>
      </c>
      <c r="S151" s="14" t="s">
        <v>76</v>
      </c>
      <c r="T151" s="15"/>
      <c r="U151" s="39">
        <v>7322.7281898717301</v>
      </c>
      <c r="V151" s="39">
        <v>3198.4945635659001</v>
      </c>
      <c r="W151" s="39">
        <v>4124.2336263058296</v>
      </c>
      <c r="Y151" s="64" t="s">
        <v>76</v>
      </c>
      <c r="Z151" s="101"/>
      <c r="AA151" s="87">
        <v>5981.19</v>
      </c>
      <c r="AB151" s="100">
        <v>1863.1</v>
      </c>
      <c r="AC151" s="100">
        <v>4118.08</v>
      </c>
      <c r="AD151" s="46"/>
      <c r="AE151" s="14" t="s">
        <v>76</v>
      </c>
      <c r="AF151" s="15"/>
      <c r="AG151" s="39">
        <v>7360.1240588657001</v>
      </c>
      <c r="AH151" s="39">
        <v>3252.5434557612398</v>
      </c>
      <c r="AI151" s="39">
        <v>4107.5806031044604</v>
      </c>
    </row>
    <row r="152" spans="1:35" x14ac:dyDescent="0.2">
      <c r="A152" s="14" t="s">
        <v>77</v>
      </c>
      <c r="B152" s="15"/>
      <c r="C152" s="39">
        <v>11048.986432821799</v>
      </c>
      <c r="D152" s="39">
        <v>3583.1606765131601</v>
      </c>
      <c r="E152" s="39">
        <v>7465.825756308639</v>
      </c>
      <c r="G152" s="14" t="s">
        <v>77</v>
      </c>
      <c r="H152" s="15"/>
      <c r="I152" s="39">
        <v>10983.717363244101</v>
      </c>
      <c r="J152" s="39">
        <v>3583.1606765131601</v>
      </c>
      <c r="K152" s="39">
        <v>7400.5566867309408</v>
      </c>
      <c r="M152" s="14" t="s">
        <v>77</v>
      </c>
      <c r="N152" s="15"/>
      <c r="O152" s="39">
        <v>3711.3801732751399</v>
      </c>
      <c r="P152" s="39">
        <v>3583.1606765131601</v>
      </c>
      <c r="Q152" s="39">
        <v>128.21949676197983</v>
      </c>
      <c r="S152" s="14" t="s">
        <v>77</v>
      </c>
      <c r="T152" s="15"/>
      <c r="U152" s="39">
        <v>13382.0767305011</v>
      </c>
      <c r="V152" s="39">
        <v>6005.1183093321997</v>
      </c>
      <c r="W152" s="39">
        <v>7376.9584211688998</v>
      </c>
      <c r="Y152" s="64" t="s">
        <v>77</v>
      </c>
      <c r="Z152" s="101"/>
      <c r="AA152" s="76">
        <v>10966.86</v>
      </c>
      <c r="AB152" s="77">
        <v>3583.16</v>
      </c>
      <c r="AC152" s="77">
        <v>7383.7</v>
      </c>
      <c r="AD152" s="46"/>
      <c r="AE152" s="14" t="s">
        <v>77</v>
      </c>
      <c r="AF152" s="15"/>
      <c r="AG152" s="39">
        <v>13485.7908824553</v>
      </c>
      <c r="AH152" s="39">
        <v>6133.0583439428401</v>
      </c>
      <c r="AI152" s="39">
        <v>7352.7325385124595</v>
      </c>
    </row>
    <row r="153" spans="1:35" x14ac:dyDescent="0.2">
      <c r="A153" s="14" t="s">
        <v>78</v>
      </c>
      <c r="B153" s="15"/>
      <c r="C153" s="39">
        <v>15321.478821986901</v>
      </c>
      <c r="D153" s="39">
        <v>5208.8243635560202</v>
      </c>
      <c r="E153" s="39">
        <v>10112.654458430879</v>
      </c>
      <c r="G153" s="14" t="s">
        <v>78</v>
      </c>
      <c r="H153" s="15"/>
      <c r="I153" s="39">
        <v>15273.3713653512</v>
      </c>
      <c r="J153" s="39">
        <v>5208.8243635560202</v>
      </c>
      <c r="K153" s="39">
        <v>10064.547001795181</v>
      </c>
      <c r="M153" s="14" t="s">
        <v>78</v>
      </c>
      <c r="N153" s="15"/>
      <c r="O153" s="39">
        <v>7979.2750050807099</v>
      </c>
      <c r="P153" s="39">
        <v>5208.8243635560202</v>
      </c>
      <c r="Q153" s="39">
        <v>2770.4506415246897</v>
      </c>
      <c r="S153" s="14" t="s">
        <v>78</v>
      </c>
      <c r="T153" s="15"/>
      <c r="U153" s="39">
        <v>18526.008069851301</v>
      </c>
      <c r="V153" s="39">
        <v>8500.7688405750505</v>
      </c>
      <c r="W153" s="39">
        <v>10025.239229276251</v>
      </c>
      <c r="Y153" s="64" t="s">
        <v>78</v>
      </c>
      <c r="Z153" s="101"/>
      <c r="AA153" s="76">
        <v>15255.64</v>
      </c>
      <c r="AB153" s="77">
        <v>5208.82</v>
      </c>
      <c r="AC153" s="77">
        <v>10046.81</v>
      </c>
      <c r="AD153" s="46"/>
      <c r="AE153" s="14" t="s">
        <v>78</v>
      </c>
      <c r="AF153" s="15"/>
      <c r="AG153" s="39">
        <v>18713.126446621001</v>
      </c>
      <c r="AH153" s="39">
        <v>8721.1308056397102</v>
      </c>
      <c r="AI153" s="39">
        <v>9991.9956409812912</v>
      </c>
    </row>
    <row r="154" spans="1:35" x14ac:dyDescent="0.2">
      <c r="A154" s="14" t="s">
        <v>79</v>
      </c>
      <c r="B154" s="15"/>
      <c r="C154" s="39">
        <v>18859.4591437954</v>
      </c>
      <c r="D154" s="39">
        <v>6702.8422401498701</v>
      </c>
      <c r="E154" s="39">
        <v>12156.61690364553</v>
      </c>
      <c r="G154" s="14" t="s">
        <v>79</v>
      </c>
      <c r="H154" s="15"/>
      <c r="I154" s="39">
        <v>18830.895467681199</v>
      </c>
      <c r="J154" s="39">
        <v>6702.8422401498701</v>
      </c>
      <c r="K154" s="39">
        <v>12128.053227531329</v>
      </c>
      <c r="M154" s="14" t="s">
        <v>79</v>
      </c>
      <c r="N154" s="15"/>
      <c r="O154" s="39">
        <v>11536.352525128401</v>
      </c>
      <c r="P154" s="39">
        <v>6702.8422401498701</v>
      </c>
      <c r="Q154" s="39">
        <v>4833.5102849785308</v>
      </c>
      <c r="S154" s="14" t="s">
        <v>79</v>
      </c>
      <c r="T154" s="15"/>
      <c r="U154" s="39">
        <v>22747.085652195099</v>
      </c>
      <c r="V154" s="39">
        <v>10675.0996462807</v>
      </c>
      <c r="W154" s="39">
        <v>12071.986005914399</v>
      </c>
      <c r="Y154" s="64" t="s">
        <v>79</v>
      </c>
      <c r="Z154" s="101"/>
      <c r="AA154" s="76">
        <v>18807.77</v>
      </c>
      <c r="AB154" s="77">
        <v>6702.84</v>
      </c>
      <c r="AC154" s="77">
        <v>12104.93</v>
      </c>
      <c r="AD154" s="46"/>
      <c r="AE154" s="14" t="s">
        <v>79</v>
      </c>
      <c r="AF154" s="15"/>
      <c r="AG154" s="39">
        <v>23023.159200730199</v>
      </c>
      <c r="AH154" s="39">
        <v>10996.7033605459</v>
      </c>
      <c r="AI154" s="39">
        <v>12026.455840184299</v>
      </c>
    </row>
    <row r="155" spans="1:35" x14ac:dyDescent="0.2">
      <c r="A155" s="14" t="s">
        <v>80</v>
      </c>
      <c r="B155" s="15"/>
      <c r="C155" s="39">
        <v>21712.570076991899</v>
      </c>
      <c r="D155" s="39">
        <v>7979.5506645041396</v>
      </c>
      <c r="E155" s="39">
        <v>13733.01941248776</v>
      </c>
      <c r="G155" s="14" t="s">
        <v>80</v>
      </c>
      <c r="H155" s="15"/>
      <c r="I155" s="39">
        <v>21705.2029170182</v>
      </c>
      <c r="J155" s="39">
        <v>7979.5506645041396</v>
      </c>
      <c r="K155" s="39">
        <v>13725.652252514061</v>
      </c>
      <c r="M155" s="14" t="s">
        <v>80</v>
      </c>
      <c r="N155" s="15"/>
      <c r="O155" s="39">
        <v>14407.568602605101</v>
      </c>
      <c r="P155" s="39">
        <v>7979.5506645041396</v>
      </c>
      <c r="Q155" s="39">
        <v>6428.0179381009611</v>
      </c>
      <c r="S155" s="14" t="s">
        <v>80</v>
      </c>
      <c r="T155" s="15"/>
      <c r="U155" s="39">
        <v>26123.6616683793</v>
      </c>
      <c r="V155" s="39">
        <v>12467.6123303884</v>
      </c>
      <c r="W155" s="39">
        <v>13656.0493379909</v>
      </c>
      <c r="Y155" s="64" t="s">
        <v>80</v>
      </c>
      <c r="Z155" s="101"/>
      <c r="AA155" s="76">
        <v>21679.01</v>
      </c>
      <c r="AB155" s="77">
        <v>7979.55</v>
      </c>
      <c r="AC155" s="77">
        <v>13699.46</v>
      </c>
      <c r="AD155" s="46"/>
      <c r="AE155" s="14" t="s">
        <v>80</v>
      </c>
      <c r="AF155" s="15"/>
      <c r="AG155" s="39">
        <v>26488.395883336201</v>
      </c>
      <c r="AH155" s="39">
        <v>12889.774959599299</v>
      </c>
      <c r="AI155" s="39">
        <v>13598.620923736902</v>
      </c>
    </row>
    <row r="156" spans="1:35" x14ac:dyDescent="0.2">
      <c r="A156" s="14" t="s">
        <v>81</v>
      </c>
      <c r="B156" s="15"/>
      <c r="C156" s="39">
        <v>23838.596208721199</v>
      </c>
      <c r="D156" s="39">
        <v>8985.7004239829603</v>
      </c>
      <c r="E156" s="39">
        <v>14852.895784738239</v>
      </c>
      <c r="G156" s="14" t="s">
        <v>81</v>
      </c>
      <c r="H156" s="15"/>
      <c r="I156" s="39">
        <v>23854.276801629901</v>
      </c>
      <c r="J156" s="39">
        <v>8985.7004239829603</v>
      </c>
      <c r="K156" s="39">
        <v>14868.576377646941</v>
      </c>
      <c r="M156" s="14" t="s">
        <v>81</v>
      </c>
      <c r="N156" s="15"/>
      <c r="O156" s="39">
        <v>16558.979616888999</v>
      </c>
      <c r="P156" s="39">
        <v>8985.7004239829603</v>
      </c>
      <c r="Q156" s="39">
        <v>7573.2791929060386</v>
      </c>
      <c r="S156" s="14" t="s">
        <v>81</v>
      </c>
      <c r="T156" s="15"/>
      <c r="U156" s="39">
        <v>28637.519458235402</v>
      </c>
      <c r="V156" s="39">
        <v>13849.008055190299</v>
      </c>
      <c r="W156" s="39">
        <v>14788.511403045102</v>
      </c>
      <c r="Y156" s="64" t="s">
        <v>81</v>
      </c>
      <c r="Z156" s="101"/>
      <c r="AA156" s="76">
        <v>23826.69</v>
      </c>
      <c r="AB156" s="77">
        <v>8985.7000000000007</v>
      </c>
      <c r="AC156" s="77">
        <v>14840.99</v>
      </c>
      <c r="AD156" s="46"/>
      <c r="AE156" s="14" t="s">
        <v>81</v>
      </c>
      <c r="AF156" s="15"/>
      <c r="AG156" s="39">
        <v>29079.949385348202</v>
      </c>
      <c r="AH156" s="39">
        <v>14358.3694247606</v>
      </c>
      <c r="AI156" s="39">
        <v>14721.579960587602</v>
      </c>
    </row>
  </sheetData>
  <mergeCells count="440">
    <mergeCell ref="A130:B130"/>
    <mergeCell ref="A131:B131"/>
    <mergeCell ref="A133:B133"/>
    <mergeCell ref="A134:B134"/>
    <mergeCell ref="A136:B136"/>
    <mergeCell ref="A144:B144"/>
    <mergeCell ref="A145:B145"/>
    <mergeCell ref="A146:B146"/>
    <mergeCell ref="A3:B3"/>
    <mergeCell ref="A4:B4"/>
    <mergeCell ref="A5:B5"/>
    <mergeCell ref="A6:B6"/>
    <mergeCell ref="A7:B7"/>
    <mergeCell ref="A137:B137"/>
    <mergeCell ref="A138:B138"/>
    <mergeCell ref="A139:B139"/>
    <mergeCell ref="A140:B140"/>
    <mergeCell ref="A142:B142"/>
    <mergeCell ref="A143:B143"/>
    <mergeCell ref="A129:B129"/>
    <mergeCell ref="A128:B128"/>
    <mergeCell ref="A112:B112"/>
    <mergeCell ref="A113:B113"/>
    <mergeCell ref="A114:B114"/>
    <mergeCell ref="A115:B115"/>
    <mergeCell ref="A116:B116"/>
    <mergeCell ref="A118:B118"/>
    <mergeCell ref="A119:B119"/>
    <mergeCell ref="A120:B120"/>
    <mergeCell ref="A121:B121"/>
    <mergeCell ref="A122:B122"/>
    <mergeCell ref="A127:B127"/>
    <mergeCell ref="A110:B110"/>
    <mergeCell ref="A59:B59"/>
    <mergeCell ref="A64:B64"/>
    <mergeCell ref="A65:B65"/>
    <mergeCell ref="A66:B66"/>
    <mergeCell ref="A67:B67"/>
    <mergeCell ref="A103:B103"/>
    <mergeCell ref="A104:B104"/>
    <mergeCell ref="A105:B105"/>
    <mergeCell ref="A106:B106"/>
    <mergeCell ref="A107:B107"/>
    <mergeCell ref="A109:B109"/>
    <mergeCell ref="A37:B37"/>
    <mergeCell ref="A38:B38"/>
    <mergeCell ref="A39:B39"/>
    <mergeCell ref="A40:B40"/>
    <mergeCell ref="A58:B58"/>
    <mergeCell ref="A42:B42"/>
    <mergeCell ref="A43:B43"/>
    <mergeCell ref="A44:B44"/>
    <mergeCell ref="A46:B46"/>
    <mergeCell ref="A47:B47"/>
    <mergeCell ref="A48:B48"/>
    <mergeCell ref="A49:B49"/>
    <mergeCell ref="A50:B50"/>
    <mergeCell ref="A55:B55"/>
    <mergeCell ref="A56:B56"/>
    <mergeCell ref="A57:B57"/>
    <mergeCell ref="G46:H46"/>
    <mergeCell ref="G47:H47"/>
    <mergeCell ref="G48:H48"/>
    <mergeCell ref="G40:H40"/>
    <mergeCell ref="G41:H41"/>
    <mergeCell ref="G42:H42"/>
    <mergeCell ref="G44:H44"/>
    <mergeCell ref="G35:H35"/>
    <mergeCell ref="G36:H36"/>
    <mergeCell ref="G37:H37"/>
    <mergeCell ref="G38:H38"/>
    <mergeCell ref="G39:H39"/>
    <mergeCell ref="G104:H104"/>
    <mergeCell ref="G105:H105"/>
    <mergeCell ref="G107:H107"/>
    <mergeCell ref="G110:H110"/>
    <mergeCell ref="G64:H64"/>
    <mergeCell ref="G65:H65"/>
    <mergeCell ref="G103:H103"/>
    <mergeCell ref="G55:H55"/>
    <mergeCell ref="G56:H56"/>
    <mergeCell ref="G57:H57"/>
    <mergeCell ref="G109:H109"/>
    <mergeCell ref="G115:H115"/>
    <mergeCell ref="G121:H121"/>
    <mergeCell ref="G130:H130"/>
    <mergeCell ref="G133:H133"/>
    <mergeCell ref="G138:H138"/>
    <mergeCell ref="G140:H140"/>
    <mergeCell ref="G142:H142"/>
    <mergeCell ref="G143:H143"/>
    <mergeCell ref="G139:H139"/>
    <mergeCell ref="G134:H134"/>
    <mergeCell ref="G136:H136"/>
    <mergeCell ref="G137:H137"/>
    <mergeCell ref="G127:H127"/>
    <mergeCell ref="G128:H128"/>
    <mergeCell ref="G129:H129"/>
    <mergeCell ref="G131:H131"/>
    <mergeCell ref="G118:H118"/>
    <mergeCell ref="G119:H119"/>
    <mergeCell ref="G120:H120"/>
    <mergeCell ref="G112:H112"/>
    <mergeCell ref="G113:H113"/>
    <mergeCell ref="G114:H114"/>
    <mergeCell ref="G116:H116"/>
    <mergeCell ref="G146:H146"/>
    <mergeCell ref="G3:H3"/>
    <mergeCell ref="G4:H4"/>
    <mergeCell ref="G5:H5"/>
    <mergeCell ref="G6:H6"/>
    <mergeCell ref="G7:H7"/>
    <mergeCell ref="G8:H8"/>
    <mergeCell ref="G145:H145"/>
    <mergeCell ref="G15:H15"/>
    <mergeCell ref="G17:G19"/>
    <mergeCell ref="G21:H21"/>
    <mergeCell ref="G23:G25"/>
    <mergeCell ref="G28:H28"/>
    <mergeCell ref="G50:H50"/>
    <mergeCell ref="G59:H59"/>
    <mergeCell ref="G67:H67"/>
    <mergeCell ref="G122:H122"/>
    <mergeCell ref="G144:H144"/>
    <mergeCell ref="G27:H27"/>
    <mergeCell ref="G43:H43"/>
    <mergeCell ref="G49:H49"/>
    <mergeCell ref="G58:H58"/>
    <mergeCell ref="G66:H66"/>
    <mergeCell ref="G106:H106"/>
    <mergeCell ref="M39:N39"/>
    <mergeCell ref="M40:N40"/>
    <mergeCell ref="M41:N41"/>
    <mergeCell ref="M42:N42"/>
    <mergeCell ref="M43:N43"/>
    <mergeCell ref="M38:N38"/>
    <mergeCell ref="A1:E1"/>
    <mergeCell ref="G1:K1"/>
    <mergeCell ref="M1:Q1"/>
    <mergeCell ref="G26:H26"/>
    <mergeCell ref="G33:H33"/>
    <mergeCell ref="G34:H34"/>
    <mergeCell ref="A15:B15"/>
    <mergeCell ref="A17:A19"/>
    <mergeCell ref="A21:B21"/>
    <mergeCell ref="A23:A25"/>
    <mergeCell ref="A41:B41"/>
    <mergeCell ref="A26:B26"/>
    <mergeCell ref="A27:B27"/>
    <mergeCell ref="A28:B28"/>
    <mergeCell ref="A33:B33"/>
    <mergeCell ref="A34:B34"/>
    <mergeCell ref="A35:B35"/>
    <mergeCell ref="A36:B36"/>
    <mergeCell ref="M50:N50"/>
    <mergeCell ref="M55:N55"/>
    <mergeCell ref="M56:N56"/>
    <mergeCell ref="M57:N57"/>
    <mergeCell ref="M58:N58"/>
    <mergeCell ref="M44:N44"/>
    <mergeCell ref="M46:N46"/>
    <mergeCell ref="M47:N47"/>
    <mergeCell ref="M48:N48"/>
    <mergeCell ref="M49:N49"/>
    <mergeCell ref="M103:N103"/>
    <mergeCell ref="M104:N104"/>
    <mergeCell ref="M105:N105"/>
    <mergeCell ref="M106:N106"/>
    <mergeCell ref="M107:N107"/>
    <mergeCell ref="M59:N59"/>
    <mergeCell ref="M64:N64"/>
    <mergeCell ref="M65:N65"/>
    <mergeCell ref="M66:N66"/>
    <mergeCell ref="M67:N67"/>
    <mergeCell ref="M115:N115"/>
    <mergeCell ref="M116:N116"/>
    <mergeCell ref="M118:N118"/>
    <mergeCell ref="M119:N119"/>
    <mergeCell ref="M120:N120"/>
    <mergeCell ref="M109:N109"/>
    <mergeCell ref="M110:N110"/>
    <mergeCell ref="M112:N112"/>
    <mergeCell ref="M113:N113"/>
    <mergeCell ref="M114:N114"/>
    <mergeCell ref="M140:N140"/>
    <mergeCell ref="M142:N142"/>
    <mergeCell ref="M130:N130"/>
    <mergeCell ref="M131:N131"/>
    <mergeCell ref="M133:N133"/>
    <mergeCell ref="M134:N134"/>
    <mergeCell ref="M136:N136"/>
    <mergeCell ref="M121:N121"/>
    <mergeCell ref="M122:N122"/>
    <mergeCell ref="M127:N127"/>
    <mergeCell ref="M128:N128"/>
    <mergeCell ref="M129:N129"/>
    <mergeCell ref="M143:N143"/>
    <mergeCell ref="M144:N144"/>
    <mergeCell ref="M145:N145"/>
    <mergeCell ref="M146:N146"/>
    <mergeCell ref="M3:N3"/>
    <mergeCell ref="M4:N4"/>
    <mergeCell ref="M5:N5"/>
    <mergeCell ref="M6:N6"/>
    <mergeCell ref="M7:N7"/>
    <mergeCell ref="M15:N15"/>
    <mergeCell ref="M17:M19"/>
    <mergeCell ref="M21:N21"/>
    <mergeCell ref="M23:M25"/>
    <mergeCell ref="M26:N26"/>
    <mergeCell ref="M27:N27"/>
    <mergeCell ref="M28:N28"/>
    <mergeCell ref="M33:N33"/>
    <mergeCell ref="M34:N34"/>
    <mergeCell ref="M35:N35"/>
    <mergeCell ref="M36:N36"/>
    <mergeCell ref="M37:N37"/>
    <mergeCell ref="M137:N137"/>
    <mergeCell ref="M138:N138"/>
    <mergeCell ref="M139:N139"/>
    <mergeCell ref="S27:T27"/>
    <mergeCell ref="S28:T28"/>
    <mergeCell ref="S33:T33"/>
    <mergeCell ref="S34:T34"/>
    <mergeCell ref="S35:T35"/>
    <mergeCell ref="S15:T15"/>
    <mergeCell ref="S17:S19"/>
    <mergeCell ref="S21:T21"/>
    <mergeCell ref="S23:S25"/>
    <mergeCell ref="S26:T26"/>
    <mergeCell ref="S41:T41"/>
    <mergeCell ref="S42:T42"/>
    <mergeCell ref="S43:T43"/>
    <mergeCell ref="S44:T44"/>
    <mergeCell ref="S46:T46"/>
    <mergeCell ref="S36:T36"/>
    <mergeCell ref="S37:T37"/>
    <mergeCell ref="S38:T38"/>
    <mergeCell ref="S39:T39"/>
    <mergeCell ref="S40:T40"/>
    <mergeCell ref="S103:T103"/>
    <mergeCell ref="S104:T104"/>
    <mergeCell ref="S56:T56"/>
    <mergeCell ref="S57:T57"/>
    <mergeCell ref="S58:T58"/>
    <mergeCell ref="S59:T59"/>
    <mergeCell ref="S64:T64"/>
    <mergeCell ref="S47:T47"/>
    <mergeCell ref="S48:T48"/>
    <mergeCell ref="S49:T49"/>
    <mergeCell ref="S50:T50"/>
    <mergeCell ref="S55:T55"/>
    <mergeCell ref="S146:T146"/>
    <mergeCell ref="S3:T3"/>
    <mergeCell ref="S4:T4"/>
    <mergeCell ref="S5:T5"/>
    <mergeCell ref="S6:T6"/>
    <mergeCell ref="S7:T7"/>
    <mergeCell ref="S139:T139"/>
    <mergeCell ref="S140:T140"/>
    <mergeCell ref="S142:T142"/>
    <mergeCell ref="S143:T143"/>
    <mergeCell ref="S144:T144"/>
    <mergeCell ref="S133:T133"/>
    <mergeCell ref="S134:T134"/>
    <mergeCell ref="S136:T136"/>
    <mergeCell ref="S137:T137"/>
    <mergeCell ref="S138:T138"/>
    <mergeCell ref="S127:T127"/>
    <mergeCell ref="S128:T128"/>
    <mergeCell ref="S129:T129"/>
    <mergeCell ref="S130:T130"/>
    <mergeCell ref="S131:T131"/>
    <mergeCell ref="S118:T118"/>
    <mergeCell ref="S119:T119"/>
    <mergeCell ref="S120:T120"/>
    <mergeCell ref="Y40:Z40"/>
    <mergeCell ref="Y41:Z41"/>
    <mergeCell ref="Y42:Z42"/>
    <mergeCell ref="Y43:Z43"/>
    <mergeCell ref="Y44:Z44"/>
    <mergeCell ref="Y39:Z39"/>
    <mergeCell ref="S1:W1"/>
    <mergeCell ref="Y1:AC1"/>
    <mergeCell ref="S145:T145"/>
    <mergeCell ref="S121:T121"/>
    <mergeCell ref="S122:T122"/>
    <mergeCell ref="S112:T112"/>
    <mergeCell ref="S113:T113"/>
    <mergeCell ref="S114:T114"/>
    <mergeCell ref="S115:T115"/>
    <mergeCell ref="S116:T116"/>
    <mergeCell ref="S105:T105"/>
    <mergeCell ref="S106:T106"/>
    <mergeCell ref="S107:T107"/>
    <mergeCell ref="S109:T109"/>
    <mergeCell ref="S110:T110"/>
    <mergeCell ref="S65:T65"/>
    <mergeCell ref="S66:T66"/>
    <mergeCell ref="S67:T67"/>
    <mergeCell ref="Y55:Z55"/>
    <mergeCell ref="Y56:Z56"/>
    <mergeCell ref="Y57:Z57"/>
    <mergeCell ref="Y58:Z58"/>
    <mergeCell ref="Y59:Z59"/>
    <mergeCell ref="Y46:Z46"/>
    <mergeCell ref="Y47:Z47"/>
    <mergeCell ref="Y48:Z48"/>
    <mergeCell ref="Y49:Z49"/>
    <mergeCell ref="Y50:Z50"/>
    <mergeCell ref="Y104:Z104"/>
    <mergeCell ref="Y105:Z105"/>
    <mergeCell ref="Y106:Z106"/>
    <mergeCell ref="Y107:Z107"/>
    <mergeCell ref="Y109:Z109"/>
    <mergeCell ref="Y64:Z64"/>
    <mergeCell ref="Y65:Z65"/>
    <mergeCell ref="Y66:Z66"/>
    <mergeCell ref="Y67:Z67"/>
    <mergeCell ref="Y103:Z103"/>
    <mergeCell ref="Y116:Z116"/>
    <mergeCell ref="Y118:Z118"/>
    <mergeCell ref="Y119:Z119"/>
    <mergeCell ref="Y120:Z120"/>
    <mergeCell ref="Y121:Z121"/>
    <mergeCell ref="Y110:Z110"/>
    <mergeCell ref="Y112:Z112"/>
    <mergeCell ref="Y113:Z113"/>
    <mergeCell ref="Y114:Z114"/>
    <mergeCell ref="Y115:Z115"/>
    <mergeCell ref="Y142:Z142"/>
    <mergeCell ref="Y143:Z143"/>
    <mergeCell ref="Y131:Z131"/>
    <mergeCell ref="Y133:Z133"/>
    <mergeCell ref="Y134:Z134"/>
    <mergeCell ref="Y136:Z136"/>
    <mergeCell ref="Y137:Z137"/>
    <mergeCell ref="Y122:Z122"/>
    <mergeCell ref="Y127:Z127"/>
    <mergeCell ref="Y128:Z128"/>
    <mergeCell ref="Y129:Z129"/>
    <mergeCell ref="Y130:Z130"/>
    <mergeCell ref="Y144:Z144"/>
    <mergeCell ref="Y145:Z145"/>
    <mergeCell ref="Y146:Z146"/>
    <mergeCell ref="Y3:Z3"/>
    <mergeCell ref="Y4:Z4"/>
    <mergeCell ref="Y5:Z5"/>
    <mergeCell ref="Y6:Z6"/>
    <mergeCell ref="Y7:Z7"/>
    <mergeCell ref="Y15:Z15"/>
    <mergeCell ref="Y17:Y19"/>
    <mergeCell ref="Y21:Z21"/>
    <mergeCell ref="Y23:Y25"/>
    <mergeCell ref="Y26:Z26"/>
    <mergeCell ref="Y27:Z27"/>
    <mergeCell ref="Y28:Z28"/>
    <mergeCell ref="Y33:Z33"/>
    <mergeCell ref="Y34:Z34"/>
    <mergeCell ref="Y35:Z35"/>
    <mergeCell ref="Y36:Z36"/>
    <mergeCell ref="Y37:Z37"/>
    <mergeCell ref="Y38:Z38"/>
    <mergeCell ref="Y138:Z138"/>
    <mergeCell ref="Y139:Z139"/>
    <mergeCell ref="Y140:Z140"/>
    <mergeCell ref="AE27:AF27"/>
    <mergeCell ref="AE28:AF28"/>
    <mergeCell ref="AE33:AF33"/>
    <mergeCell ref="AE34:AF34"/>
    <mergeCell ref="AE35:AF35"/>
    <mergeCell ref="AE15:AF15"/>
    <mergeCell ref="AE17:AE19"/>
    <mergeCell ref="AE21:AF21"/>
    <mergeCell ref="AE23:AE25"/>
    <mergeCell ref="AE26:AF26"/>
    <mergeCell ref="AE41:AF41"/>
    <mergeCell ref="AE42:AF42"/>
    <mergeCell ref="AE43:AF43"/>
    <mergeCell ref="AE44:AF44"/>
    <mergeCell ref="AE46:AF46"/>
    <mergeCell ref="AE36:AF36"/>
    <mergeCell ref="AE37:AF37"/>
    <mergeCell ref="AE38:AF38"/>
    <mergeCell ref="AE39:AF39"/>
    <mergeCell ref="AE40:AF40"/>
    <mergeCell ref="AE56:AF56"/>
    <mergeCell ref="AE57:AF57"/>
    <mergeCell ref="AE58:AF58"/>
    <mergeCell ref="AE59:AF59"/>
    <mergeCell ref="AE64:AF64"/>
    <mergeCell ref="AE47:AF47"/>
    <mergeCell ref="AE48:AF48"/>
    <mergeCell ref="AE49:AF49"/>
    <mergeCell ref="AE50:AF50"/>
    <mergeCell ref="AE55:AF55"/>
    <mergeCell ref="AE105:AF105"/>
    <mergeCell ref="AE106:AF106"/>
    <mergeCell ref="AE107:AF107"/>
    <mergeCell ref="AE109:AF109"/>
    <mergeCell ref="AE110:AF110"/>
    <mergeCell ref="AE65:AF65"/>
    <mergeCell ref="AE66:AF66"/>
    <mergeCell ref="AE67:AF67"/>
    <mergeCell ref="AE103:AF103"/>
    <mergeCell ref="AE104:AF104"/>
    <mergeCell ref="AE118:AF118"/>
    <mergeCell ref="AE119:AF119"/>
    <mergeCell ref="AE120:AF120"/>
    <mergeCell ref="AE121:AF121"/>
    <mergeCell ref="AE122:AF122"/>
    <mergeCell ref="AE112:AF112"/>
    <mergeCell ref="AE113:AF113"/>
    <mergeCell ref="AE114:AF114"/>
    <mergeCell ref="AE115:AF115"/>
    <mergeCell ref="AE116:AF116"/>
    <mergeCell ref="AE1:AI1"/>
    <mergeCell ref="AE145:AF145"/>
    <mergeCell ref="AE146:AF146"/>
    <mergeCell ref="AE3:AF3"/>
    <mergeCell ref="AE4:AF4"/>
    <mergeCell ref="AE5:AF5"/>
    <mergeCell ref="AE6:AF6"/>
    <mergeCell ref="AE7:AF7"/>
    <mergeCell ref="AE8:AF8"/>
    <mergeCell ref="AE139:AF139"/>
    <mergeCell ref="AE140:AF140"/>
    <mergeCell ref="AE142:AF142"/>
    <mergeCell ref="AE143:AF143"/>
    <mergeCell ref="AE144:AF144"/>
    <mergeCell ref="AE133:AF133"/>
    <mergeCell ref="AE134:AF134"/>
    <mergeCell ref="AE136:AF136"/>
    <mergeCell ref="AE137:AF137"/>
    <mergeCell ref="AE138:AF138"/>
    <mergeCell ref="AE127:AF127"/>
    <mergeCell ref="AE128:AF128"/>
    <mergeCell ref="AE129:AF129"/>
    <mergeCell ref="AE130:AF130"/>
    <mergeCell ref="AE131:AF1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F7E4-15C1-FC45-AA29-C47DCFF910A6}">
  <dimension ref="A1:AP157"/>
  <sheetViews>
    <sheetView topLeftCell="AB1" workbookViewId="0">
      <selection activeCell="AN11" sqref="AN11:AP11"/>
    </sheetView>
  </sheetViews>
  <sheetFormatPr baseColWidth="10" defaultRowHeight="16" x14ac:dyDescent="0.2"/>
  <cols>
    <col min="1" max="1" width="19.83203125" customWidth="1"/>
    <col min="2" max="2" width="39.5" customWidth="1"/>
    <col min="32" max="32" width="28" customWidth="1"/>
    <col min="34" max="34" width="13.83203125" bestFit="1" customWidth="1"/>
    <col min="35" max="35" width="13.6640625" bestFit="1" customWidth="1"/>
    <col min="36" max="36" width="13.83203125" bestFit="1" customWidth="1"/>
    <col min="38" max="38" width="20.1640625" customWidth="1"/>
    <col min="40" max="40" width="13.83203125" bestFit="1" customWidth="1"/>
    <col min="41" max="41" width="13.6640625" bestFit="1" customWidth="1"/>
    <col min="42" max="42" width="13.83203125" bestFit="1" customWidth="1"/>
  </cols>
  <sheetData>
    <row r="1" spans="1:42" ht="24" x14ac:dyDescent="0.3">
      <c r="B1" s="102" t="s">
        <v>100</v>
      </c>
      <c r="C1" s="102"/>
      <c r="D1" s="102"/>
      <c r="E1" s="102"/>
      <c r="F1" s="102"/>
      <c r="H1" s="102" t="s">
        <v>102</v>
      </c>
      <c r="I1" s="102"/>
      <c r="J1" s="102"/>
      <c r="K1" s="102"/>
      <c r="L1" s="102"/>
      <c r="N1" s="102" t="s">
        <v>104</v>
      </c>
      <c r="O1" s="102"/>
      <c r="P1" s="102"/>
      <c r="Q1" s="102"/>
      <c r="R1" s="102"/>
      <c r="T1" s="102" t="s">
        <v>105</v>
      </c>
      <c r="U1" s="102"/>
      <c r="V1" s="102"/>
      <c r="W1" s="102"/>
      <c r="X1" s="102"/>
      <c r="Z1" s="102" t="s">
        <v>106</v>
      </c>
      <c r="AA1" s="102"/>
      <c r="AB1" s="102"/>
      <c r="AC1" s="102"/>
      <c r="AD1" s="102"/>
      <c r="AF1" s="102" t="s">
        <v>107</v>
      </c>
      <c r="AG1" s="102"/>
      <c r="AH1" s="102"/>
      <c r="AI1" s="102"/>
      <c r="AJ1" s="102"/>
      <c r="AL1" s="102" t="s">
        <v>108</v>
      </c>
      <c r="AM1" s="102"/>
      <c r="AN1" s="102"/>
      <c r="AO1" s="102"/>
      <c r="AP1" s="102"/>
    </row>
    <row r="2" spans="1:42" ht="85" customHeight="1" x14ac:dyDescent="0.2">
      <c r="B2" s="129" t="s">
        <v>101</v>
      </c>
      <c r="C2" s="129"/>
      <c r="H2" s="129" t="s">
        <v>103</v>
      </c>
      <c r="I2" s="129"/>
      <c r="N2" s="129" t="s">
        <v>109</v>
      </c>
      <c r="O2" s="129"/>
      <c r="T2" s="129" t="s">
        <v>111</v>
      </c>
      <c r="U2" s="129"/>
      <c r="Z2" s="129" t="s">
        <v>112</v>
      </c>
      <c r="AA2" s="129"/>
      <c r="AF2" s="129" t="s">
        <v>114</v>
      </c>
      <c r="AG2" s="129"/>
      <c r="AL2" s="129" t="s">
        <v>115</v>
      </c>
      <c r="AM2" s="129"/>
    </row>
    <row r="3" spans="1:42" x14ac:dyDescent="0.2">
      <c r="B3" s="105" t="s">
        <v>0</v>
      </c>
      <c r="C3" s="105"/>
      <c r="H3" s="105" t="s">
        <v>0</v>
      </c>
      <c r="I3" s="105"/>
      <c r="M3" s="1"/>
      <c r="N3" s="105" t="s">
        <v>83</v>
      </c>
      <c r="O3" s="105"/>
      <c r="S3" s="1"/>
      <c r="T3" s="105" t="s">
        <v>113</v>
      </c>
      <c r="U3" s="105"/>
      <c r="Y3" s="1"/>
      <c r="Z3" s="105" t="s">
        <v>113</v>
      </c>
      <c r="AA3" s="105"/>
      <c r="AE3" s="45"/>
      <c r="AF3" s="105" t="s">
        <v>113</v>
      </c>
      <c r="AG3" s="105"/>
      <c r="AH3" s="46"/>
      <c r="AI3" s="46"/>
      <c r="AJ3" s="46"/>
      <c r="AL3" s="105" t="s">
        <v>113</v>
      </c>
      <c r="AM3" s="105"/>
    </row>
    <row r="4" spans="1:42" x14ac:dyDescent="0.2">
      <c r="B4" s="105" t="s">
        <v>1</v>
      </c>
      <c r="C4" s="105"/>
      <c r="H4" s="105" t="s">
        <v>1</v>
      </c>
      <c r="I4" s="105"/>
      <c r="M4" s="1"/>
      <c r="N4" s="105" t="s">
        <v>110</v>
      </c>
      <c r="O4" s="105"/>
      <c r="S4" s="1"/>
      <c r="T4" s="105" t="s">
        <v>1</v>
      </c>
      <c r="U4" s="105"/>
      <c r="Y4" s="1"/>
      <c r="Z4" s="105" t="s">
        <v>1</v>
      </c>
      <c r="AA4" s="105"/>
      <c r="AE4" s="45"/>
      <c r="AF4" s="105" t="s">
        <v>1</v>
      </c>
      <c r="AG4" s="105"/>
      <c r="AH4" s="45"/>
      <c r="AI4" s="45"/>
      <c r="AJ4" s="46"/>
      <c r="AL4" s="105" t="s">
        <v>1</v>
      </c>
      <c r="AM4" s="105"/>
    </row>
    <row r="5" spans="1:42" x14ac:dyDescent="0.2">
      <c r="B5" s="105" t="s">
        <v>2</v>
      </c>
      <c r="C5" s="105"/>
      <c r="H5" s="105" t="s">
        <v>2</v>
      </c>
      <c r="I5" s="105"/>
      <c r="M5" s="1"/>
      <c r="N5" s="105" t="s">
        <v>2</v>
      </c>
      <c r="O5" s="105"/>
      <c r="S5" s="1"/>
      <c r="T5" s="105" t="s">
        <v>2</v>
      </c>
      <c r="U5" s="105"/>
      <c r="Y5" s="1"/>
      <c r="Z5" s="105" t="s">
        <v>2</v>
      </c>
      <c r="AA5" s="105"/>
      <c r="AE5" s="45"/>
      <c r="AF5" s="105" t="s">
        <v>2</v>
      </c>
      <c r="AG5" s="105"/>
      <c r="AH5" s="46"/>
      <c r="AI5" s="46"/>
      <c r="AJ5" s="46"/>
      <c r="AL5" s="105" t="s">
        <v>2</v>
      </c>
      <c r="AM5" s="105"/>
    </row>
    <row r="6" spans="1:42" ht="16" customHeight="1" x14ac:dyDescent="0.2">
      <c r="B6" s="105" t="s">
        <v>90</v>
      </c>
      <c r="C6" s="105"/>
      <c r="H6" s="105" t="s">
        <v>94</v>
      </c>
      <c r="I6" s="105"/>
      <c r="M6" s="1"/>
      <c r="N6" s="105" t="s">
        <v>94</v>
      </c>
      <c r="O6" s="105"/>
      <c r="S6" s="1"/>
      <c r="T6" s="105" t="s">
        <v>94</v>
      </c>
      <c r="U6" s="105"/>
      <c r="Y6" s="1"/>
      <c r="Z6" s="105" t="s">
        <v>94</v>
      </c>
      <c r="AA6" s="105"/>
      <c r="AE6" s="45"/>
      <c r="AF6" s="105" t="s">
        <v>94</v>
      </c>
      <c r="AG6" s="105"/>
      <c r="AH6" s="46"/>
      <c r="AI6" s="46"/>
      <c r="AJ6" s="46"/>
      <c r="AL6" s="105" t="s">
        <v>94</v>
      </c>
      <c r="AM6" s="105"/>
    </row>
    <row r="7" spans="1:42" x14ac:dyDescent="0.2">
      <c r="B7" s="105" t="s">
        <v>89</v>
      </c>
      <c r="C7" s="105"/>
      <c r="H7" s="105" t="s">
        <v>93</v>
      </c>
      <c r="I7" s="105"/>
      <c r="M7" s="1"/>
      <c r="N7" s="105" t="s">
        <v>93</v>
      </c>
      <c r="O7" s="105"/>
      <c r="S7" s="1"/>
      <c r="T7" s="105" t="s">
        <v>93</v>
      </c>
      <c r="U7" s="105"/>
      <c r="Y7" s="1"/>
      <c r="Z7" s="105" t="s">
        <v>93</v>
      </c>
      <c r="AA7" s="105"/>
      <c r="AE7" s="45"/>
      <c r="AF7" s="105" t="s">
        <v>93</v>
      </c>
      <c r="AG7" s="105"/>
      <c r="AH7" s="46"/>
      <c r="AI7" s="46"/>
      <c r="AJ7" s="46"/>
      <c r="AL7" s="105" t="s">
        <v>93</v>
      </c>
      <c r="AM7" s="105"/>
    </row>
    <row r="8" spans="1:42" x14ac:dyDescent="0.2">
      <c r="M8" s="1"/>
      <c r="N8" s="105"/>
      <c r="O8" s="105"/>
      <c r="S8" s="1"/>
      <c r="Y8" s="1"/>
      <c r="AE8" s="45"/>
      <c r="AF8" s="105"/>
      <c r="AG8" s="105"/>
      <c r="AH8" s="45"/>
      <c r="AI8" s="46"/>
      <c r="AJ8" s="46"/>
    </row>
    <row r="9" spans="1:42" ht="17" thickBot="1" x14ac:dyDescent="0.25">
      <c r="A9" s="2" t="s">
        <v>116</v>
      </c>
      <c r="B9" s="3"/>
      <c r="C9" s="4"/>
      <c r="D9" s="5"/>
      <c r="E9" s="5"/>
      <c r="F9" s="5"/>
      <c r="G9" s="2"/>
      <c r="H9" s="3"/>
      <c r="I9" s="4"/>
      <c r="J9" s="5"/>
      <c r="K9" s="5"/>
      <c r="L9" s="5"/>
      <c r="M9" s="2"/>
      <c r="N9" s="3"/>
      <c r="O9" s="4"/>
      <c r="P9" s="5"/>
      <c r="Q9" s="5"/>
      <c r="R9" s="5"/>
      <c r="S9" s="2"/>
      <c r="T9" s="3"/>
      <c r="U9" s="4"/>
      <c r="V9" s="5"/>
      <c r="W9" s="5"/>
      <c r="X9" s="5"/>
      <c r="Y9" s="2"/>
      <c r="Z9" s="3"/>
      <c r="AA9" s="4"/>
      <c r="AB9" s="5"/>
      <c r="AC9" s="5"/>
      <c r="AD9" s="5"/>
      <c r="AE9" s="2"/>
      <c r="AF9" s="3"/>
      <c r="AG9" s="4"/>
      <c r="AH9" s="5"/>
      <c r="AI9" s="5"/>
      <c r="AJ9" s="5"/>
      <c r="AK9" s="2"/>
      <c r="AL9" s="3"/>
      <c r="AM9" s="4"/>
      <c r="AN9" s="5"/>
      <c r="AO9" s="5"/>
      <c r="AP9" s="5"/>
    </row>
    <row r="10" spans="1:42" x14ac:dyDescent="0.2">
      <c r="C10" s="26" t="s">
        <v>56</v>
      </c>
      <c r="D10" s="42">
        <v>30000</v>
      </c>
      <c r="E10" s="42">
        <v>20000</v>
      </c>
      <c r="F10" s="42">
        <v>10000</v>
      </c>
      <c r="I10" s="26" t="s">
        <v>56</v>
      </c>
      <c r="J10" s="42">
        <v>30000</v>
      </c>
      <c r="K10" s="42">
        <v>20000</v>
      </c>
      <c r="L10" s="42">
        <v>10000</v>
      </c>
      <c r="O10" s="26" t="s">
        <v>56</v>
      </c>
      <c r="P10" s="42">
        <v>30000</v>
      </c>
      <c r="Q10" s="42">
        <v>20000</v>
      </c>
      <c r="R10" s="42">
        <v>10000</v>
      </c>
      <c r="U10" s="26" t="s">
        <v>56</v>
      </c>
      <c r="V10" s="42">
        <v>30000</v>
      </c>
      <c r="W10" s="42">
        <v>20000</v>
      </c>
      <c r="X10" s="42">
        <v>10000</v>
      </c>
      <c r="AA10" s="26" t="s">
        <v>56</v>
      </c>
      <c r="AB10" s="42">
        <v>30000</v>
      </c>
      <c r="AC10" s="42">
        <v>20000</v>
      </c>
      <c r="AD10" s="42">
        <v>10000</v>
      </c>
      <c r="AG10" s="26" t="s">
        <v>56</v>
      </c>
      <c r="AH10" s="42">
        <v>30000</v>
      </c>
      <c r="AI10" s="42">
        <v>20000</v>
      </c>
      <c r="AJ10" s="42">
        <v>10000</v>
      </c>
      <c r="AM10" s="26" t="s">
        <v>56</v>
      </c>
      <c r="AN10" s="42">
        <v>30000</v>
      </c>
      <c r="AO10" s="42">
        <v>20000</v>
      </c>
      <c r="AP10" s="42">
        <v>10000</v>
      </c>
    </row>
    <row r="11" spans="1:42" x14ac:dyDescent="0.2">
      <c r="C11" s="26" t="s">
        <v>57</v>
      </c>
      <c r="D11" s="38">
        <v>239.82651268118391</v>
      </c>
      <c r="E11" s="38">
        <v>158.10810338804544</v>
      </c>
      <c r="F11" s="38">
        <v>76.389694094906957</v>
      </c>
      <c r="I11" s="26" t="s">
        <v>57</v>
      </c>
      <c r="J11" s="38">
        <v>241.70752056614455</v>
      </c>
      <c r="K11" s="38">
        <v>159.72039586086404</v>
      </c>
      <c r="L11" s="38">
        <v>77.733271155583566</v>
      </c>
      <c r="O11" s="26" t="s">
        <v>57</v>
      </c>
      <c r="P11" s="38">
        <v>183.00476476666853</v>
      </c>
      <c r="Q11" s="38">
        <v>120.60651136279532</v>
      </c>
      <c r="R11" s="38">
        <v>58.208257958922111</v>
      </c>
      <c r="U11" s="26" t="s">
        <v>57</v>
      </c>
      <c r="V11" s="38">
        <v>195.75093606320976</v>
      </c>
      <c r="W11" s="38">
        <v>129.09821633177279</v>
      </c>
      <c r="X11" s="38">
        <v>62.445496600335737</v>
      </c>
      <c r="AA11" s="26" t="s">
        <v>57</v>
      </c>
      <c r="AB11" s="38">
        <v>203.35148490470334</v>
      </c>
      <c r="AC11" s="38">
        <v>134.16211448408936</v>
      </c>
      <c r="AD11" s="38">
        <v>64.972744063475389</v>
      </c>
      <c r="AG11" s="26" t="s">
        <v>57</v>
      </c>
      <c r="AH11" s="38">
        <v>188.69815033612005</v>
      </c>
      <c r="AI11" s="38">
        <v>122.04543060468303</v>
      </c>
      <c r="AJ11" s="38">
        <v>55.392710873246003</v>
      </c>
      <c r="AM11" s="26" t="s">
        <v>57</v>
      </c>
      <c r="AN11" s="38">
        <v>197.14510761327591</v>
      </c>
      <c r="AO11" s="38">
        <v>130.49238788183888</v>
      </c>
      <c r="AP11" s="38">
        <v>63.839668150401842</v>
      </c>
    </row>
    <row r="12" spans="1:42" x14ac:dyDescent="0.2">
      <c r="M12" s="1"/>
      <c r="N12" s="43"/>
      <c r="O12" s="43"/>
      <c r="S12" s="1"/>
      <c r="Y12" s="1"/>
      <c r="AE12" s="45"/>
      <c r="AF12" s="43"/>
      <c r="AG12" s="43"/>
      <c r="AH12" s="45"/>
      <c r="AI12" s="46"/>
      <c r="AJ12" s="46"/>
    </row>
    <row r="13" spans="1:42" ht="17" thickBot="1" x14ac:dyDescent="0.25">
      <c r="A13" s="2" t="s">
        <v>3</v>
      </c>
      <c r="B13" s="3"/>
      <c r="C13" s="4"/>
      <c r="D13" s="5"/>
      <c r="E13" s="5"/>
      <c r="F13" s="5"/>
      <c r="G13" s="2"/>
      <c r="H13" s="3"/>
      <c r="I13" s="4"/>
      <c r="J13" s="5"/>
      <c r="K13" s="5"/>
      <c r="L13" s="5"/>
      <c r="M13" s="2"/>
      <c r="N13" s="3"/>
      <c r="O13" s="4"/>
      <c r="P13" s="5"/>
      <c r="Q13" s="5"/>
      <c r="R13" s="5"/>
      <c r="S13" s="2"/>
      <c r="T13" s="3"/>
      <c r="U13" s="4"/>
      <c r="V13" s="5"/>
      <c r="W13" s="5"/>
      <c r="X13" s="5"/>
      <c r="Y13" s="2"/>
      <c r="Z13" s="3"/>
      <c r="AA13" s="4"/>
      <c r="AB13" s="5"/>
      <c r="AC13" s="5"/>
      <c r="AD13" s="5"/>
      <c r="AE13" s="2"/>
      <c r="AF13" s="3"/>
      <c r="AG13" s="4"/>
      <c r="AH13" s="5"/>
      <c r="AI13" s="5"/>
      <c r="AJ13" s="5"/>
      <c r="AK13" s="2"/>
      <c r="AL13" s="3"/>
      <c r="AM13" s="4"/>
      <c r="AN13" s="5"/>
      <c r="AO13" s="5"/>
      <c r="AP13" s="5"/>
    </row>
    <row r="14" spans="1:42" x14ac:dyDescent="0.2">
      <c r="D14" s="6"/>
      <c r="E14" s="6"/>
      <c r="F14" s="6"/>
      <c r="J14" s="6"/>
      <c r="K14" s="6"/>
      <c r="L14" s="6"/>
      <c r="P14" s="6"/>
      <c r="Q14" s="6"/>
      <c r="R14" s="6"/>
      <c r="V14" s="6"/>
      <c r="W14" s="6"/>
      <c r="X14" s="6"/>
      <c r="AB14" s="6"/>
      <c r="AC14" s="6"/>
      <c r="AD14" s="6"/>
      <c r="AH14" s="6"/>
      <c r="AI14" s="6"/>
      <c r="AJ14" s="6"/>
      <c r="AN14" s="6"/>
      <c r="AO14" s="6"/>
      <c r="AP14" s="6"/>
    </row>
    <row r="15" spans="1:42" x14ac:dyDescent="0.2">
      <c r="B15" s="7"/>
      <c r="C15" s="7"/>
      <c r="D15" s="8" t="s">
        <v>4</v>
      </c>
      <c r="E15" s="8" t="s">
        <v>5</v>
      </c>
      <c r="F15" s="8" t="s">
        <v>6</v>
      </c>
      <c r="H15" s="7"/>
      <c r="I15" s="7"/>
      <c r="J15" s="8" t="s">
        <v>4</v>
      </c>
      <c r="K15" s="8" t="s">
        <v>5</v>
      </c>
      <c r="L15" s="8" t="s">
        <v>6</v>
      </c>
      <c r="N15" s="7"/>
      <c r="O15" s="7"/>
      <c r="P15" s="8" t="s">
        <v>4</v>
      </c>
      <c r="Q15" s="8" t="s">
        <v>5</v>
      </c>
      <c r="R15" s="8" t="s">
        <v>6</v>
      </c>
      <c r="T15" s="7"/>
      <c r="U15" s="7"/>
      <c r="V15" s="8" t="s">
        <v>4</v>
      </c>
      <c r="W15" s="8" t="s">
        <v>5</v>
      </c>
      <c r="X15" s="8" t="s">
        <v>6</v>
      </c>
      <c r="Z15" s="7"/>
      <c r="AA15" s="7"/>
      <c r="AB15" s="8" t="s">
        <v>4</v>
      </c>
      <c r="AC15" s="8" t="s">
        <v>5</v>
      </c>
      <c r="AD15" s="8" t="s">
        <v>6</v>
      </c>
      <c r="AF15" s="7"/>
      <c r="AG15" s="7"/>
      <c r="AH15" s="8" t="s">
        <v>4</v>
      </c>
      <c r="AI15" s="8" t="s">
        <v>5</v>
      </c>
      <c r="AJ15" s="8" t="s">
        <v>6</v>
      </c>
      <c r="AL15" s="7"/>
      <c r="AM15" s="7"/>
      <c r="AN15" s="8" t="s">
        <v>4</v>
      </c>
      <c r="AO15" s="8" t="s">
        <v>5</v>
      </c>
      <c r="AP15" s="8" t="s">
        <v>6</v>
      </c>
    </row>
    <row r="16" spans="1:42" x14ac:dyDescent="0.2">
      <c r="B16" s="112" t="s">
        <v>7</v>
      </c>
      <c r="C16" s="113"/>
      <c r="D16" s="9">
        <v>19.591159416034401</v>
      </c>
      <c r="E16" s="9">
        <v>19.418941936625199</v>
      </c>
      <c r="F16" s="9">
        <v>0.17221747940920196</v>
      </c>
      <c r="H16" s="112" t="s">
        <v>7</v>
      </c>
      <c r="I16" s="113"/>
      <c r="J16" s="9">
        <v>19.591159416034401</v>
      </c>
      <c r="K16" s="9">
        <v>19.418941936625199</v>
      </c>
      <c r="L16" s="9">
        <v>0.17221747940920196</v>
      </c>
      <c r="N16" s="112" t="s">
        <v>7</v>
      </c>
      <c r="O16" s="113"/>
      <c r="P16" s="9">
        <v>19.548752960551901</v>
      </c>
      <c r="Q16" s="9">
        <v>19.418941936625199</v>
      </c>
      <c r="R16" s="9">
        <v>0.12981102392670252</v>
      </c>
      <c r="T16" s="112" t="s">
        <v>7</v>
      </c>
      <c r="U16" s="113"/>
      <c r="V16" s="9">
        <v>19.5583606197074</v>
      </c>
      <c r="W16" s="9">
        <v>19.418941936625199</v>
      </c>
      <c r="X16" s="9">
        <v>0.13941868308220151</v>
      </c>
      <c r="Z16" s="112" t="s">
        <v>7</v>
      </c>
      <c r="AA16" s="113"/>
      <c r="AB16" s="9">
        <v>19.546456359121201</v>
      </c>
      <c r="AC16" s="9">
        <v>19.418941936625199</v>
      </c>
      <c r="AD16" s="9">
        <v>0.12751442249600231</v>
      </c>
      <c r="AF16" s="112" t="s">
        <v>7</v>
      </c>
      <c r="AG16" s="113"/>
      <c r="AH16" s="9">
        <v>19.5583606197074</v>
      </c>
      <c r="AI16" s="9">
        <v>19.418941936625199</v>
      </c>
      <c r="AJ16" s="9">
        <v>0.13941868308220151</v>
      </c>
      <c r="AL16" s="112" t="s">
        <v>7</v>
      </c>
      <c r="AM16" s="113"/>
      <c r="AN16" s="9">
        <v>19.5583606197074</v>
      </c>
      <c r="AO16" s="9">
        <v>19.418941936625199</v>
      </c>
      <c r="AP16" s="9">
        <v>0.13941868308220151</v>
      </c>
    </row>
    <row r="17" spans="1:42" x14ac:dyDescent="0.2">
      <c r="B17" s="10" t="s">
        <v>8</v>
      </c>
      <c r="C17" s="11" t="s">
        <v>9</v>
      </c>
      <c r="D17" s="9">
        <v>19.7027987494298</v>
      </c>
      <c r="E17" s="9">
        <v>19.7027987494298</v>
      </c>
      <c r="F17" s="9">
        <v>0</v>
      </c>
      <c r="H17" s="10" t="s">
        <v>8</v>
      </c>
      <c r="I17" s="11" t="s">
        <v>9</v>
      </c>
      <c r="J17" s="9">
        <v>19.7027987494298</v>
      </c>
      <c r="K17" s="9">
        <v>19.7027987494298</v>
      </c>
      <c r="L17" s="9">
        <v>0</v>
      </c>
      <c r="N17" s="10" t="s">
        <v>8</v>
      </c>
      <c r="O17" s="11" t="s">
        <v>9</v>
      </c>
      <c r="P17" s="9">
        <v>19.7027987494298</v>
      </c>
      <c r="Q17" s="9">
        <v>19.7027987494298</v>
      </c>
      <c r="R17" s="9">
        <v>0</v>
      </c>
      <c r="T17" s="10" t="s">
        <v>8</v>
      </c>
      <c r="U17" s="11" t="s">
        <v>9</v>
      </c>
      <c r="V17" s="9">
        <v>19.7027987494298</v>
      </c>
      <c r="W17" s="9">
        <v>19.7027987494298</v>
      </c>
      <c r="X17" s="9">
        <v>0</v>
      </c>
      <c r="Z17" s="10" t="s">
        <v>8</v>
      </c>
      <c r="AA17" s="11" t="s">
        <v>9</v>
      </c>
      <c r="AB17" s="9">
        <v>19.7027987494298</v>
      </c>
      <c r="AC17" s="9">
        <v>19.7027987494298</v>
      </c>
      <c r="AD17" s="9">
        <v>0</v>
      </c>
      <c r="AF17" s="10" t="s">
        <v>8</v>
      </c>
      <c r="AG17" s="11" t="s">
        <v>9</v>
      </c>
      <c r="AH17" s="9">
        <v>19.7027987494298</v>
      </c>
      <c r="AI17" s="9">
        <v>19.7027987494298</v>
      </c>
      <c r="AJ17" s="9">
        <v>0</v>
      </c>
      <c r="AL17" s="10" t="s">
        <v>8</v>
      </c>
      <c r="AM17" s="11" t="s">
        <v>9</v>
      </c>
      <c r="AN17" s="9">
        <v>19.7027987494298</v>
      </c>
      <c r="AO17" s="9">
        <v>19.7027987494298</v>
      </c>
      <c r="AP17" s="9">
        <v>0</v>
      </c>
    </row>
    <row r="18" spans="1:42" x14ac:dyDescent="0.2">
      <c r="B18" s="114" t="s">
        <v>10</v>
      </c>
      <c r="C18" s="11" t="s">
        <v>9</v>
      </c>
      <c r="D18" s="9">
        <v>19.370146884532399</v>
      </c>
      <c r="E18" s="9">
        <v>18.856990240265102</v>
      </c>
      <c r="F18" s="9">
        <v>0.51315664426729768</v>
      </c>
      <c r="H18" s="114" t="s">
        <v>10</v>
      </c>
      <c r="I18" s="11" t="s">
        <v>9</v>
      </c>
      <c r="J18" s="9">
        <v>19.370146884532399</v>
      </c>
      <c r="K18" s="9">
        <v>18.856990240265102</v>
      </c>
      <c r="L18" s="9">
        <v>0.51315664426729768</v>
      </c>
      <c r="N18" s="114" t="s">
        <v>10</v>
      </c>
      <c r="O18" s="11" t="s">
        <v>9</v>
      </c>
      <c r="P18" s="9">
        <v>19.243788314744101</v>
      </c>
      <c r="Q18" s="9">
        <v>18.856990240265102</v>
      </c>
      <c r="R18" s="9">
        <v>0.38679807447899961</v>
      </c>
      <c r="T18" s="114" t="s">
        <v>10</v>
      </c>
      <c r="U18" s="11" t="s">
        <v>9</v>
      </c>
      <c r="V18" s="9">
        <v>19.272416269051799</v>
      </c>
      <c r="W18" s="9">
        <v>18.856990240265102</v>
      </c>
      <c r="X18" s="9">
        <v>0.41542602878669754</v>
      </c>
      <c r="Z18" s="114" t="s">
        <v>10</v>
      </c>
      <c r="AA18" s="11" t="s">
        <v>9</v>
      </c>
      <c r="AB18" s="9">
        <v>19.2369451285156</v>
      </c>
      <c r="AC18" s="9">
        <v>18.856990240265102</v>
      </c>
      <c r="AD18" s="9">
        <v>0.37995488825049861</v>
      </c>
      <c r="AF18" s="114" t="s">
        <v>10</v>
      </c>
      <c r="AG18" s="11" t="s">
        <v>9</v>
      </c>
      <c r="AH18" s="9">
        <v>19.272416269051799</v>
      </c>
      <c r="AI18" s="9">
        <v>18.856990240265102</v>
      </c>
      <c r="AJ18" s="9">
        <v>0.41542602878669754</v>
      </c>
      <c r="AL18" s="114" t="s">
        <v>10</v>
      </c>
      <c r="AM18" s="11" t="s">
        <v>9</v>
      </c>
      <c r="AN18" s="9">
        <v>19.272416269051799</v>
      </c>
      <c r="AO18" s="9">
        <v>18.856990240265102</v>
      </c>
      <c r="AP18" s="9">
        <v>0.41542602878669754</v>
      </c>
    </row>
    <row r="19" spans="1:42" x14ac:dyDescent="0.2">
      <c r="B19" s="115"/>
      <c r="C19" s="12" t="s">
        <v>11</v>
      </c>
      <c r="D19" s="9">
        <v>14.116648455047599</v>
      </c>
      <c r="E19" s="9">
        <v>14.552615434103901</v>
      </c>
      <c r="F19" s="9">
        <v>-0.43596697905630144</v>
      </c>
      <c r="H19" s="115"/>
      <c r="I19" s="12" t="s">
        <v>11</v>
      </c>
      <c r="J19" s="9">
        <v>14.116648455047599</v>
      </c>
      <c r="K19" s="9">
        <v>14.552615434103901</v>
      </c>
      <c r="L19" s="9">
        <v>-0.43596697905630144</v>
      </c>
      <c r="N19" s="115"/>
      <c r="O19" s="12" t="s">
        <v>11</v>
      </c>
      <c r="P19" s="9">
        <v>14.3534741040484</v>
      </c>
      <c r="Q19" s="9">
        <v>14.552615434103901</v>
      </c>
      <c r="R19" s="9">
        <v>-0.19914133005550028</v>
      </c>
      <c r="T19" s="115"/>
      <c r="U19" s="12" t="s">
        <v>11</v>
      </c>
      <c r="V19" s="9">
        <v>14.368786853068</v>
      </c>
      <c r="W19" s="9">
        <v>14.552615434103901</v>
      </c>
      <c r="X19" s="9">
        <v>-0.18382858103590038</v>
      </c>
      <c r="Z19" s="115"/>
      <c r="AA19" s="12" t="s">
        <v>11</v>
      </c>
      <c r="AB19" s="9">
        <v>14.3845033777159</v>
      </c>
      <c r="AC19" s="9">
        <v>14.552615434103901</v>
      </c>
      <c r="AD19" s="9">
        <v>-0.16811205638800075</v>
      </c>
      <c r="AF19" s="115"/>
      <c r="AG19" s="12" t="s">
        <v>11</v>
      </c>
      <c r="AH19" s="9">
        <v>14.368786853068</v>
      </c>
      <c r="AI19" s="9">
        <v>14.552615434103901</v>
      </c>
      <c r="AJ19" s="9">
        <v>-0.18382858103590038</v>
      </c>
      <c r="AL19" s="115"/>
      <c r="AM19" s="12" t="s">
        <v>11</v>
      </c>
      <c r="AN19" s="9">
        <v>14.368786853068</v>
      </c>
      <c r="AO19" s="9">
        <v>14.552615434103901</v>
      </c>
      <c r="AP19" s="9">
        <v>-0.18382858103590038</v>
      </c>
    </row>
    <row r="20" spans="1:42" x14ac:dyDescent="0.2">
      <c r="B20" s="116"/>
      <c r="C20" s="12" t="s">
        <v>12</v>
      </c>
      <c r="D20" s="9">
        <v>5.2534984294848304</v>
      </c>
      <c r="E20" s="9">
        <v>4.3043748061612099</v>
      </c>
      <c r="F20" s="9">
        <v>0.94912362332362044</v>
      </c>
      <c r="H20" s="116"/>
      <c r="I20" s="12" t="s">
        <v>12</v>
      </c>
      <c r="J20" s="9">
        <v>5.2534984294848304</v>
      </c>
      <c r="K20" s="9">
        <v>4.3043748061612099</v>
      </c>
      <c r="L20" s="9">
        <v>0.94912362332362044</v>
      </c>
      <c r="N20" s="116"/>
      <c r="O20" s="12" t="s">
        <v>12</v>
      </c>
      <c r="P20" s="9">
        <v>4.8903142106957302</v>
      </c>
      <c r="Q20" s="9">
        <v>4.3043748061612099</v>
      </c>
      <c r="R20" s="9">
        <v>0.58593940453452031</v>
      </c>
      <c r="T20" s="116"/>
      <c r="U20" s="12" t="s">
        <v>12</v>
      </c>
      <c r="V20" s="9">
        <v>4.9036294159838496</v>
      </c>
      <c r="W20" s="9">
        <v>4.3043748061612099</v>
      </c>
      <c r="X20" s="9">
        <v>0.59925460982263967</v>
      </c>
      <c r="Z20" s="116"/>
      <c r="AA20" s="12" t="s">
        <v>12</v>
      </c>
      <c r="AB20" s="9">
        <v>4.8524417507997697</v>
      </c>
      <c r="AC20" s="9">
        <v>4.3043748061612099</v>
      </c>
      <c r="AD20" s="9">
        <v>0.54806694463855976</v>
      </c>
      <c r="AF20" s="116"/>
      <c r="AG20" s="12" t="s">
        <v>12</v>
      </c>
      <c r="AH20" s="9">
        <v>4.9036294159838496</v>
      </c>
      <c r="AI20" s="9">
        <v>4.3043748061612099</v>
      </c>
      <c r="AJ20" s="9">
        <v>0.59925460982263967</v>
      </c>
      <c r="AL20" s="116"/>
      <c r="AM20" s="12" t="s">
        <v>12</v>
      </c>
      <c r="AN20" s="9">
        <v>4.9036294159838496</v>
      </c>
      <c r="AO20" s="9">
        <v>4.3043748061612099</v>
      </c>
      <c r="AP20" s="9">
        <v>0.59925460982263967</v>
      </c>
    </row>
    <row r="21" spans="1:42" x14ac:dyDescent="0.2">
      <c r="D21" s="13"/>
      <c r="E21" s="13"/>
      <c r="F21" s="13"/>
      <c r="J21" s="13"/>
      <c r="K21" s="13"/>
      <c r="L21" s="13"/>
      <c r="P21" s="13"/>
      <c r="Q21" s="13"/>
      <c r="R21" s="13"/>
      <c r="V21" s="13"/>
      <c r="W21" s="13"/>
      <c r="X21" s="13"/>
      <c r="AB21" s="13"/>
      <c r="AC21" s="13"/>
      <c r="AD21" s="13"/>
      <c r="AH21" s="13"/>
      <c r="AI21" s="13"/>
      <c r="AJ21" s="13"/>
      <c r="AN21" s="13"/>
      <c r="AO21" s="13"/>
      <c r="AP21" s="13"/>
    </row>
    <row r="22" spans="1:42" x14ac:dyDescent="0.2">
      <c r="B22" s="112" t="s">
        <v>13</v>
      </c>
      <c r="C22" s="113"/>
      <c r="D22" s="9">
        <v>15.386273041076899</v>
      </c>
      <c r="E22" s="9">
        <v>15.2609040564008</v>
      </c>
      <c r="F22" s="9">
        <v>0.1253689846760988</v>
      </c>
      <c r="H22" s="112" t="s">
        <v>13</v>
      </c>
      <c r="I22" s="113"/>
      <c r="J22" s="9">
        <v>15.3866852930857</v>
      </c>
      <c r="K22" s="9">
        <v>15.2609040564008</v>
      </c>
      <c r="L22" s="9">
        <v>0.12578123668489916</v>
      </c>
      <c r="N22" s="112" t="s">
        <v>13</v>
      </c>
      <c r="O22" s="113"/>
      <c r="P22" s="9">
        <v>15.357077414770499</v>
      </c>
      <c r="Q22" s="9">
        <v>15.2609040564008</v>
      </c>
      <c r="R22" s="9">
        <v>9.6173358369698647E-2</v>
      </c>
      <c r="T22" s="112" t="s">
        <v>13</v>
      </c>
      <c r="U22" s="113"/>
      <c r="V22" s="9">
        <v>15.363665177367499</v>
      </c>
      <c r="W22" s="9">
        <v>15.2609040564008</v>
      </c>
      <c r="X22" s="9">
        <v>0.10276112096669898</v>
      </c>
      <c r="Z22" s="112" t="s">
        <v>13</v>
      </c>
      <c r="AA22" s="113"/>
      <c r="AB22" s="9">
        <v>15.3549090181887</v>
      </c>
      <c r="AC22" s="9">
        <v>15.2609040564008</v>
      </c>
      <c r="AD22" s="9">
        <v>9.4004961787899077E-2</v>
      </c>
      <c r="AF22" s="112" t="s">
        <v>13</v>
      </c>
      <c r="AG22" s="113"/>
      <c r="AH22" s="9">
        <v>15.363665177367499</v>
      </c>
      <c r="AI22" s="9">
        <v>15.2609040564008</v>
      </c>
      <c r="AJ22" s="9">
        <v>0.10276112096669898</v>
      </c>
      <c r="AL22" s="112" t="s">
        <v>13</v>
      </c>
      <c r="AM22" s="113"/>
      <c r="AN22" s="9">
        <v>15.363665177367499</v>
      </c>
      <c r="AO22" s="9">
        <v>15.2609040564008</v>
      </c>
      <c r="AP22" s="9">
        <v>0.10276112096669898</v>
      </c>
    </row>
    <row r="23" spans="1:42" x14ac:dyDescent="0.2">
      <c r="B23" s="10" t="s">
        <v>8</v>
      </c>
      <c r="C23" s="11" t="s">
        <v>9</v>
      </c>
      <c r="D23" s="9">
        <v>15.590825186089001</v>
      </c>
      <c r="E23" s="9">
        <v>15.590825186089001</v>
      </c>
      <c r="F23" s="9">
        <v>0</v>
      </c>
      <c r="H23" s="10" t="s">
        <v>8</v>
      </c>
      <c r="I23" s="11" t="s">
        <v>9</v>
      </c>
      <c r="J23" s="9">
        <v>15.590825186089001</v>
      </c>
      <c r="K23" s="9">
        <v>15.590825186089001</v>
      </c>
      <c r="L23" s="9">
        <v>0</v>
      </c>
      <c r="N23" s="10" t="s">
        <v>8</v>
      </c>
      <c r="O23" s="11" t="s">
        <v>9</v>
      </c>
      <c r="P23" s="9">
        <v>15.590825186089001</v>
      </c>
      <c r="Q23" s="9">
        <v>15.590825186089001</v>
      </c>
      <c r="R23" s="9">
        <v>0</v>
      </c>
      <c r="T23" s="10" t="s">
        <v>8</v>
      </c>
      <c r="U23" s="11" t="s">
        <v>9</v>
      </c>
      <c r="V23" s="9">
        <v>15.590825186089001</v>
      </c>
      <c r="W23" s="9">
        <v>15.590825186089001</v>
      </c>
      <c r="X23" s="9">
        <v>0</v>
      </c>
      <c r="Z23" s="10" t="s">
        <v>8</v>
      </c>
      <c r="AA23" s="11" t="s">
        <v>9</v>
      </c>
      <c r="AB23" s="9">
        <v>15.590825186089001</v>
      </c>
      <c r="AC23" s="9">
        <v>15.590825186089001</v>
      </c>
      <c r="AD23" s="9">
        <v>0</v>
      </c>
      <c r="AF23" s="10" t="s">
        <v>8</v>
      </c>
      <c r="AG23" s="11" t="s">
        <v>9</v>
      </c>
      <c r="AH23" s="9">
        <v>15.590825186089001</v>
      </c>
      <c r="AI23" s="9">
        <v>15.590825186089001</v>
      </c>
      <c r="AJ23" s="9">
        <v>0</v>
      </c>
      <c r="AL23" s="10" t="s">
        <v>8</v>
      </c>
      <c r="AM23" s="11" t="s">
        <v>9</v>
      </c>
      <c r="AN23" s="9">
        <v>15.590825186089001</v>
      </c>
      <c r="AO23" s="9">
        <v>15.590825186089001</v>
      </c>
      <c r="AP23" s="9">
        <v>0</v>
      </c>
    </row>
    <row r="24" spans="1:42" x14ac:dyDescent="0.2">
      <c r="B24" s="114" t="s">
        <v>10</v>
      </c>
      <c r="C24" s="11" t="s">
        <v>9</v>
      </c>
      <c r="D24" s="9">
        <v>14.9897143630368</v>
      </c>
      <c r="E24" s="9">
        <v>14.607758772828101</v>
      </c>
      <c r="F24" s="9">
        <v>0.38195559020869929</v>
      </c>
      <c r="H24" s="114" t="s">
        <v>10</v>
      </c>
      <c r="I24" s="11" t="s">
        <v>9</v>
      </c>
      <c r="J24" s="9">
        <v>14.9897143630368</v>
      </c>
      <c r="K24" s="9">
        <v>14.607758772828101</v>
      </c>
      <c r="L24" s="9">
        <v>0.38195559020869929</v>
      </c>
      <c r="N24" s="114" t="s">
        <v>10</v>
      </c>
      <c r="O24" s="11" t="s">
        <v>9</v>
      </c>
      <c r="P24" s="9">
        <v>14.9001286823207</v>
      </c>
      <c r="Q24" s="9">
        <v>14.607758772828101</v>
      </c>
      <c r="R24" s="9">
        <v>0.29236990949259933</v>
      </c>
      <c r="T24" s="114" t="s">
        <v>10</v>
      </c>
      <c r="U24" s="11" t="s">
        <v>9</v>
      </c>
      <c r="V24" s="9">
        <v>14.919701847375499</v>
      </c>
      <c r="W24" s="9">
        <v>14.607758772828101</v>
      </c>
      <c r="X24" s="9">
        <v>0.31194307454739878</v>
      </c>
      <c r="Z24" s="114" t="s">
        <v>10</v>
      </c>
      <c r="AA24" s="11" t="s">
        <v>9</v>
      </c>
      <c r="AB24" s="9">
        <v>14.892970774475</v>
      </c>
      <c r="AC24" s="9">
        <v>14.607758772828101</v>
      </c>
      <c r="AD24" s="9">
        <v>0.28521200164689908</v>
      </c>
      <c r="AF24" s="114" t="s">
        <v>10</v>
      </c>
      <c r="AG24" s="11" t="s">
        <v>9</v>
      </c>
      <c r="AH24" s="9">
        <v>14.919701847375499</v>
      </c>
      <c r="AI24" s="9">
        <v>14.607758772828101</v>
      </c>
      <c r="AJ24" s="9">
        <v>0.31194307454739878</v>
      </c>
      <c r="AL24" s="114" t="s">
        <v>10</v>
      </c>
      <c r="AM24" s="11" t="s">
        <v>9</v>
      </c>
      <c r="AN24" s="9">
        <v>14.919701847375499</v>
      </c>
      <c r="AO24" s="9">
        <v>14.607758772828101</v>
      </c>
      <c r="AP24" s="9">
        <v>0.31194307454739878</v>
      </c>
    </row>
    <row r="25" spans="1:42" x14ac:dyDescent="0.2">
      <c r="B25" s="115"/>
      <c r="C25" s="12" t="s">
        <v>11</v>
      </c>
      <c r="D25" s="9">
        <v>11.321160045324699</v>
      </c>
      <c r="E25" s="9">
        <v>11.667565710761201</v>
      </c>
      <c r="F25" s="9">
        <v>-0.34640566543650131</v>
      </c>
      <c r="H25" s="115"/>
      <c r="I25" s="12" t="s">
        <v>11</v>
      </c>
      <c r="J25" s="9">
        <v>11.321160045324699</v>
      </c>
      <c r="K25" s="9">
        <v>11.667565710761201</v>
      </c>
      <c r="L25" s="9">
        <v>-0.34640566543650131</v>
      </c>
      <c r="N25" s="115"/>
      <c r="O25" s="12" t="s">
        <v>11</v>
      </c>
      <c r="P25" s="9">
        <v>11.5094165476304</v>
      </c>
      <c r="Q25" s="9">
        <v>11.667565710761201</v>
      </c>
      <c r="R25" s="9">
        <v>-0.15814916313080118</v>
      </c>
      <c r="T25" s="115"/>
      <c r="U25" s="12" t="s">
        <v>11</v>
      </c>
      <c r="V25" s="9">
        <v>11.5215678584035</v>
      </c>
      <c r="W25" s="9">
        <v>11.667565710761201</v>
      </c>
      <c r="X25" s="9">
        <v>-0.14599785235770035</v>
      </c>
      <c r="Z25" s="115"/>
      <c r="AA25" s="12" t="s">
        <v>11</v>
      </c>
      <c r="AB25" s="9">
        <v>11.5340486886286</v>
      </c>
      <c r="AC25" s="9">
        <v>11.667565710761201</v>
      </c>
      <c r="AD25" s="9">
        <v>-0.13351702213260097</v>
      </c>
      <c r="AF25" s="115"/>
      <c r="AG25" s="12" t="s">
        <v>11</v>
      </c>
      <c r="AH25" s="9">
        <v>11.5215678584035</v>
      </c>
      <c r="AI25" s="9">
        <v>11.667565710761201</v>
      </c>
      <c r="AJ25" s="9">
        <v>-0.14599785235770035</v>
      </c>
      <c r="AL25" s="115"/>
      <c r="AM25" s="12" t="s">
        <v>11</v>
      </c>
      <c r="AN25" s="9">
        <v>11.5215678584035</v>
      </c>
      <c r="AO25" s="9">
        <v>11.667565710761201</v>
      </c>
      <c r="AP25" s="9">
        <v>-0.14599785235770035</v>
      </c>
    </row>
    <row r="26" spans="1:42" x14ac:dyDescent="0.2">
      <c r="B26" s="116"/>
      <c r="C26" s="12" t="s">
        <v>12</v>
      </c>
      <c r="D26" s="9">
        <v>3.6685543177121702</v>
      </c>
      <c r="E26" s="9">
        <v>2.9401930620668302</v>
      </c>
      <c r="F26" s="9">
        <v>0.72836125564534004</v>
      </c>
      <c r="H26" s="116"/>
      <c r="I26" s="12" t="s">
        <v>12</v>
      </c>
      <c r="J26" s="9">
        <v>3.6685543177121702</v>
      </c>
      <c r="K26" s="9">
        <v>2.9401930620668302</v>
      </c>
      <c r="L26" s="9">
        <v>0.72836125564534004</v>
      </c>
      <c r="N26" s="116"/>
      <c r="O26" s="12" t="s">
        <v>12</v>
      </c>
      <c r="P26" s="9">
        <v>3.39071213469028</v>
      </c>
      <c r="Q26" s="9">
        <v>2.9401930620668302</v>
      </c>
      <c r="R26" s="9">
        <v>0.45051907262344981</v>
      </c>
      <c r="T26" s="116"/>
      <c r="U26" s="12" t="s">
        <v>12</v>
      </c>
      <c r="V26" s="9">
        <v>3.3981339889719702</v>
      </c>
      <c r="W26" s="9">
        <v>2.9401930620668302</v>
      </c>
      <c r="X26" s="9">
        <v>0.45794092690513999</v>
      </c>
      <c r="Z26" s="116"/>
      <c r="AA26" s="12" t="s">
        <v>12</v>
      </c>
      <c r="AB26" s="9">
        <v>3.3589220858463902</v>
      </c>
      <c r="AC26" s="9">
        <v>2.9401930620668302</v>
      </c>
      <c r="AD26" s="9">
        <v>0.41872902377956001</v>
      </c>
      <c r="AF26" s="116"/>
      <c r="AG26" s="12" t="s">
        <v>12</v>
      </c>
      <c r="AH26" s="9">
        <v>3.3981339889719702</v>
      </c>
      <c r="AI26" s="9">
        <v>2.9401930620668302</v>
      </c>
      <c r="AJ26" s="9">
        <v>0.45794092690513999</v>
      </c>
      <c r="AL26" s="116"/>
      <c r="AM26" s="12" t="s">
        <v>12</v>
      </c>
      <c r="AN26" s="9">
        <v>3.3981339889719702</v>
      </c>
      <c r="AO26" s="9">
        <v>2.9401930620668302</v>
      </c>
      <c r="AP26" s="9">
        <v>0.45794092690513999</v>
      </c>
    </row>
    <row r="27" spans="1:42" x14ac:dyDescent="0.2">
      <c r="B27" s="106" t="s">
        <v>14</v>
      </c>
      <c r="C27" s="107"/>
      <c r="D27" s="16">
        <v>-1.9183704692894001E-3</v>
      </c>
      <c r="E27" s="16">
        <v>0</v>
      </c>
      <c r="F27" s="16">
        <v>-1.9183704692894001E-3</v>
      </c>
      <c r="H27" s="106" t="s">
        <v>14</v>
      </c>
      <c r="I27" s="107"/>
      <c r="J27" s="16">
        <v>-1.53469637543152E-3</v>
      </c>
      <c r="K27" s="16">
        <v>0</v>
      </c>
      <c r="L27" s="16">
        <v>-1.53469637543152E-3</v>
      </c>
      <c r="N27" s="106" t="s">
        <v>14</v>
      </c>
      <c r="O27" s="107"/>
      <c r="P27" s="16">
        <v>-1.5414993177299901E-3</v>
      </c>
      <c r="Q27" s="16">
        <v>0</v>
      </c>
      <c r="R27" s="16">
        <v>-1.5414993177299901E-3</v>
      </c>
      <c r="T27" s="106" t="s">
        <v>14</v>
      </c>
      <c r="U27" s="107"/>
      <c r="V27" s="16">
        <v>-1.5419183854309801E-3</v>
      </c>
      <c r="W27" s="16">
        <v>0</v>
      </c>
      <c r="X27" s="16">
        <v>-1.5419183854309801E-3</v>
      </c>
      <c r="Z27" s="106" t="s">
        <v>14</v>
      </c>
      <c r="AA27" s="107"/>
      <c r="AB27" s="16">
        <v>-1.3588255806073501E-3</v>
      </c>
      <c r="AC27" s="16">
        <v>0</v>
      </c>
      <c r="AD27" s="16">
        <v>-1.3588255806073501E-3</v>
      </c>
      <c r="AF27" s="106" t="s">
        <v>14</v>
      </c>
      <c r="AG27" s="107"/>
      <c r="AH27" s="16">
        <v>-1.5419183854309801E-3</v>
      </c>
      <c r="AI27" s="16">
        <v>0</v>
      </c>
      <c r="AJ27" s="16">
        <v>-1.5419183854309801E-3</v>
      </c>
      <c r="AL27" s="106" t="s">
        <v>14</v>
      </c>
      <c r="AM27" s="107"/>
      <c r="AN27" s="16">
        <v>-1.5419183854309801E-3</v>
      </c>
      <c r="AO27" s="16">
        <v>0</v>
      </c>
      <c r="AP27" s="16">
        <v>-1.5419183854309801E-3</v>
      </c>
    </row>
    <row r="28" spans="1:42" x14ac:dyDescent="0.2">
      <c r="B28" s="106" t="s">
        <v>15</v>
      </c>
      <c r="C28" s="107"/>
      <c r="D28" s="16">
        <v>-1.2540283653477999E-4</v>
      </c>
      <c r="E28" s="16">
        <v>0</v>
      </c>
      <c r="F28" s="16">
        <v>-1.2540283653477999E-4</v>
      </c>
      <c r="H28" s="106" t="s">
        <v>15</v>
      </c>
      <c r="I28" s="107"/>
      <c r="J28" s="16">
        <v>-9.6824921605725498E-5</v>
      </c>
      <c r="K28" s="16">
        <v>0</v>
      </c>
      <c r="L28" s="16">
        <v>-9.6824921605725498E-5</v>
      </c>
      <c r="N28" s="106" t="s">
        <v>15</v>
      </c>
      <c r="O28" s="107"/>
      <c r="P28" s="16">
        <v>-7.2992721359460495E-5</v>
      </c>
      <c r="Q28" s="16">
        <v>0</v>
      </c>
      <c r="R28" s="16">
        <v>-7.2992721359460495E-5</v>
      </c>
      <c r="T28" s="106" t="s">
        <v>15</v>
      </c>
      <c r="U28" s="107"/>
      <c r="V28" s="16">
        <v>-7.9691981149420695E-5</v>
      </c>
      <c r="W28" s="16">
        <v>0</v>
      </c>
      <c r="X28" s="16">
        <v>-7.9691981149420695E-5</v>
      </c>
      <c r="Z28" s="106" t="s">
        <v>15</v>
      </c>
      <c r="AA28" s="107"/>
      <c r="AB28" s="16">
        <v>-7.3416818648939196E-5</v>
      </c>
      <c r="AC28" s="16">
        <v>0</v>
      </c>
      <c r="AD28" s="16">
        <v>-7.3416818648939196E-5</v>
      </c>
      <c r="AF28" s="106" t="s">
        <v>15</v>
      </c>
      <c r="AG28" s="107"/>
      <c r="AH28" s="16">
        <v>-7.9691981149420695E-5</v>
      </c>
      <c r="AI28" s="16">
        <v>0</v>
      </c>
      <c r="AJ28" s="16">
        <v>-7.9691981149420695E-5</v>
      </c>
      <c r="AL28" s="106" t="s">
        <v>15</v>
      </c>
      <c r="AM28" s="107"/>
      <c r="AN28" s="16">
        <v>-7.9691981149420695E-5</v>
      </c>
      <c r="AO28" s="16">
        <v>0</v>
      </c>
      <c r="AP28" s="16">
        <v>-7.9691981149420695E-5</v>
      </c>
    </row>
    <row r="29" spans="1:42" x14ac:dyDescent="0.2">
      <c r="B29" s="106" t="s">
        <v>16</v>
      </c>
      <c r="C29" s="107"/>
      <c r="D29" s="16">
        <v>-7.7310831616721003E-4</v>
      </c>
      <c r="E29" s="16">
        <v>0</v>
      </c>
      <c r="F29" s="16">
        <v>-7.7310831616721003E-4</v>
      </c>
      <c r="H29" s="106" t="s">
        <v>16</v>
      </c>
      <c r="I29" s="107"/>
      <c r="J29" s="16">
        <v>-7.7310831616721003E-4</v>
      </c>
      <c r="K29" s="16">
        <v>0</v>
      </c>
      <c r="L29" s="16">
        <v>-7.7310831616721003E-4</v>
      </c>
      <c r="N29" s="106" t="s">
        <v>16</v>
      </c>
      <c r="O29" s="107"/>
      <c r="P29" s="16">
        <v>-3.3269315315689001E-4</v>
      </c>
      <c r="Q29" s="16">
        <v>0</v>
      </c>
      <c r="R29" s="16">
        <v>-3.3269315315689001E-4</v>
      </c>
      <c r="T29" s="106" t="s">
        <v>16</v>
      </c>
      <c r="U29" s="107"/>
      <c r="V29" s="16">
        <v>-3.0664688657871999E-4</v>
      </c>
      <c r="W29" s="16">
        <v>0</v>
      </c>
      <c r="X29" s="16">
        <v>-3.0664688657871999E-4</v>
      </c>
      <c r="Z29" s="106" t="s">
        <v>16</v>
      </c>
      <c r="AA29" s="107"/>
      <c r="AB29" s="16">
        <v>-2.8111607557843997E-4</v>
      </c>
      <c r="AC29" s="16">
        <v>0</v>
      </c>
      <c r="AD29" s="16">
        <v>-2.8111607557843997E-4</v>
      </c>
      <c r="AF29" s="106" t="s">
        <v>16</v>
      </c>
      <c r="AG29" s="107"/>
      <c r="AH29" s="16">
        <v>-3.0664688657871999E-4</v>
      </c>
      <c r="AI29" s="16">
        <v>0</v>
      </c>
      <c r="AJ29" s="16">
        <v>-3.0664688657871999E-4</v>
      </c>
      <c r="AL29" s="106" t="s">
        <v>16</v>
      </c>
      <c r="AM29" s="107"/>
      <c r="AN29" s="16">
        <v>-3.0664688657871999E-4</v>
      </c>
      <c r="AO29" s="16">
        <v>0</v>
      </c>
      <c r="AP29" s="16">
        <v>-3.0664688657871999E-4</v>
      </c>
    </row>
    <row r="30" spans="1:42" x14ac:dyDescent="0.2">
      <c r="D30" s="17"/>
      <c r="E30" s="17"/>
      <c r="F30" s="17"/>
      <c r="J30" s="17"/>
      <c r="K30" s="17"/>
      <c r="L30" s="17"/>
      <c r="P30" s="17"/>
      <c r="Q30" s="17"/>
      <c r="R30" s="17"/>
      <c r="V30" s="17"/>
      <c r="W30" s="17"/>
      <c r="X30" s="17"/>
      <c r="AB30" s="17"/>
      <c r="AC30" s="17"/>
      <c r="AD30" s="17"/>
      <c r="AH30" s="17"/>
      <c r="AI30" s="17"/>
      <c r="AJ30" s="17"/>
      <c r="AN30" s="17"/>
      <c r="AO30" s="17"/>
      <c r="AP30" s="17"/>
    </row>
    <row r="31" spans="1:42" ht="17" thickBot="1" x14ac:dyDescent="0.25">
      <c r="A31" s="2" t="s">
        <v>17</v>
      </c>
      <c r="B31" s="3"/>
      <c r="C31" s="4"/>
      <c r="D31" s="5"/>
      <c r="E31" s="5"/>
      <c r="F31" s="5"/>
      <c r="G31" s="2"/>
      <c r="H31" s="3"/>
      <c r="I31" s="4"/>
      <c r="J31" s="5"/>
      <c r="K31" s="5"/>
      <c r="L31" s="5"/>
      <c r="M31" s="2"/>
      <c r="N31" s="3"/>
      <c r="O31" s="4"/>
      <c r="P31" s="5"/>
      <c r="Q31" s="5"/>
      <c r="R31" s="5"/>
      <c r="S31" s="2"/>
      <c r="T31" s="3"/>
      <c r="U31" s="4"/>
      <c r="V31" s="5"/>
      <c r="W31" s="5"/>
      <c r="X31" s="5"/>
      <c r="Y31" s="2"/>
      <c r="Z31" s="3"/>
      <c r="AA31" s="4"/>
      <c r="AB31" s="5"/>
      <c r="AC31" s="5"/>
      <c r="AD31" s="5"/>
      <c r="AE31" s="2"/>
      <c r="AF31" s="3"/>
      <c r="AG31" s="4"/>
      <c r="AH31" s="5"/>
      <c r="AI31" s="5"/>
      <c r="AJ31" s="5"/>
      <c r="AK31" s="2"/>
      <c r="AL31" s="3"/>
      <c r="AM31" s="4"/>
      <c r="AN31" s="5"/>
      <c r="AO31" s="5"/>
      <c r="AP31" s="5"/>
    </row>
    <row r="32" spans="1:42" x14ac:dyDescent="0.2">
      <c r="D32" s="6"/>
      <c r="E32" s="6"/>
      <c r="F32" s="6"/>
      <c r="J32" s="6"/>
      <c r="K32" s="6"/>
      <c r="L32" s="6"/>
      <c r="P32" s="6"/>
      <c r="Q32" s="6"/>
      <c r="R32" s="6"/>
      <c r="V32" s="6"/>
      <c r="W32" s="6"/>
      <c r="X32" s="6"/>
      <c r="AB32" s="6"/>
      <c r="AC32" s="6"/>
      <c r="AD32" s="6"/>
      <c r="AH32" s="6"/>
      <c r="AI32" s="6"/>
      <c r="AJ32" s="6"/>
      <c r="AN32" s="6"/>
      <c r="AO32" s="6"/>
      <c r="AP32" s="6"/>
    </row>
    <row r="33" spans="2:42" x14ac:dyDescent="0.2">
      <c r="B33" s="7"/>
      <c r="C33" s="7"/>
      <c r="D33" s="8" t="s">
        <v>4</v>
      </c>
      <c r="E33" s="8" t="s">
        <v>5</v>
      </c>
      <c r="F33" s="8" t="s">
        <v>6</v>
      </c>
      <c r="H33" s="7"/>
      <c r="I33" s="7"/>
      <c r="J33" s="8" t="s">
        <v>4</v>
      </c>
      <c r="K33" s="8" t="s">
        <v>5</v>
      </c>
      <c r="L33" s="8" t="s">
        <v>6</v>
      </c>
      <c r="N33" s="7"/>
      <c r="O33" s="7"/>
      <c r="P33" s="8" t="s">
        <v>4</v>
      </c>
      <c r="Q33" s="8" t="s">
        <v>5</v>
      </c>
      <c r="R33" s="8" t="s">
        <v>6</v>
      </c>
      <c r="T33" s="7"/>
      <c r="U33" s="7"/>
      <c r="V33" s="8" t="s">
        <v>4</v>
      </c>
      <c r="W33" s="8" t="s">
        <v>5</v>
      </c>
      <c r="X33" s="8" t="s">
        <v>6</v>
      </c>
      <c r="Z33" s="7"/>
      <c r="AA33" s="7"/>
      <c r="AB33" s="8" t="s">
        <v>4</v>
      </c>
      <c r="AC33" s="8" t="s">
        <v>5</v>
      </c>
      <c r="AD33" s="8" t="s">
        <v>6</v>
      </c>
      <c r="AF33" s="7"/>
      <c r="AG33" s="7"/>
      <c r="AH33" s="8" t="s">
        <v>4</v>
      </c>
      <c r="AI33" s="8" t="s">
        <v>5</v>
      </c>
      <c r="AJ33" s="8" t="s">
        <v>6</v>
      </c>
      <c r="AL33" s="7"/>
      <c r="AM33" s="7"/>
      <c r="AN33" s="8" t="s">
        <v>4</v>
      </c>
      <c r="AO33" s="8" t="s">
        <v>5</v>
      </c>
      <c r="AP33" s="8" t="s">
        <v>6</v>
      </c>
    </row>
    <row r="34" spans="2:42" x14ac:dyDescent="0.2">
      <c r="B34" s="110" t="s">
        <v>18</v>
      </c>
      <c r="C34" s="111"/>
      <c r="D34" s="18">
        <v>33560.411101197897</v>
      </c>
      <c r="E34" s="18">
        <v>33560.411101197897</v>
      </c>
      <c r="F34" s="18">
        <v>0</v>
      </c>
      <c r="H34" s="110" t="s">
        <v>18</v>
      </c>
      <c r="I34" s="111"/>
      <c r="J34" s="18">
        <v>33560.411101197897</v>
      </c>
      <c r="K34" s="18">
        <v>33560.411101197897</v>
      </c>
      <c r="L34" s="18">
        <v>0</v>
      </c>
      <c r="N34" s="110" t="s">
        <v>18</v>
      </c>
      <c r="O34" s="111"/>
      <c r="P34" s="18">
        <v>33560.411101197897</v>
      </c>
      <c r="Q34" s="18">
        <v>33560.411101197897</v>
      </c>
      <c r="R34" s="18">
        <v>0</v>
      </c>
      <c r="T34" s="110" t="s">
        <v>18</v>
      </c>
      <c r="U34" s="111"/>
      <c r="V34" s="18">
        <v>33560.411101197897</v>
      </c>
      <c r="W34" s="18">
        <v>33560.411101197897</v>
      </c>
      <c r="X34" s="18">
        <v>0</v>
      </c>
      <c r="Z34" s="110" t="s">
        <v>18</v>
      </c>
      <c r="AA34" s="111"/>
      <c r="AB34" s="18">
        <v>33560.411101197897</v>
      </c>
      <c r="AC34" s="18">
        <v>33560.411101197897</v>
      </c>
      <c r="AD34" s="18">
        <v>0</v>
      </c>
      <c r="AF34" s="110" t="s">
        <v>18</v>
      </c>
      <c r="AG34" s="111"/>
      <c r="AH34" s="18">
        <v>33560.411101197897</v>
      </c>
      <c r="AI34" s="18">
        <v>33560.411101197897</v>
      </c>
      <c r="AJ34" s="18">
        <v>0</v>
      </c>
      <c r="AL34" s="110" t="s">
        <v>18</v>
      </c>
      <c r="AM34" s="111"/>
      <c r="AN34" s="18">
        <v>33560.411101197897</v>
      </c>
      <c r="AO34" s="18">
        <v>33560.411101197897</v>
      </c>
      <c r="AP34" s="18">
        <v>0</v>
      </c>
    </row>
    <row r="35" spans="2:42" x14ac:dyDescent="0.2">
      <c r="B35" s="103" t="s">
        <v>19</v>
      </c>
      <c r="C35" s="104"/>
      <c r="D35" s="18">
        <v>13673.147301716601</v>
      </c>
      <c r="E35" s="18">
        <v>10244.020617808899</v>
      </c>
      <c r="F35" s="18">
        <v>3429.1266839077016</v>
      </c>
      <c r="H35" s="103" t="s">
        <v>19</v>
      </c>
      <c r="I35" s="104"/>
      <c r="J35" s="18">
        <v>13673.147301716601</v>
      </c>
      <c r="K35" s="18">
        <v>10244.020617808899</v>
      </c>
      <c r="L35" s="18">
        <v>3429.1266839077016</v>
      </c>
      <c r="N35" s="103" t="s">
        <v>19</v>
      </c>
      <c r="O35" s="104"/>
      <c r="P35" s="18">
        <v>12697.837521552799</v>
      </c>
      <c r="Q35" s="18">
        <v>10244.020617808899</v>
      </c>
      <c r="R35" s="18">
        <v>2453.8169037439002</v>
      </c>
      <c r="T35" s="103" t="s">
        <v>19</v>
      </c>
      <c r="U35" s="104"/>
      <c r="V35" s="18">
        <v>12336.915813043801</v>
      </c>
      <c r="W35" s="18">
        <v>10244.020617808899</v>
      </c>
      <c r="X35" s="18">
        <v>2092.8951952349016</v>
      </c>
      <c r="Z35" s="103" t="s">
        <v>19</v>
      </c>
      <c r="AA35" s="104"/>
      <c r="AB35" s="18">
        <v>12132.9211597915</v>
      </c>
      <c r="AC35" s="18">
        <v>10244.020617808899</v>
      </c>
      <c r="AD35" s="18">
        <v>1888.9005419826008</v>
      </c>
      <c r="AF35" s="103" t="s">
        <v>19</v>
      </c>
      <c r="AG35" s="104"/>
      <c r="AH35" s="18">
        <v>12336.915813043801</v>
      </c>
      <c r="AI35" s="18">
        <v>10244.020617808899</v>
      </c>
      <c r="AJ35" s="18">
        <v>2092.8951952349016</v>
      </c>
      <c r="AL35" s="103" t="s">
        <v>19</v>
      </c>
      <c r="AM35" s="104"/>
      <c r="AN35" s="18">
        <v>12336.915813043801</v>
      </c>
      <c r="AO35" s="18">
        <v>10244.020617808899</v>
      </c>
      <c r="AP35" s="18">
        <v>2092.8951952349016</v>
      </c>
    </row>
    <row r="36" spans="2:42" x14ac:dyDescent="0.2">
      <c r="B36" s="103" t="s">
        <v>20</v>
      </c>
      <c r="C36" s="104"/>
      <c r="D36" s="18">
        <v>9012.7366988548602</v>
      </c>
      <c r="E36" s="18">
        <v>6754.8771741712999</v>
      </c>
      <c r="F36" s="18">
        <v>2257.8595246835603</v>
      </c>
      <c r="H36" s="103" t="s">
        <v>20</v>
      </c>
      <c r="I36" s="104"/>
      <c r="J36" s="18">
        <v>9012.7366988548602</v>
      </c>
      <c r="K36" s="18">
        <v>6754.8771741712999</v>
      </c>
      <c r="L36" s="18">
        <v>2257.8595246835603</v>
      </c>
      <c r="N36" s="103" t="s">
        <v>20</v>
      </c>
      <c r="O36" s="104"/>
      <c r="P36" s="18">
        <v>8390.7550857853603</v>
      </c>
      <c r="Q36" s="18">
        <v>6754.8771741712999</v>
      </c>
      <c r="R36" s="18">
        <v>1635.8779116140604</v>
      </c>
      <c r="T36" s="103" t="s">
        <v>20</v>
      </c>
      <c r="U36" s="104"/>
      <c r="V36" s="18">
        <v>9135.2937252255906</v>
      </c>
      <c r="W36" s="18">
        <v>6754.8771741712999</v>
      </c>
      <c r="X36" s="18">
        <v>2380.4165510542907</v>
      </c>
      <c r="Z36" s="103" t="s">
        <v>20</v>
      </c>
      <c r="AA36" s="104"/>
      <c r="AB36" s="18">
        <v>8950.2660622470303</v>
      </c>
      <c r="AC36" s="18">
        <v>6754.8771741712999</v>
      </c>
      <c r="AD36" s="18">
        <v>2195.3888880757304</v>
      </c>
      <c r="AF36" s="103" t="s">
        <v>20</v>
      </c>
      <c r="AG36" s="104"/>
      <c r="AH36" s="18">
        <v>9135.2937252255906</v>
      </c>
      <c r="AI36" s="18">
        <v>6754.8771741712999</v>
      </c>
      <c r="AJ36" s="18">
        <v>2380.4165510542907</v>
      </c>
      <c r="AL36" s="103" t="s">
        <v>20</v>
      </c>
      <c r="AM36" s="104"/>
      <c r="AN36" s="18">
        <v>9135.2937252255906</v>
      </c>
      <c r="AO36" s="18">
        <v>6754.8771741712999</v>
      </c>
      <c r="AP36" s="18">
        <v>2380.4165510542907</v>
      </c>
    </row>
    <row r="37" spans="2:42" x14ac:dyDescent="0.2">
      <c r="B37" s="103" t="s">
        <v>21</v>
      </c>
      <c r="C37" s="104"/>
      <c r="D37" s="18">
        <v>5696.39939422509</v>
      </c>
      <c r="E37" s="18">
        <v>6914.6414242224901</v>
      </c>
      <c r="F37" s="18">
        <v>-1218.2420299974001</v>
      </c>
      <c r="H37" s="103" t="s">
        <v>21</v>
      </c>
      <c r="I37" s="104"/>
      <c r="J37" s="18">
        <v>5696.39939422509</v>
      </c>
      <c r="K37" s="18">
        <v>6914.6414242224901</v>
      </c>
      <c r="L37" s="18">
        <v>-1218.2420299974001</v>
      </c>
      <c r="N37" s="103" t="s">
        <v>21</v>
      </c>
      <c r="O37" s="104"/>
      <c r="P37" s="18">
        <v>6071.4675353101102</v>
      </c>
      <c r="Q37" s="18">
        <v>6914.6414242224901</v>
      </c>
      <c r="R37" s="18">
        <v>-843.17388891237988</v>
      </c>
      <c r="T37" s="103" t="s">
        <v>21</v>
      </c>
      <c r="U37" s="104"/>
      <c r="V37" s="18">
        <v>6111.0325775533001</v>
      </c>
      <c r="W37" s="18">
        <v>6914.6414242224901</v>
      </c>
      <c r="X37" s="18">
        <v>-803.60884666918992</v>
      </c>
      <c r="Z37" s="103" t="s">
        <v>21</v>
      </c>
      <c r="AA37" s="104"/>
      <c r="AB37" s="18">
        <v>6202.4900771884804</v>
      </c>
      <c r="AC37" s="18">
        <v>6914.6414242224901</v>
      </c>
      <c r="AD37" s="18">
        <v>-712.15134703400963</v>
      </c>
      <c r="AF37" s="103" t="s">
        <v>21</v>
      </c>
      <c r="AG37" s="104"/>
      <c r="AH37" s="18">
        <v>6111.0325775533001</v>
      </c>
      <c r="AI37" s="18">
        <v>6914.6414242224901</v>
      </c>
      <c r="AJ37" s="18">
        <v>-803.60884666918992</v>
      </c>
      <c r="AL37" s="103" t="s">
        <v>21</v>
      </c>
      <c r="AM37" s="104"/>
      <c r="AN37" s="18">
        <v>6111.0325775533001</v>
      </c>
      <c r="AO37" s="18">
        <v>6914.6414242224901</v>
      </c>
      <c r="AP37" s="18">
        <v>-803.60884666918992</v>
      </c>
    </row>
    <row r="38" spans="2:42" x14ac:dyDescent="0.2">
      <c r="B38" s="103" t="s">
        <v>22</v>
      </c>
      <c r="C38" s="104"/>
      <c r="D38" s="18">
        <v>5178.1277064012902</v>
      </c>
      <c r="E38" s="18">
        <v>9646.8718849952002</v>
      </c>
      <c r="F38" s="18">
        <v>-4468.74417859391</v>
      </c>
      <c r="H38" s="103" t="s">
        <v>22</v>
      </c>
      <c r="I38" s="104"/>
      <c r="J38" s="18">
        <v>5178.1277064012902</v>
      </c>
      <c r="K38" s="18">
        <v>9646.8718849952002</v>
      </c>
      <c r="L38" s="18">
        <v>-4468.74417859391</v>
      </c>
      <c r="N38" s="103" t="s">
        <v>22</v>
      </c>
      <c r="O38" s="104"/>
      <c r="P38" s="18">
        <v>6400.3509585496104</v>
      </c>
      <c r="Q38" s="18">
        <v>9646.8718849952002</v>
      </c>
      <c r="R38" s="18">
        <v>-3246.5209264455898</v>
      </c>
      <c r="T38" s="103" t="s">
        <v>22</v>
      </c>
      <c r="U38" s="104"/>
      <c r="V38" s="18">
        <v>5977.1689853752396</v>
      </c>
      <c r="W38" s="18">
        <v>9646.8718849952002</v>
      </c>
      <c r="X38" s="18">
        <v>-3669.7028996199606</v>
      </c>
      <c r="Z38" s="103" t="s">
        <v>22</v>
      </c>
      <c r="AA38" s="104"/>
      <c r="AB38" s="18">
        <v>6274.7338019708304</v>
      </c>
      <c r="AC38" s="18">
        <v>9646.8718849952002</v>
      </c>
      <c r="AD38" s="18">
        <v>-3372.1380830243697</v>
      </c>
      <c r="AF38" s="103" t="s">
        <v>22</v>
      </c>
      <c r="AG38" s="104"/>
      <c r="AH38" s="18">
        <v>5977.1689853752396</v>
      </c>
      <c r="AI38" s="18">
        <v>9646.8718849952002</v>
      </c>
      <c r="AJ38" s="18">
        <v>-3669.7028996199606</v>
      </c>
      <c r="AL38" s="103" t="s">
        <v>22</v>
      </c>
      <c r="AM38" s="104"/>
      <c r="AN38" s="18">
        <v>5977.1689853752396</v>
      </c>
      <c r="AO38" s="18">
        <v>9646.8718849952002</v>
      </c>
      <c r="AP38" s="18">
        <v>-3669.7028996199606</v>
      </c>
    </row>
    <row r="39" spans="2:42" x14ac:dyDescent="0.2">
      <c r="B39" s="110" t="s">
        <v>23</v>
      </c>
      <c r="C39" s="111"/>
      <c r="D39" s="18">
        <v>317.62615994723501</v>
      </c>
      <c r="E39" s="18">
        <v>0</v>
      </c>
      <c r="F39" s="18">
        <v>317.62615994723501</v>
      </c>
      <c r="H39" s="110" t="s">
        <v>23</v>
      </c>
      <c r="I39" s="111"/>
      <c r="J39" s="18">
        <v>317.62615994723501</v>
      </c>
      <c r="K39" s="18">
        <v>0</v>
      </c>
      <c r="L39" s="18">
        <v>317.62615994723501</v>
      </c>
      <c r="N39" s="110" t="s">
        <v>23</v>
      </c>
      <c r="O39" s="111"/>
      <c r="P39" s="18">
        <v>210.593041235491</v>
      </c>
      <c r="Q39" s="18">
        <v>0</v>
      </c>
      <c r="R39" s="18">
        <v>210.593041235491</v>
      </c>
      <c r="T39" s="110" t="s">
        <v>23</v>
      </c>
      <c r="U39" s="111"/>
      <c r="V39" s="18">
        <v>221.913478649746</v>
      </c>
      <c r="W39" s="18">
        <v>0</v>
      </c>
      <c r="X39" s="18">
        <v>221.913478649746</v>
      </c>
      <c r="Z39" s="110" t="s">
        <v>23</v>
      </c>
      <c r="AA39" s="111"/>
      <c r="AB39" s="18">
        <v>203.22295652213899</v>
      </c>
      <c r="AC39" s="18">
        <v>0</v>
      </c>
      <c r="AD39" s="18">
        <v>203.22295652213899</v>
      </c>
      <c r="AF39" s="110" t="s">
        <v>23</v>
      </c>
      <c r="AG39" s="111"/>
      <c r="AH39" s="18">
        <v>221.913478649746</v>
      </c>
      <c r="AI39" s="18">
        <v>0</v>
      </c>
      <c r="AJ39" s="18">
        <v>221.913478649746</v>
      </c>
      <c r="AL39" s="110" t="s">
        <v>23</v>
      </c>
      <c r="AM39" s="111"/>
      <c r="AN39" s="18">
        <v>221.913478649746</v>
      </c>
      <c r="AO39" s="18">
        <v>0</v>
      </c>
      <c r="AP39" s="18">
        <v>221.913478649746</v>
      </c>
    </row>
    <row r="40" spans="2:42" x14ac:dyDescent="0.2">
      <c r="B40" s="103" t="s">
        <v>24</v>
      </c>
      <c r="C40" s="104"/>
      <c r="D40" s="18">
        <v>165.95525854087799</v>
      </c>
      <c r="E40" s="18">
        <v>0</v>
      </c>
      <c r="F40" s="18">
        <v>165.95525854087799</v>
      </c>
      <c r="H40" s="103" t="s">
        <v>24</v>
      </c>
      <c r="I40" s="104"/>
      <c r="J40" s="18">
        <v>165.95525854087799</v>
      </c>
      <c r="K40" s="18">
        <v>0</v>
      </c>
      <c r="L40" s="18">
        <v>165.95525854087799</v>
      </c>
      <c r="N40" s="103" t="s">
        <v>24</v>
      </c>
      <c r="O40" s="104"/>
      <c r="P40" s="18">
        <v>101.37961702102299</v>
      </c>
      <c r="Q40" s="18">
        <v>0</v>
      </c>
      <c r="R40" s="18">
        <v>101.37961702102299</v>
      </c>
      <c r="T40" s="103" t="s">
        <v>24</v>
      </c>
      <c r="U40" s="104"/>
      <c r="V40" s="18">
        <v>80.365465221234302</v>
      </c>
      <c r="W40" s="18">
        <v>0</v>
      </c>
      <c r="X40" s="18">
        <v>80.365465221234302</v>
      </c>
      <c r="Z40" s="103" t="s">
        <v>24</v>
      </c>
      <c r="AA40" s="104"/>
      <c r="AB40" s="18">
        <v>72.5316673042242</v>
      </c>
      <c r="AC40" s="18">
        <v>0</v>
      </c>
      <c r="AD40" s="18">
        <v>72.5316673042242</v>
      </c>
      <c r="AF40" s="103" t="s">
        <v>24</v>
      </c>
      <c r="AG40" s="104"/>
      <c r="AH40" s="18">
        <v>80.365465221234302</v>
      </c>
      <c r="AI40" s="18">
        <v>0</v>
      </c>
      <c r="AJ40" s="18">
        <v>80.365465221234302</v>
      </c>
      <c r="AL40" s="103" t="s">
        <v>24</v>
      </c>
      <c r="AM40" s="104"/>
      <c r="AN40" s="18">
        <v>80.365465221234302</v>
      </c>
      <c r="AO40" s="18">
        <v>0</v>
      </c>
      <c r="AP40" s="18">
        <v>80.365465221234302</v>
      </c>
    </row>
    <row r="41" spans="2:42" x14ac:dyDescent="0.2">
      <c r="B41" s="103" t="s">
        <v>25</v>
      </c>
      <c r="C41" s="104"/>
      <c r="D41" s="18">
        <v>116.94793219066101</v>
      </c>
      <c r="E41" s="18">
        <v>0</v>
      </c>
      <c r="F41" s="18">
        <v>116.94793219066101</v>
      </c>
      <c r="H41" s="103" t="s">
        <v>25</v>
      </c>
      <c r="I41" s="104"/>
      <c r="J41" s="18">
        <v>116.94793219066101</v>
      </c>
      <c r="K41" s="18">
        <v>0</v>
      </c>
      <c r="L41" s="18">
        <v>116.94793219066101</v>
      </c>
      <c r="N41" s="103" t="s">
        <v>25</v>
      </c>
      <c r="O41" s="104"/>
      <c r="P41" s="18">
        <v>82.656290200796505</v>
      </c>
      <c r="Q41" s="18">
        <v>0</v>
      </c>
      <c r="R41" s="18">
        <v>82.656290200796505</v>
      </c>
      <c r="T41" s="103" t="s">
        <v>25</v>
      </c>
      <c r="U41" s="104"/>
      <c r="V41" s="18">
        <v>108.11025226022301</v>
      </c>
      <c r="W41" s="18">
        <v>0</v>
      </c>
      <c r="X41" s="18">
        <v>108.11025226022301</v>
      </c>
      <c r="Z41" s="103" t="s">
        <v>25</v>
      </c>
      <c r="AA41" s="104"/>
      <c r="AB41" s="18">
        <v>99.358130349297099</v>
      </c>
      <c r="AC41" s="18">
        <v>0</v>
      </c>
      <c r="AD41" s="18">
        <v>99.358130349297099</v>
      </c>
      <c r="AF41" s="103" t="s">
        <v>25</v>
      </c>
      <c r="AG41" s="104"/>
      <c r="AH41" s="18">
        <v>108.11025226022301</v>
      </c>
      <c r="AI41" s="18">
        <v>0</v>
      </c>
      <c r="AJ41" s="18">
        <v>108.11025226022301</v>
      </c>
      <c r="AL41" s="103" t="s">
        <v>25</v>
      </c>
      <c r="AM41" s="104"/>
      <c r="AN41" s="18">
        <v>108.11025226022301</v>
      </c>
      <c r="AO41" s="18">
        <v>0</v>
      </c>
      <c r="AP41" s="18">
        <v>108.11025226022301</v>
      </c>
    </row>
    <row r="42" spans="2:42" x14ac:dyDescent="0.2">
      <c r="B42" s="103" t="s">
        <v>26</v>
      </c>
      <c r="C42" s="104"/>
      <c r="D42" s="18">
        <v>34.722969215695699</v>
      </c>
      <c r="E42" s="18">
        <v>0</v>
      </c>
      <c r="F42" s="18">
        <v>34.722969215695699</v>
      </c>
      <c r="H42" s="103" t="s">
        <v>26</v>
      </c>
      <c r="I42" s="104"/>
      <c r="J42" s="18">
        <v>34.722969215695699</v>
      </c>
      <c r="K42" s="18">
        <v>0</v>
      </c>
      <c r="L42" s="18">
        <v>34.722969215695699</v>
      </c>
      <c r="N42" s="103" t="s">
        <v>26</v>
      </c>
      <c r="O42" s="104"/>
      <c r="P42" s="18">
        <v>26.557134013671099</v>
      </c>
      <c r="Q42" s="18">
        <v>0</v>
      </c>
      <c r="R42" s="18">
        <v>26.557134013671099</v>
      </c>
      <c r="T42" s="103" t="s">
        <v>26</v>
      </c>
      <c r="U42" s="104"/>
      <c r="V42" s="18">
        <v>33.437761168289597</v>
      </c>
      <c r="W42" s="18">
        <v>0</v>
      </c>
      <c r="X42" s="18">
        <v>33.437761168289597</v>
      </c>
      <c r="Z42" s="103" t="s">
        <v>26</v>
      </c>
      <c r="AA42" s="104"/>
      <c r="AB42" s="18">
        <v>31.333158868617399</v>
      </c>
      <c r="AC42" s="18">
        <v>0</v>
      </c>
      <c r="AD42" s="18">
        <v>31.333158868617399</v>
      </c>
      <c r="AF42" s="103" t="s">
        <v>26</v>
      </c>
      <c r="AG42" s="104"/>
      <c r="AH42" s="18">
        <v>33.437761168289597</v>
      </c>
      <c r="AI42" s="18">
        <v>0</v>
      </c>
      <c r="AJ42" s="18">
        <v>33.437761168289597</v>
      </c>
      <c r="AL42" s="103" t="s">
        <v>26</v>
      </c>
      <c r="AM42" s="104"/>
      <c r="AN42" s="18">
        <v>33.437761168289597</v>
      </c>
      <c r="AO42" s="18">
        <v>0</v>
      </c>
      <c r="AP42" s="18">
        <v>33.437761168289597</v>
      </c>
    </row>
    <row r="43" spans="2:42" x14ac:dyDescent="0.2">
      <c r="B43" s="103" t="s">
        <v>27</v>
      </c>
      <c r="C43" s="104"/>
      <c r="D43" s="18">
        <v>0</v>
      </c>
      <c r="E43" s="18">
        <v>0</v>
      </c>
      <c r="F43" s="18">
        <v>0</v>
      </c>
      <c r="H43" s="103" t="s">
        <v>27</v>
      </c>
      <c r="I43" s="104"/>
      <c r="J43" s="18">
        <v>0</v>
      </c>
      <c r="K43" s="18">
        <v>0</v>
      </c>
      <c r="L43" s="18">
        <v>0</v>
      </c>
      <c r="N43" s="103" t="s">
        <v>27</v>
      </c>
      <c r="O43" s="104"/>
      <c r="P43" s="18">
        <v>0</v>
      </c>
      <c r="Q43" s="18">
        <v>0</v>
      </c>
      <c r="R43" s="18">
        <v>0</v>
      </c>
      <c r="T43" s="103" t="s">
        <v>27</v>
      </c>
      <c r="U43" s="104"/>
      <c r="V43" s="18">
        <v>0</v>
      </c>
      <c r="W43" s="18">
        <v>0</v>
      </c>
      <c r="X43" s="18">
        <v>0</v>
      </c>
      <c r="Z43" s="103" t="s">
        <v>27</v>
      </c>
      <c r="AA43" s="104"/>
      <c r="AB43" s="18">
        <v>0</v>
      </c>
      <c r="AC43" s="18">
        <v>0</v>
      </c>
      <c r="AD43" s="18">
        <v>0</v>
      </c>
      <c r="AF43" s="103" t="s">
        <v>27</v>
      </c>
      <c r="AG43" s="104"/>
      <c r="AH43" s="18">
        <v>0</v>
      </c>
      <c r="AI43" s="18">
        <v>0</v>
      </c>
      <c r="AJ43" s="18">
        <v>0</v>
      </c>
      <c r="AL43" s="103" t="s">
        <v>27</v>
      </c>
      <c r="AM43" s="104"/>
      <c r="AN43" s="18">
        <v>0</v>
      </c>
      <c r="AO43" s="18">
        <v>0</v>
      </c>
      <c r="AP43" s="18">
        <v>0</v>
      </c>
    </row>
    <row r="44" spans="2:42" x14ac:dyDescent="0.2">
      <c r="B44" s="106" t="s">
        <v>28</v>
      </c>
      <c r="C44" s="107"/>
      <c r="D44" s="18">
        <v>12035.6649200106</v>
      </c>
      <c r="E44" s="18">
        <v>0</v>
      </c>
      <c r="F44" s="18">
        <v>12035.6649200106</v>
      </c>
      <c r="H44" s="106" t="s">
        <v>28</v>
      </c>
      <c r="I44" s="107"/>
      <c r="J44" s="18">
        <v>9628.5319360084795</v>
      </c>
      <c r="K44" s="18">
        <v>0</v>
      </c>
      <c r="L44" s="18">
        <v>9628.5319360084795</v>
      </c>
      <c r="N44" s="106" t="s">
        <v>28</v>
      </c>
      <c r="O44" s="107"/>
      <c r="P44" s="18">
        <v>9676.4145616759906</v>
      </c>
      <c r="Q44" s="18">
        <v>0</v>
      </c>
      <c r="R44" s="18">
        <v>9676.4145616759906</v>
      </c>
      <c r="T44" s="106" t="s">
        <v>28</v>
      </c>
      <c r="U44" s="107"/>
      <c r="V44" s="18">
        <v>9679.2907266842303</v>
      </c>
      <c r="W44" s="18">
        <v>0</v>
      </c>
      <c r="X44" s="18">
        <v>9679.2907266842303</v>
      </c>
      <c r="Z44" s="106" t="s">
        <v>28</v>
      </c>
      <c r="AA44" s="107"/>
      <c r="AB44" s="18">
        <v>8511.3353710273295</v>
      </c>
      <c r="AC44" s="18">
        <v>0</v>
      </c>
      <c r="AD44" s="18">
        <v>8511.3353710273295</v>
      </c>
      <c r="AF44" s="106" t="s">
        <v>28</v>
      </c>
      <c r="AG44" s="107"/>
      <c r="AH44" s="18">
        <v>9679.2907266842303</v>
      </c>
      <c r="AI44" s="18">
        <v>0</v>
      </c>
      <c r="AJ44" s="18">
        <v>9679.2907266842303</v>
      </c>
      <c r="AL44" s="106" t="s">
        <v>28</v>
      </c>
      <c r="AM44" s="107"/>
      <c r="AN44" s="18">
        <v>9679.2907266842303</v>
      </c>
      <c r="AO44" s="18">
        <v>0</v>
      </c>
      <c r="AP44" s="18">
        <v>9679.2907266842303</v>
      </c>
    </row>
    <row r="45" spans="2:42" x14ac:dyDescent="0.2">
      <c r="B45" s="106" t="s">
        <v>29</v>
      </c>
      <c r="C45" s="107"/>
      <c r="D45" s="18">
        <v>1051.91319995871</v>
      </c>
      <c r="E45" s="18">
        <v>0</v>
      </c>
      <c r="F45" s="18">
        <v>1051.91319995871</v>
      </c>
      <c r="H45" s="106" t="s">
        <v>29</v>
      </c>
      <c r="I45" s="107"/>
      <c r="J45" s="18">
        <v>812.26035247365803</v>
      </c>
      <c r="K45" s="18">
        <v>0</v>
      </c>
      <c r="L45" s="18">
        <v>812.26035247365803</v>
      </c>
      <c r="N45" s="106" t="s">
        <v>29</v>
      </c>
      <c r="O45" s="107"/>
      <c r="P45" s="18">
        <v>617.83921952040896</v>
      </c>
      <c r="Q45" s="18">
        <v>0</v>
      </c>
      <c r="R45" s="18">
        <v>617.83921952040896</v>
      </c>
      <c r="T45" s="106" t="s">
        <v>29</v>
      </c>
      <c r="U45" s="107"/>
      <c r="V45" s="18">
        <v>670.52215240024702</v>
      </c>
      <c r="W45" s="18">
        <v>0</v>
      </c>
      <c r="X45" s="18">
        <v>670.52215240024702</v>
      </c>
      <c r="Z45" s="106" t="s">
        <v>29</v>
      </c>
      <c r="AA45" s="107"/>
      <c r="AB45" s="18">
        <v>620.24617646197896</v>
      </c>
      <c r="AC45" s="18">
        <v>0</v>
      </c>
      <c r="AD45" s="18">
        <v>620.24617646197896</v>
      </c>
      <c r="AF45" s="106" t="s">
        <v>29</v>
      </c>
      <c r="AG45" s="107"/>
      <c r="AH45" s="18">
        <v>670.52215240024702</v>
      </c>
      <c r="AI45" s="18">
        <v>0</v>
      </c>
      <c r="AJ45" s="18">
        <v>670.52215240024702</v>
      </c>
      <c r="AL45" s="106" t="s">
        <v>29</v>
      </c>
      <c r="AM45" s="107"/>
      <c r="AN45" s="18">
        <v>670.52215240024702</v>
      </c>
      <c r="AO45" s="18">
        <v>0</v>
      </c>
      <c r="AP45" s="18">
        <v>670.52215240024702</v>
      </c>
    </row>
    <row r="46" spans="2:42" x14ac:dyDescent="0.2">
      <c r="D46" s="6"/>
      <c r="E46" s="6"/>
      <c r="F46" s="6"/>
      <c r="J46" s="6"/>
      <c r="K46" s="6"/>
      <c r="L46" s="6"/>
      <c r="P46" s="6"/>
      <c r="Q46" s="6"/>
      <c r="R46" s="6"/>
      <c r="V46" s="6"/>
      <c r="W46" s="6"/>
      <c r="X46" s="6"/>
      <c r="AB46" s="6"/>
      <c r="AC46" s="6"/>
      <c r="AD46" s="6"/>
      <c r="AH46" s="6"/>
      <c r="AI46" s="6"/>
      <c r="AJ46" s="6"/>
      <c r="AN46" s="6"/>
      <c r="AO46" s="6"/>
      <c r="AP46" s="6"/>
    </row>
    <row r="47" spans="2:42" x14ac:dyDescent="0.2">
      <c r="B47" s="110" t="s">
        <v>30</v>
      </c>
      <c r="C47" s="111"/>
      <c r="D47" s="18">
        <v>15056.7623938537</v>
      </c>
      <c r="E47" s="18">
        <v>17381.499524656701</v>
      </c>
      <c r="F47" s="18">
        <v>-2324.7371308030015</v>
      </c>
      <c r="H47" s="110" t="s">
        <v>30</v>
      </c>
      <c r="I47" s="111"/>
      <c r="J47" s="18">
        <v>15056.7623938537</v>
      </c>
      <c r="K47" s="18">
        <v>17381.499524656701</v>
      </c>
      <c r="L47" s="18">
        <v>-2324.7371308030015</v>
      </c>
      <c r="N47" s="110" t="s">
        <v>30</v>
      </c>
      <c r="O47" s="111"/>
      <c r="P47" s="18">
        <v>15754.686545365799</v>
      </c>
      <c r="Q47" s="18">
        <v>17381.499524656701</v>
      </c>
      <c r="R47" s="18">
        <v>-1626.8129792909021</v>
      </c>
      <c r="T47" s="110" t="s">
        <v>30</v>
      </c>
      <c r="U47" s="111"/>
      <c r="V47" s="18">
        <v>15675.308775412501</v>
      </c>
      <c r="W47" s="18">
        <v>17381.499524656701</v>
      </c>
      <c r="X47" s="18">
        <v>-1706.1907492442006</v>
      </c>
      <c r="Z47" s="110" t="s">
        <v>30</v>
      </c>
      <c r="AA47" s="111"/>
      <c r="AB47" s="18">
        <v>15821.160163353799</v>
      </c>
      <c r="AC47" s="18">
        <v>17381.499524656701</v>
      </c>
      <c r="AD47" s="18">
        <v>-1560.339361302902</v>
      </c>
      <c r="AF47" s="110" t="s">
        <v>30</v>
      </c>
      <c r="AG47" s="111"/>
      <c r="AH47" s="18">
        <v>15675.308775412501</v>
      </c>
      <c r="AI47" s="18">
        <v>17381.499524656701</v>
      </c>
      <c r="AJ47" s="18">
        <v>-1706.1907492442006</v>
      </c>
      <c r="AL47" s="110" t="s">
        <v>30</v>
      </c>
      <c r="AM47" s="111"/>
      <c r="AN47" s="18">
        <v>15675.308775412501</v>
      </c>
      <c r="AO47" s="18">
        <v>17381.499524656701</v>
      </c>
      <c r="AP47" s="18">
        <v>-1706.1907492442006</v>
      </c>
    </row>
    <row r="48" spans="2:42" x14ac:dyDescent="0.2">
      <c r="B48" s="103" t="s">
        <v>31</v>
      </c>
      <c r="C48" s="104"/>
      <c r="D48" s="18">
        <v>3919.4638534220599</v>
      </c>
      <c r="E48" s="18">
        <v>2825.2306214407599</v>
      </c>
      <c r="F48" s="18">
        <v>1094.2332319812999</v>
      </c>
      <c r="H48" s="103" t="s">
        <v>31</v>
      </c>
      <c r="I48" s="104"/>
      <c r="J48" s="18">
        <v>3919.4638534220599</v>
      </c>
      <c r="K48" s="18">
        <v>2825.2306214407599</v>
      </c>
      <c r="L48" s="18">
        <v>1094.2332319812999</v>
      </c>
      <c r="N48" s="103" t="s">
        <v>31</v>
      </c>
      <c r="O48" s="104"/>
      <c r="P48" s="18">
        <v>3615.4144797878898</v>
      </c>
      <c r="Q48" s="18">
        <v>2825.2306214407599</v>
      </c>
      <c r="R48" s="18">
        <v>790.1838583471299</v>
      </c>
      <c r="T48" s="103" t="s">
        <v>31</v>
      </c>
      <c r="U48" s="104"/>
      <c r="V48" s="18">
        <v>3494.7803856814899</v>
      </c>
      <c r="W48" s="18">
        <v>2825.2306214407599</v>
      </c>
      <c r="X48" s="18">
        <v>669.54976424072993</v>
      </c>
      <c r="Z48" s="103" t="s">
        <v>31</v>
      </c>
      <c r="AA48" s="104"/>
      <c r="AB48" s="18">
        <v>3428.2267433832999</v>
      </c>
      <c r="AC48" s="18">
        <v>2825.2306214407599</v>
      </c>
      <c r="AD48" s="18">
        <v>602.99612194253996</v>
      </c>
      <c r="AF48" s="103" t="s">
        <v>31</v>
      </c>
      <c r="AG48" s="104"/>
      <c r="AH48" s="18">
        <v>3494.7803856814899</v>
      </c>
      <c r="AI48" s="18">
        <v>2825.2306214407599</v>
      </c>
      <c r="AJ48" s="18">
        <v>669.54976424072993</v>
      </c>
      <c r="AL48" s="103" t="s">
        <v>31</v>
      </c>
      <c r="AM48" s="104"/>
      <c r="AN48" s="18">
        <v>3494.7803856814899</v>
      </c>
      <c r="AO48" s="18">
        <v>2825.2306214407599</v>
      </c>
      <c r="AP48" s="18">
        <v>669.54976424072993</v>
      </c>
    </row>
    <row r="49" spans="1:42" x14ac:dyDescent="0.2">
      <c r="B49" s="103" t="s">
        <v>32</v>
      </c>
      <c r="C49" s="104"/>
      <c r="D49" s="18">
        <v>3801.5402115072902</v>
      </c>
      <c r="E49" s="18">
        <v>2671.4767622480999</v>
      </c>
      <c r="F49" s="18">
        <v>1130.0634492591903</v>
      </c>
      <c r="H49" s="103" t="s">
        <v>32</v>
      </c>
      <c r="I49" s="104"/>
      <c r="J49" s="18">
        <v>3801.5402115072902</v>
      </c>
      <c r="K49" s="18">
        <v>2671.4767622480999</v>
      </c>
      <c r="L49" s="18">
        <v>1130.0634492591903</v>
      </c>
      <c r="N49" s="103" t="s">
        <v>32</v>
      </c>
      <c r="O49" s="104"/>
      <c r="P49" s="18">
        <v>3520.0828161732202</v>
      </c>
      <c r="Q49" s="18">
        <v>2671.4767622480999</v>
      </c>
      <c r="R49" s="18">
        <v>848.60605392512025</v>
      </c>
      <c r="T49" s="103" t="s">
        <v>32</v>
      </c>
      <c r="U49" s="104"/>
      <c r="V49" s="18">
        <v>3886.8504313523899</v>
      </c>
      <c r="W49" s="18">
        <v>2671.4767622480999</v>
      </c>
      <c r="X49" s="18">
        <v>1215.37366910429</v>
      </c>
      <c r="Z49" s="103" t="s">
        <v>32</v>
      </c>
      <c r="AA49" s="104"/>
      <c r="AB49" s="18">
        <v>3789.50483756824</v>
      </c>
      <c r="AC49" s="18">
        <v>2671.4767622480999</v>
      </c>
      <c r="AD49" s="18">
        <v>1118.02807532014</v>
      </c>
      <c r="AF49" s="103" t="s">
        <v>32</v>
      </c>
      <c r="AG49" s="104"/>
      <c r="AH49" s="18">
        <v>3886.8504313523899</v>
      </c>
      <c r="AI49" s="18">
        <v>2671.4767622480999</v>
      </c>
      <c r="AJ49" s="18">
        <v>1215.37366910429</v>
      </c>
      <c r="AL49" s="103" t="s">
        <v>32</v>
      </c>
      <c r="AM49" s="104"/>
      <c r="AN49" s="18">
        <v>3886.8504313523899</v>
      </c>
      <c r="AO49" s="18">
        <v>2671.4767622480999</v>
      </c>
      <c r="AP49" s="18">
        <v>1215.37366910429</v>
      </c>
    </row>
    <row r="50" spans="1:42" x14ac:dyDescent="0.2">
      <c r="B50" s="103" t="s">
        <v>33</v>
      </c>
      <c r="C50" s="104"/>
      <c r="D50" s="18">
        <v>3150.1203423575698</v>
      </c>
      <c r="E50" s="18">
        <v>3845.0608822109798</v>
      </c>
      <c r="F50" s="18">
        <v>-694.94053985340997</v>
      </c>
      <c r="H50" s="103" t="s">
        <v>33</v>
      </c>
      <c r="I50" s="104"/>
      <c r="J50" s="18">
        <v>3150.1203423575698</v>
      </c>
      <c r="K50" s="18">
        <v>3845.0608822109798</v>
      </c>
      <c r="L50" s="18">
        <v>-694.94053985340997</v>
      </c>
      <c r="N50" s="103" t="s">
        <v>33</v>
      </c>
      <c r="O50" s="104"/>
      <c r="P50" s="18">
        <v>3388.4088387448201</v>
      </c>
      <c r="Q50" s="18">
        <v>3845.0608822109798</v>
      </c>
      <c r="R50" s="18">
        <v>-456.65204346615974</v>
      </c>
      <c r="T50" s="103" t="s">
        <v>33</v>
      </c>
      <c r="U50" s="104"/>
      <c r="V50" s="18">
        <v>3427.36199099023</v>
      </c>
      <c r="W50" s="18">
        <v>3845.0608822109798</v>
      </c>
      <c r="X50" s="18">
        <v>-417.69889122074983</v>
      </c>
      <c r="Z50" s="103" t="s">
        <v>33</v>
      </c>
      <c r="AA50" s="104"/>
      <c r="AB50" s="18">
        <v>3478.21115191639</v>
      </c>
      <c r="AC50" s="18">
        <v>3845.0608822109798</v>
      </c>
      <c r="AD50" s="18">
        <v>-366.84973029458979</v>
      </c>
      <c r="AF50" s="103" t="s">
        <v>33</v>
      </c>
      <c r="AG50" s="104"/>
      <c r="AH50" s="18">
        <v>3427.36199099023</v>
      </c>
      <c r="AI50" s="18">
        <v>3845.0608822109798</v>
      </c>
      <c r="AJ50" s="18">
        <v>-417.69889122074983</v>
      </c>
      <c r="AL50" s="103" t="s">
        <v>33</v>
      </c>
      <c r="AM50" s="104"/>
      <c r="AN50" s="18">
        <v>3427.36199099023</v>
      </c>
      <c r="AO50" s="18">
        <v>3845.0608822109798</v>
      </c>
      <c r="AP50" s="18">
        <v>-417.69889122074983</v>
      </c>
    </row>
    <row r="51" spans="1:42" x14ac:dyDescent="0.2">
      <c r="B51" s="103" t="s">
        <v>34</v>
      </c>
      <c r="C51" s="104"/>
      <c r="D51" s="18">
        <v>4185.6379865668096</v>
      </c>
      <c r="E51" s="18">
        <v>8039.7312587569004</v>
      </c>
      <c r="F51" s="18">
        <v>-3854.0932721900908</v>
      </c>
      <c r="H51" s="103" t="s">
        <v>34</v>
      </c>
      <c r="I51" s="104"/>
      <c r="J51" s="18">
        <v>4185.6379865668096</v>
      </c>
      <c r="K51" s="18">
        <v>8039.7312587569004</v>
      </c>
      <c r="L51" s="18">
        <v>-3854.0932721900908</v>
      </c>
      <c r="N51" s="103" t="s">
        <v>34</v>
      </c>
      <c r="O51" s="104"/>
      <c r="P51" s="18">
        <v>5230.7804106598996</v>
      </c>
      <c r="Q51" s="18">
        <v>8039.7312587569004</v>
      </c>
      <c r="R51" s="18">
        <v>-2808.9508480970007</v>
      </c>
      <c r="T51" s="103" t="s">
        <v>34</v>
      </c>
      <c r="U51" s="104"/>
      <c r="V51" s="18">
        <v>4866.3159673883501</v>
      </c>
      <c r="W51" s="18">
        <v>8039.7312587569004</v>
      </c>
      <c r="X51" s="18">
        <v>-3173.4152913685502</v>
      </c>
      <c r="Z51" s="103" t="s">
        <v>34</v>
      </c>
      <c r="AA51" s="104"/>
      <c r="AB51" s="18">
        <v>5125.2174304859</v>
      </c>
      <c r="AC51" s="18">
        <v>8039.7312587569004</v>
      </c>
      <c r="AD51" s="18">
        <v>-2914.5138282710004</v>
      </c>
      <c r="AF51" s="103" t="s">
        <v>34</v>
      </c>
      <c r="AG51" s="104"/>
      <c r="AH51" s="18">
        <v>4866.3159673883501</v>
      </c>
      <c r="AI51" s="18">
        <v>8039.7312587569004</v>
      </c>
      <c r="AJ51" s="18">
        <v>-3173.4152913685502</v>
      </c>
      <c r="AL51" s="103" t="s">
        <v>34</v>
      </c>
      <c r="AM51" s="104"/>
      <c r="AN51" s="18">
        <v>4866.3159673883501</v>
      </c>
      <c r="AO51" s="18">
        <v>8039.7312587569004</v>
      </c>
      <c r="AP51" s="18">
        <v>-3173.4152913685502</v>
      </c>
    </row>
    <row r="52" spans="1:42" x14ac:dyDescent="0.2">
      <c r="D52" s="20"/>
      <c r="E52" s="6"/>
      <c r="F52" s="6"/>
      <c r="J52" s="20"/>
      <c r="K52" s="6"/>
      <c r="L52" s="6"/>
      <c r="P52" s="20"/>
      <c r="Q52" s="6"/>
      <c r="R52" s="6"/>
      <c r="V52" s="20"/>
      <c r="W52" s="6"/>
      <c r="X52" s="6"/>
      <c r="AB52" s="20"/>
      <c r="AC52" s="6"/>
      <c r="AD52" s="6"/>
      <c r="AH52" s="20"/>
      <c r="AI52" s="6"/>
      <c r="AJ52" s="6"/>
      <c r="AN52" s="20"/>
      <c r="AO52" s="6"/>
      <c r="AP52" s="6"/>
    </row>
    <row r="53" spans="1:42" ht="17" thickBot="1" x14ac:dyDescent="0.25">
      <c r="A53" s="2" t="s">
        <v>35</v>
      </c>
      <c r="B53" s="3"/>
      <c r="C53" s="4"/>
      <c r="D53" s="5"/>
      <c r="E53" s="5"/>
      <c r="F53" s="5"/>
      <c r="G53" s="2"/>
      <c r="H53" s="3"/>
      <c r="I53" s="4"/>
      <c r="J53" s="5"/>
      <c r="K53" s="5"/>
      <c r="L53" s="5"/>
      <c r="M53" s="2"/>
      <c r="N53" s="3"/>
      <c r="O53" s="4"/>
      <c r="P53" s="5"/>
      <c r="Q53" s="5"/>
      <c r="R53" s="5"/>
      <c r="S53" s="2"/>
      <c r="T53" s="3"/>
      <c r="U53" s="4"/>
      <c r="V53" s="5"/>
      <c r="W53" s="5"/>
      <c r="X53" s="5"/>
      <c r="Y53" s="2"/>
      <c r="Z53" s="3"/>
      <c r="AA53" s="4"/>
      <c r="AB53" s="5"/>
      <c r="AC53" s="5"/>
      <c r="AD53" s="5"/>
      <c r="AE53" s="2"/>
      <c r="AF53" s="3"/>
      <c r="AG53" s="4"/>
      <c r="AH53" s="5"/>
      <c r="AI53" s="5"/>
      <c r="AJ53" s="5"/>
      <c r="AK53" s="2"/>
      <c r="AL53" s="3"/>
      <c r="AM53" s="4"/>
      <c r="AN53" s="5"/>
      <c r="AO53" s="5"/>
      <c r="AP53" s="5"/>
    </row>
    <row r="54" spans="1:42" x14ac:dyDescent="0.2">
      <c r="D54" s="6"/>
      <c r="E54" s="6"/>
      <c r="F54" s="6"/>
      <c r="J54" s="6"/>
      <c r="K54" s="6"/>
      <c r="L54" s="6"/>
      <c r="P54" s="6"/>
      <c r="Q54" s="6"/>
      <c r="R54" s="6"/>
      <c r="V54" s="6"/>
      <c r="W54" s="6"/>
      <c r="X54" s="6"/>
      <c r="AB54" s="6"/>
      <c r="AC54" s="6"/>
      <c r="AD54" s="6"/>
      <c r="AH54" s="6"/>
      <c r="AI54" s="6"/>
      <c r="AJ54" s="6"/>
      <c r="AN54" s="6"/>
      <c r="AO54" s="6"/>
      <c r="AP54" s="6"/>
    </row>
    <row r="55" spans="1:42" x14ac:dyDescent="0.2">
      <c r="A55" s="21"/>
      <c r="B55" s="22"/>
      <c r="D55" s="8" t="s">
        <v>4</v>
      </c>
      <c r="E55" s="23" t="s">
        <v>5</v>
      </c>
      <c r="F55" s="8" t="s">
        <v>6</v>
      </c>
      <c r="G55" s="21"/>
      <c r="H55" s="22"/>
      <c r="J55" s="8" t="s">
        <v>4</v>
      </c>
      <c r="K55" s="23" t="s">
        <v>5</v>
      </c>
      <c r="L55" s="8" t="s">
        <v>6</v>
      </c>
      <c r="M55" s="21"/>
      <c r="N55" s="22"/>
      <c r="P55" s="8" t="s">
        <v>4</v>
      </c>
      <c r="Q55" s="23" t="s">
        <v>5</v>
      </c>
      <c r="R55" s="8" t="s">
        <v>6</v>
      </c>
      <c r="S55" s="21"/>
      <c r="T55" s="22"/>
      <c r="V55" s="8" t="s">
        <v>4</v>
      </c>
      <c r="W55" s="23" t="s">
        <v>5</v>
      </c>
      <c r="X55" s="8" t="s">
        <v>6</v>
      </c>
      <c r="Y55" s="21"/>
      <c r="Z55" s="22"/>
      <c r="AB55" s="8" t="s">
        <v>4</v>
      </c>
      <c r="AC55" s="23" t="s">
        <v>5</v>
      </c>
      <c r="AD55" s="8" t="s">
        <v>6</v>
      </c>
      <c r="AE55" s="21"/>
      <c r="AF55" s="22"/>
      <c r="AH55" s="8" t="s">
        <v>4</v>
      </c>
      <c r="AI55" s="23" t="s">
        <v>5</v>
      </c>
      <c r="AJ55" s="8" t="s">
        <v>6</v>
      </c>
      <c r="AK55" s="21"/>
      <c r="AL55" s="22"/>
      <c r="AN55" s="8" t="s">
        <v>4</v>
      </c>
      <c r="AO55" s="23" t="s">
        <v>5</v>
      </c>
      <c r="AP55" s="8" t="s">
        <v>6</v>
      </c>
    </row>
    <row r="56" spans="1:42" x14ac:dyDescent="0.2">
      <c r="A56" s="20"/>
      <c r="B56" s="110" t="s">
        <v>36</v>
      </c>
      <c r="C56" s="111"/>
      <c r="D56" s="41">
        <v>14640.9142207439</v>
      </c>
      <c r="E56" s="41">
        <v>0</v>
      </c>
      <c r="F56" s="41">
        <v>14640.9142207439</v>
      </c>
      <c r="G56" s="20"/>
      <c r="H56" s="110" t="s">
        <v>36</v>
      </c>
      <c r="I56" s="111"/>
      <c r="J56" s="41">
        <v>14624.424140392401</v>
      </c>
      <c r="K56" s="41">
        <v>0</v>
      </c>
      <c r="L56" s="41">
        <v>14624.424140392401</v>
      </c>
      <c r="M56" s="20"/>
      <c r="N56" s="110" t="s">
        <v>36</v>
      </c>
      <c r="O56" s="111"/>
      <c r="P56" s="41">
        <v>14691.354008419799</v>
      </c>
      <c r="Q56" s="41">
        <v>0</v>
      </c>
      <c r="R56" s="41">
        <v>14691.354008419799</v>
      </c>
      <c r="S56" s="20"/>
      <c r="T56" s="110" t="s">
        <v>36</v>
      </c>
      <c r="U56" s="111"/>
      <c r="V56" s="41">
        <v>14695.970870683999</v>
      </c>
      <c r="W56" s="41">
        <v>0</v>
      </c>
      <c r="X56" s="41">
        <v>14695.970870683999</v>
      </c>
      <c r="Y56" s="20"/>
      <c r="Z56" s="110" t="s">
        <v>36</v>
      </c>
      <c r="AA56" s="111"/>
      <c r="AB56" s="41">
        <v>12950.9911698222</v>
      </c>
      <c r="AC56" s="41">
        <v>0</v>
      </c>
      <c r="AD56" s="41">
        <v>12950.9911698222</v>
      </c>
      <c r="AE56" s="20"/>
      <c r="AF56" s="110" t="s">
        <v>36</v>
      </c>
      <c r="AG56" s="111"/>
      <c r="AH56" s="41">
        <v>19608.425702660599</v>
      </c>
      <c r="AI56" s="41">
        <v>4803.7192589686401</v>
      </c>
      <c r="AJ56" s="41">
        <v>14804.706443691959</v>
      </c>
      <c r="AK56" s="20"/>
      <c r="AL56" s="110" t="s">
        <v>36</v>
      </c>
      <c r="AM56" s="111"/>
      <c r="AN56" s="41">
        <v>19779.512353960901</v>
      </c>
      <c r="AO56" s="41">
        <v>5105.0359747067996</v>
      </c>
      <c r="AP56" s="41">
        <v>14674.476379254102</v>
      </c>
    </row>
    <row r="57" spans="1:42" x14ac:dyDescent="0.2">
      <c r="A57" s="20"/>
      <c r="B57" s="103" t="s">
        <v>37</v>
      </c>
      <c r="C57" s="104"/>
      <c r="D57" s="39">
        <v>14559.163288510999</v>
      </c>
      <c r="E57" s="39">
        <v>0</v>
      </c>
      <c r="F57" s="39">
        <v>14559.163288510999</v>
      </c>
      <c r="G57" s="20"/>
      <c r="H57" s="103" t="s">
        <v>37</v>
      </c>
      <c r="I57" s="104"/>
      <c r="J57" s="39">
        <v>14559.163288510999</v>
      </c>
      <c r="K57" s="39">
        <v>0</v>
      </c>
      <c r="L57" s="39">
        <v>14559.163288510999</v>
      </c>
      <c r="M57" s="20"/>
      <c r="N57" s="103" t="s">
        <v>37</v>
      </c>
      <c r="O57" s="104"/>
      <c r="P57" s="39">
        <v>14626.774326856201</v>
      </c>
      <c r="Q57" s="39">
        <v>0</v>
      </c>
      <c r="R57" s="39">
        <v>14626.774326856201</v>
      </c>
      <c r="S57" s="20"/>
      <c r="T57" s="103" t="s">
        <v>37</v>
      </c>
      <c r="U57" s="104"/>
      <c r="V57" s="39">
        <v>14631.1064560208</v>
      </c>
      <c r="W57" s="39">
        <v>0</v>
      </c>
      <c r="X57" s="39">
        <v>14631.1064560208</v>
      </c>
      <c r="Y57" s="20"/>
      <c r="Z57" s="103" t="s">
        <v>37</v>
      </c>
      <c r="AA57" s="104"/>
      <c r="AB57" s="39">
        <v>12893.701473851999</v>
      </c>
      <c r="AC57" s="39">
        <v>0</v>
      </c>
      <c r="AD57" s="39">
        <v>12893.701473851999</v>
      </c>
      <c r="AE57" s="20"/>
      <c r="AF57" s="103" t="s">
        <v>37</v>
      </c>
      <c r="AG57" s="104"/>
      <c r="AH57" s="39">
        <v>14631.1064560208</v>
      </c>
      <c r="AI57" s="39">
        <v>0</v>
      </c>
      <c r="AJ57" s="39">
        <v>14631.1064560208</v>
      </c>
      <c r="AK57" s="20"/>
      <c r="AL57" s="103" t="s">
        <v>37</v>
      </c>
      <c r="AM57" s="104"/>
      <c r="AN57" s="39">
        <v>14631.1064560208</v>
      </c>
      <c r="AO57" s="39">
        <v>0</v>
      </c>
      <c r="AP57" s="39">
        <v>14631.1064560208</v>
      </c>
    </row>
    <row r="58" spans="1:42" x14ac:dyDescent="0.2">
      <c r="B58" s="108" t="s">
        <v>38</v>
      </c>
      <c r="C58" s="109"/>
      <c r="D58" s="39">
        <v>14559.163288510999</v>
      </c>
      <c r="E58" s="39">
        <v>0</v>
      </c>
      <c r="F58" s="39">
        <v>14559.163288510999</v>
      </c>
      <c r="H58" s="108" t="s">
        <v>38</v>
      </c>
      <c r="I58" s="109"/>
      <c r="J58" s="39">
        <v>14559.163288510999</v>
      </c>
      <c r="K58" s="39">
        <v>0</v>
      </c>
      <c r="L58" s="39">
        <v>14559.163288510999</v>
      </c>
      <c r="N58" s="108" t="s">
        <v>38</v>
      </c>
      <c r="O58" s="109"/>
      <c r="P58" s="39">
        <v>14626.774326856201</v>
      </c>
      <c r="Q58" s="39">
        <v>0</v>
      </c>
      <c r="R58" s="39">
        <v>14626.774326856201</v>
      </c>
      <c r="T58" s="108" t="s">
        <v>38</v>
      </c>
      <c r="U58" s="109"/>
      <c r="V58" s="39">
        <v>14631.1064560208</v>
      </c>
      <c r="W58" s="39">
        <v>0</v>
      </c>
      <c r="X58" s="39">
        <v>14631.1064560208</v>
      </c>
      <c r="Z58" s="108" t="s">
        <v>38</v>
      </c>
      <c r="AA58" s="109"/>
      <c r="AB58" s="39">
        <v>12893.701473851999</v>
      </c>
      <c r="AC58" s="39">
        <v>0</v>
      </c>
      <c r="AD58" s="39">
        <v>12893.701473851999</v>
      </c>
      <c r="AF58" s="108" t="s">
        <v>38</v>
      </c>
      <c r="AG58" s="109"/>
      <c r="AH58" s="39">
        <v>14631.1064560208</v>
      </c>
      <c r="AI58" s="39">
        <v>0</v>
      </c>
      <c r="AJ58" s="39">
        <v>14631.1064560208</v>
      </c>
      <c r="AL58" s="108" t="s">
        <v>38</v>
      </c>
      <c r="AM58" s="109"/>
      <c r="AN58" s="39">
        <v>14631.1064560208</v>
      </c>
      <c r="AO58" s="39">
        <v>0</v>
      </c>
      <c r="AP58" s="39">
        <v>14631.1064560208</v>
      </c>
    </row>
    <row r="59" spans="1:42" x14ac:dyDescent="0.2">
      <c r="B59" s="108" t="s">
        <v>39</v>
      </c>
      <c r="C59" s="109"/>
      <c r="D59" s="39">
        <v>0</v>
      </c>
      <c r="E59" s="39">
        <v>0</v>
      </c>
      <c r="F59" s="39">
        <v>0</v>
      </c>
      <c r="H59" s="108" t="s">
        <v>39</v>
      </c>
      <c r="I59" s="109"/>
      <c r="J59" s="39">
        <v>0</v>
      </c>
      <c r="K59" s="39">
        <v>0</v>
      </c>
      <c r="L59" s="39">
        <v>0</v>
      </c>
      <c r="N59" s="108" t="s">
        <v>39</v>
      </c>
      <c r="O59" s="109"/>
      <c r="P59" s="39">
        <v>0</v>
      </c>
      <c r="Q59" s="39">
        <v>0</v>
      </c>
      <c r="R59" s="39">
        <v>0</v>
      </c>
      <c r="T59" s="108" t="s">
        <v>39</v>
      </c>
      <c r="U59" s="109"/>
      <c r="V59" s="39">
        <v>0</v>
      </c>
      <c r="W59" s="39">
        <v>0</v>
      </c>
      <c r="X59" s="39">
        <v>0</v>
      </c>
      <c r="Z59" s="108" t="s">
        <v>39</v>
      </c>
      <c r="AA59" s="109"/>
      <c r="AB59" s="39">
        <v>0</v>
      </c>
      <c r="AC59" s="39">
        <v>0</v>
      </c>
      <c r="AD59" s="39">
        <v>0</v>
      </c>
      <c r="AF59" s="108" t="s">
        <v>39</v>
      </c>
      <c r="AG59" s="109"/>
      <c r="AH59" s="39">
        <v>0</v>
      </c>
      <c r="AI59" s="39">
        <v>0</v>
      </c>
      <c r="AJ59" s="39">
        <v>0</v>
      </c>
      <c r="AL59" s="108" t="s">
        <v>39</v>
      </c>
      <c r="AM59" s="109"/>
      <c r="AN59" s="39">
        <v>0</v>
      </c>
      <c r="AO59" s="39">
        <v>0</v>
      </c>
      <c r="AP59" s="39">
        <v>0</v>
      </c>
    </row>
    <row r="60" spans="1:42" x14ac:dyDescent="0.2">
      <c r="A60" s="20"/>
      <c r="B60" s="103" t="s">
        <v>40</v>
      </c>
      <c r="C60" s="104"/>
      <c r="D60" s="39">
        <v>0</v>
      </c>
      <c r="E60" s="39">
        <v>0</v>
      </c>
      <c r="F60" s="39">
        <v>0</v>
      </c>
      <c r="G60" s="20"/>
      <c r="H60" s="103" t="s">
        <v>40</v>
      </c>
      <c r="I60" s="104"/>
      <c r="J60" s="39">
        <v>0</v>
      </c>
      <c r="K60" s="39">
        <v>0</v>
      </c>
      <c r="L60" s="39">
        <v>0</v>
      </c>
      <c r="M60" s="20"/>
      <c r="N60" s="103" t="s">
        <v>40</v>
      </c>
      <c r="O60" s="104"/>
      <c r="P60" s="39">
        <v>0</v>
      </c>
      <c r="Q60" s="39">
        <v>0</v>
      </c>
      <c r="R60" s="39">
        <v>0</v>
      </c>
      <c r="S60" s="20"/>
      <c r="T60" s="103" t="s">
        <v>40</v>
      </c>
      <c r="U60" s="104"/>
      <c r="V60" s="39">
        <v>0</v>
      </c>
      <c r="W60" s="39">
        <v>0</v>
      </c>
      <c r="X60" s="39">
        <v>0</v>
      </c>
      <c r="Y60" s="20"/>
      <c r="Z60" s="103" t="s">
        <v>40</v>
      </c>
      <c r="AA60" s="104"/>
      <c r="AB60" s="39">
        <v>0</v>
      </c>
      <c r="AC60" s="39">
        <v>0</v>
      </c>
      <c r="AD60" s="39">
        <v>0</v>
      </c>
      <c r="AE60" s="20"/>
      <c r="AF60" s="103" t="s">
        <v>40</v>
      </c>
      <c r="AG60" s="104"/>
      <c r="AH60" s="39">
        <v>4912.45483197665</v>
      </c>
      <c r="AI60" s="39">
        <v>4803.7192589686401</v>
      </c>
      <c r="AJ60" s="39">
        <v>108.73557300800985</v>
      </c>
      <c r="AK60" s="20"/>
      <c r="AL60" s="103" t="s">
        <v>40</v>
      </c>
      <c r="AM60" s="104"/>
      <c r="AN60" s="39">
        <v>5083.5414832769702</v>
      </c>
      <c r="AO60" s="39">
        <v>5105.0359747067996</v>
      </c>
      <c r="AP60" s="39">
        <v>-21.494491429829395</v>
      </c>
    </row>
    <row r="61" spans="1:42" x14ac:dyDescent="0.2">
      <c r="A61" s="20"/>
      <c r="B61" s="24" t="s">
        <v>41</v>
      </c>
      <c r="C61" s="19"/>
      <c r="D61" s="39">
        <v>0</v>
      </c>
      <c r="E61" s="39">
        <v>0</v>
      </c>
      <c r="F61" s="39">
        <v>0</v>
      </c>
      <c r="G61" s="20"/>
      <c r="H61" s="24" t="s">
        <v>41</v>
      </c>
      <c r="I61" s="19"/>
      <c r="J61" s="39">
        <v>0</v>
      </c>
      <c r="K61" s="39">
        <v>0</v>
      </c>
      <c r="L61" s="39">
        <v>0</v>
      </c>
      <c r="M61" s="20"/>
      <c r="N61" s="24" t="s">
        <v>41</v>
      </c>
      <c r="O61" s="19"/>
      <c r="P61" s="39">
        <v>0</v>
      </c>
      <c r="Q61" s="39">
        <v>0</v>
      </c>
      <c r="R61" s="39">
        <v>0</v>
      </c>
      <c r="S61" s="20"/>
      <c r="T61" s="24" t="s">
        <v>41</v>
      </c>
      <c r="U61" s="19"/>
      <c r="V61" s="39">
        <v>0</v>
      </c>
      <c r="W61" s="39">
        <v>0</v>
      </c>
      <c r="X61" s="39">
        <v>0</v>
      </c>
      <c r="Y61" s="20"/>
      <c r="Z61" s="24" t="s">
        <v>41</v>
      </c>
      <c r="AA61" s="19"/>
      <c r="AB61" s="39">
        <v>0</v>
      </c>
      <c r="AC61" s="39">
        <v>0</v>
      </c>
      <c r="AD61" s="39">
        <v>0</v>
      </c>
      <c r="AE61" s="20"/>
      <c r="AF61" s="24" t="s">
        <v>41</v>
      </c>
      <c r="AG61" s="19"/>
      <c r="AH61" s="39">
        <v>1444.90354555933</v>
      </c>
      <c r="AI61" s="39">
        <v>1143.4599796213799</v>
      </c>
      <c r="AJ61" s="39">
        <v>301.4435659379501</v>
      </c>
      <c r="AK61" s="20"/>
      <c r="AL61" s="24" t="s">
        <v>41</v>
      </c>
      <c r="AM61" s="19"/>
      <c r="AN61" s="39">
        <v>1444.90354555933</v>
      </c>
      <c r="AO61" s="39">
        <v>1143.4599796213799</v>
      </c>
      <c r="AP61" s="39">
        <v>301.4435659379501</v>
      </c>
    </row>
    <row r="62" spans="1:42" x14ac:dyDescent="0.2">
      <c r="A62" s="20"/>
      <c r="B62" s="24" t="s">
        <v>42</v>
      </c>
      <c r="C62" s="19"/>
      <c r="D62" s="39">
        <v>0</v>
      </c>
      <c r="E62" s="39">
        <v>0</v>
      </c>
      <c r="F62" s="39">
        <v>0</v>
      </c>
      <c r="G62" s="20"/>
      <c r="H62" s="24" t="s">
        <v>42</v>
      </c>
      <c r="I62" s="19"/>
      <c r="J62" s="39">
        <v>0</v>
      </c>
      <c r="K62" s="39">
        <v>0</v>
      </c>
      <c r="L62" s="39">
        <v>0</v>
      </c>
      <c r="M62" s="20"/>
      <c r="N62" s="24" t="s">
        <v>42</v>
      </c>
      <c r="O62" s="19"/>
      <c r="P62" s="39">
        <v>0</v>
      </c>
      <c r="Q62" s="39">
        <v>0</v>
      </c>
      <c r="R62" s="39">
        <v>0</v>
      </c>
      <c r="S62" s="20"/>
      <c r="T62" s="24" t="s">
        <v>42</v>
      </c>
      <c r="U62" s="19"/>
      <c r="V62" s="39">
        <v>0</v>
      </c>
      <c r="W62" s="39">
        <v>0</v>
      </c>
      <c r="X62" s="39">
        <v>0</v>
      </c>
      <c r="Y62" s="20"/>
      <c r="Z62" s="24" t="s">
        <v>42</v>
      </c>
      <c r="AA62" s="19"/>
      <c r="AB62" s="39">
        <v>0</v>
      </c>
      <c r="AC62" s="39">
        <v>0</v>
      </c>
      <c r="AD62" s="39">
        <v>0</v>
      </c>
      <c r="AE62" s="20"/>
      <c r="AF62" s="24" t="s">
        <v>42</v>
      </c>
      <c r="AG62" s="19"/>
      <c r="AH62" s="39">
        <v>1485.44484320688</v>
      </c>
      <c r="AI62" s="39">
        <v>1006.15354135339</v>
      </c>
      <c r="AJ62" s="39">
        <v>479.29130185349004</v>
      </c>
      <c r="AK62" s="20"/>
      <c r="AL62" s="24" t="s">
        <v>42</v>
      </c>
      <c r="AM62" s="19"/>
      <c r="AN62" s="39">
        <v>1485.44484320688</v>
      </c>
      <c r="AO62" s="39">
        <v>1006.15354135339</v>
      </c>
      <c r="AP62" s="39">
        <v>479.29130185349004</v>
      </c>
    </row>
    <row r="63" spans="1:42" x14ac:dyDescent="0.2">
      <c r="A63" s="20"/>
      <c r="B63" s="24" t="s">
        <v>43</v>
      </c>
      <c r="C63" s="19"/>
      <c r="D63" s="39">
        <v>0</v>
      </c>
      <c r="E63" s="39">
        <v>0</v>
      </c>
      <c r="F63" s="39">
        <v>0</v>
      </c>
      <c r="G63" s="20"/>
      <c r="H63" s="24" t="s">
        <v>43</v>
      </c>
      <c r="I63" s="19"/>
      <c r="J63" s="39">
        <v>0</v>
      </c>
      <c r="K63" s="39">
        <v>0</v>
      </c>
      <c r="L63" s="39">
        <v>0</v>
      </c>
      <c r="M63" s="20"/>
      <c r="N63" s="24" t="s">
        <v>43</v>
      </c>
      <c r="O63" s="19"/>
      <c r="P63" s="39">
        <v>0</v>
      </c>
      <c r="Q63" s="39">
        <v>0</v>
      </c>
      <c r="R63" s="39">
        <v>0</v>
      </c>
      <c r="S63" s="20"/>
      <c r="T63" s="24" t="s">
        <v>43</v>
      </c>
      <c r="U63" s="19"/>
      <c r="V63" s="39">
        <v>0</v>
      </c>
      <c r="W63" s="39">
        <v>0</v>
      </c>
      <c r="X63" s="39">
        <v>0</v>
      </c>
      <c r="Y63" s="20"/>
      <c r="Z63" s="24" t="s">
        <v>43</v>
      </c>
      <c r="AA63" s="19"/>
      <c r="AB63" s="39">
        <v>0</v>
      </c>
      <c r="AC63" s="39">
        <v>0</v>
      </c>
      <c r="AD63" s="39">
        <v>0</v>
      </c>
      <c r="AE63" s="20"/>
      <c r="AF63" s="24" t="s">
        <v>43</v>
      </c>
      <c r="AG63" s="19"/>
      <c r="AH63" s="39">
        <v>1148.8579605811699</v>
      </c>
      <c r="AI63" s="39">
        <v>1289.3283016279399</v>
      </c>
      <c r="AJ63" s="39">
        <v>-140.47034104677005</v>
      </c>
      <c r="AK63" s="20"/>
      <c r="AL63" s="24" t="s">
        <v>43</v>
      </c>
      <c r="AM63" s="19"/>
      <c r="AN63" s="39">
        <v>1212.6935873688799</v>
      </c>
      <c r="AO63" s="39">
        <v>1353.84150707354</v>
      </c>
      <c r="AP63" s="39">
        <v>-141.14791970466013</v>
      </c>
    </row>
    <row r="64" spans="1:42" x14ac:dyDescent="0.2">
      <c r="A64" s="20"/>
      <c r="B64" s="24" t="s">
        <v>44</v>
      </c>
      <c r="C64" s="19"/>
      <c r="D64" s="39">
        <v>0</v>
      </c>
      <c r="E64" s="39">
        <v>0</v>
      </c>
      <c r="F64" s="39">
        <v>0</v>
      </c>
      <c r="G64" s="20"/>
      <c r="H64" s="24" t="s">
        <v>44</v>
      </c>
      <c r="I64" s="19"/>
      <c r="J64" s="39">
        <v>0</v>
      </c>
      <c r="K64" s="39">
        <v>0</v>
      </c>
      <c r="L64" s="39">
        <v>0</v>
      </c>
      <c r="M64" s="20"/>
      <c r="N64" s="24" t="s">
        <v>44</v>
      </c>
      <c r="O64" s="19"/>
      <c r="P64" s="39">
        <v>0</v>
      </c>
      <c r="Q64" s="39">
        <v>0</v>
      </c>
      <c r="R64" s="39">
        <v>0</v>
      </c>
      <c r="S64" s="20"/>
      <c r="T64" s="24" t="s">
        <v>44</v>
      </c>
      <c r="U64" s="19"/>
      <c r="V64" s="39">
        <v>0</v>
      </c>
      <c r="W64" s="39">
        <v>0</v>
      </c>
      <c r="X64" s="39">
        <v>0</v>
      </c>
      <c r="Y64" s="20"/>
      <c r="Z64" s="24" t="s">
        <v>44</v>
      </c>
      <c r="AA64" s="19"/>
      <c r="AB64" s="39">
        <v>0</v>
      </c>
      <c r="AC64" s="39">
        <v>0</v>
      </c>
      <c r="AD64" s="39">
        <v>0</v>
      </c>
      <c r="AE64" s="20"/>
      <c r="AF64" s="24" t="s">
        <v>44</v>
      </c>
      <c r="AG64" s="19"/>
      <c r="AH64" s="39">
        <v>833.24848262926605</v>
      </c>
      <c r="AI64" s="39">
        <v>1364.77743636593</v>
      </c>
      <c r="AJ64" s="39">
        <v>-531.52895373666399</v>
      </c>
      <c r="AK64" s="20"/>
      <c r="AL64" s="24" t="s">
        <v>44</v>
      </c>
      <c r="AM64" s="19"/>
      <c r="AN64" s="39">
        <v>940.49950714187196</v>
      </c>
      <c r="AO64" s="39">
        <v>1601.5809466584899</v>
      </c>
      <c r="AP64" s="39">
        <v>-661.08143951661793</v>
      </c>
    </row>
    <row r="65" spans="1:42" x14ac:dyDescent="0.2">
      <c r="A65" s="20"/>
      <c r="B65" s="103" t="s">
        <v>45</v>
      </c>
      <c r="C65" s="104"/>
      <c r="D65" s="39">
        <v>81.750932232967401</v>
      </c>
      <c r="E65" s="39">
        <v>0</v>
      </c>
      <c r="F65" s="39">
        <v>81.750932232967401</v>
      </c>
      <c r="G65" s="20"/>
      <c r="H65" s="103" t="s">
        <v>45</v>
      </c>
      <c r="I65" s="104"/>
      <c r="J65" s="39">
        <v>65.260851881489799</v>
      </c>
      <c r="K65" s="39">
        <v>0</v>
      </c>
      <c r="L65" s="39">
        <v>65.260851881489799</v>
      </c>
      <c r="M65" s="20"/>
      <c r="N65" s="103" t="s">
        <v>45</v>
      </c>
      <c r="O65" s="104"/>
      <c r="P65" s="39">
        <v>64.579681563578106</v>
      </c>
      <c r="Q65" s="39">
        <v>0</v>
      </c>
      <c r="R65" s="39">
        <v>64.579681563578106</v>
      </c>
      <c r="S65" s="20"/>
      <c r="T65" s="103" t="s">
        <v>45</v>
      </c>
      <c r="U65" s="104"/>
      <c r="V65" s="39">
        <v>64.864414663216195</v>
      </c>
      <c r="W65" s="39">
        <v>0</v>
      </c>
      <c r="X65" s="39">
        <v>64.864414663216195</v>
      </c>
      <c r="Y65" s="20"/>
      <c r="Z65" s="103" t="s">
        <v>45</v>
      </c>
      <c r="AA65" s="104"/>
      <c r="AB65" s="39">
        <v>57.289695970251501</v>
      </c>
      <c r="AC65" s="39">
        <v>0</v>
      </c>
      <c r="AD65" s="39">
        <v>57.289695970251501</v>
      </c>
      <c r="AE65" s="20"/>
      <c r="AF65" s="103" t="s">
        <v>45</v>
      </c>
      <c r="AG65" s="104"/>
      <c r="AH65" s="39">
        <v>64.864414663216195</v>
      </c>
      <c r="AI65" s="39">
        <v>0</v>
      </c>
      <c r="AJ65" s="39">
        <v>64.864414663216195</v>
      </c>
      <c r="AK65" s="20"/>
      <c r="AL65" s="103" t="s">
        <v>45</v>
      </c>
      <c r="AM65" s="104"/>
      <c r="AN65" s="39">
        <v>64.864414663216195</v>
      </c>
      <c r="AO65" s="39">
        <v>0</v>
      </c>
      <c r="AP65" s="39">
        <v>64.864414663216195</v>
      </c>
    </row>
    <row r="66" spans="1:42" x14ac:dyDescent="0.2">
      <c r="A66" s="20"/>
      <c r="B66" s="108" t="s">
        <v>46</v>
      </c>
      <c r="C66" s="109"/>
      <c r="D66" s="39">
        <v>5.01611346139142</v>
      </c>
      <c r="E66" s="39">
        <v>0</v>
      </c>
      <c r="F66" s="39">
        <v>5.01611346139142</v>
      </c>
      <c r="G66" s="20"/>
      <c r="H66" s="108" t="s">
        <v>46</v>
      </c>
      <c r="I66" s="109"/>
      <c r="J66" s="39">
        <v>3.87299686422902</v>
      </c>
      <c r="K66" s="39">
        <v>0</v>
      </c>
      <c r="L66" s="39">
        <v>3.87299686422902</v>
      </c>
      <c r="M66" s="20"/>
      <c r="N66" s="108" t="s">
        <v>46</v>
      </c>
      <c r="O66" s="109"/>
      <c r="P66" s="39">
        <v>2.91970885437842</v>
      </c>
      <c r="Q66" s="39">
        <v>0</v>
      </c>
      <c r="R66" s="39">
        <v>2.91970885437842</v>
      </c>
      <c r="S66" s="20"/>
      <c r="T66" s="108" t="s">
        <v>46</v>
      </c>
      <c r="U66" s="109"/>
      <c r="V66" s="39">
        <v>3.1876792459768302</v>
      </c>
      <c r="W66" s="39">
        <v>0</v>
      </c>
      <c r="X66" s="39">
        <v>3.1876792459768302</v>
      </c>
      <c r="Y66" s="20"/>
      <c r="Z66" s="108" t="s">
        <v>46</v>
      </c>
      <c r="AA66" s="109"/>
      <c r="AB66" s="39">
        <v>2.9366727459575701</v>
      </c>
      <c r="AC66" s="39">
        <v>0</v>
      </c>
      <c r="AD66" s="39">
        <v>2.9366727459575701</v>
      </c>
      <c r="AE66" s="20"/>
      <c r="AF66" s="108" t="s">
        <v>46</v>
      </c>
      <c r="AG66" s="109"/>
      <c r="AH66" s="39">
        <v>3.1876792459768302</v>
      </c>
      <c r="AI66" s="39">
        <v>0</v>
      </c>
      <c r="AJ66" s="39">
        <v>3.1876792459768302</v>
      </c>
      <c r="AK66" s="20"/>
      <c r="AL66" s="108" t="s">
        <v>46</v>
      </c>
      <c r="AM66" s="109"/>
      <c r="AN66" s="39">
        <v>3.1876792459768302</v>
      </c>
      <c r="AO66" s="39">
        <v>0</v>
      </c>
      <c r="AP66" s="39">
        <v>3.1876792459768302</v>
      </c>
    </row>
    <row r="67" spans="1:42" x14ac:dyDescent="0.2">
      <c r="A67" s="20"/>
      <c r="B67" s="108" t="s">
        <v>47</v>
      </c>
      <c r="C67" s="109"/>
      <c r="D67" s="39">
        <v>76.734818771576002</v>
      </c>
      <c r="E67" s="39">
        <v>0</v>
      </c>
      <c r="F67" s="39">
        <v>76.734818771576002</v>
      </c>
      <c r="G67" s="20"/>
      <c r="H67" s="108" t="s">
        <v>47</v>
      </c>
      <c r="I67" s="109"/>
      <c r="J67" s="39">
        <v>61.387855017260797</v>
      </c>
      <c r="K67" s="39">
        <v>0</v>
      </c>
      <c r="L67" s="39">
        <v>61.387855017260797</v>
      </c>
      <c r="M67" s="20"/>
      <c r="N67" s="108" t="s">
        <v>47</v>
      </c>
      <c r="O67" s="109"/>
      <c r="P67" s="39">
        <v>61.6599727091996</v>
      </c>
      <c r="Q67" s="39">
        <v>0</v>
      </c>
      <c r="R67" s="39">
        <v>61.6599727091996</v>
      </c>
      <c r="S67" s="20"/>
      <c r="T67" s="108" t="s">
        <v>47</v>
      </c>
      <c r="U67" s="109"/>
      <c r="V67" s="39">
        <v>61.676735417239399</v>
      </c>
      <c r="W67" s="39">
        <v>0</v>
      </c>
      <c r="X67" s="39">
        <v>61.676735417239399</v>
      </c>
      <c r="Y67" s="20"/>
      <c r="Z67" s="108" t="s">
        <v>47</v>
      </c>
      <c r="AA67" s="109"/>
      <c r="AB67" s="39">
        <v>54.353023224293899</v>
      </c>
      <c r="AC67" s="39">
        <v>0</v>
      </c>
      <c r="AD67" s="39">
        <v>54.353023224293899</v>
      </c>
      <c r="AE67" s="20"/>
      <c r="AF67" s="108" t="s">
        <v>47</v>
      </c>
      <c r="AG67" s="109"/>
      <c r="AH67" s="39">
        <v>61.676735417239399</v>
      </c>
      <c r="AI67" s="39">
        <v>0</v>
      </c>
      <c r="AJ67" s="39">
        <v>61.676735417239399</v>
      </c>
      <c r="AK67" s="20"/>
      <c r="AL67" s="108" t="s">
        <v>47</v>
      </c>
      <c r="AM67" s="109"/>
      <c r="AN67" s="39">
        <v>61.676735417239399</v>
      </c>
      <c r="AO67" s="39">
        <v>0</v>
      </c>
      <c r="AP67" s="39">
        <v>61.676735417239399</v>
      </c>
    </row>
    <row r="68" spans="1:42" x14ac:dyDescent="0.2">
      <c r="A68" s="20"/>
      <c r="B68" s="103" t="s">
        <v>48</v>
      </c>
      <c r="C68" s="104"/>
      <c r="D68" s="39">
        <v>0</v>
      </c>
      <c r="E68" s="39">
        <v>0</v>
      </c>
      <c r="F68" s="39">
        <v>0</v>
      </c>
      <c r="G68" s="20"/>
      <c r="H68" s="103" t="s">
        <v>48</v>
      </c>
      <c r="I68" s="104"/>
      <c r="J68" s="39">
        <v>0</v>
      </c>
      <c r="K68" s="39">
        <v>0</v>
      </c>
      <c r="L68" s="39">
        <v>0</v>
      </c>
      <c r="M68" s="20"/>
      <c r="N68" s="103" t="s">
        <v>48</v>
      </c>
      <c r="O68" s="104"/>
      <c r="P68" s="39">
        <v>0</v>
      </c>
      <c r="Q68" s="39">
        <v>0</v>
      </c>
      <c r="R68" s="39">
        <v>0</v>
      </c>
      <c r="S68" s="20"/>
      <c r="T68" s="103" t="s">
        <v>48</v>
      </c>
      <c r="U68" s="104"/>
      <c r="V68" s="39">
        <v>0</v>
      </c>
      <c r="W68" s="39">
        <v>0</v>
      </c>
      <c r="X68" s="39">
        <v>0</v>
      </c>
      <c r="Y68" s="20"/>
      <c r="Z68" s="103" t="s">
        <v>48</v>
      </c>
      <c r="AA68" s="104"/>
      <c r="AB68" s="39">
        <v>0</v>
      </c>
      <c r="AC68" s="39">
        <v>0</v>
      </c>
      <c r="AD68" s="39">
        <v>0</v>
      </c>
      <c r="AE68" s="20"/>
      <c r="AF68" s="103" t="s">
        <v>48</v>
      </c>
      <c r="AG68" s="104"/>
      <c r="AH68" s="39">
        <v>0</v>
      </c>
      <c r="AI68" s="39">
        <v>0</v>
      </c>
      <c r="AJ68" s="39">
        <v>0</v>
      </c>
      <c r="AK68" s="20"/>
      <c r="AL68" s="103" t="s">
        <v>48</v>
      </c>
      <c r="AM68" s="104"/>
      <c r="AN68" s="39">
        <v>0</v>
      </c>
      <c r="AO68" s="39">
        <v>0</v>
      </c>
      <c r="AP68" s="39">
        <v>0</v>
      </c>
    </row>
    <row r="69" spans="1:42" x14ac:dyDescent="0.2">
      <c r="C69" s="25"/>
      <c r="D69" s="6"/>
      <c r="E69" s="6"/>
      <c r="F69" s="6"/>
      <c r="I69" s="25"/>
      <c r="J69" s="6"/>
      <c r="K69" s="6"/>
      <c r="L69" s="6"/>
      <c r="O69" s="25"/>
      <c r="P69" s="6"/>
      <c r="Q69" s="6"/>
      <c r="R69" s="6"/>
      <c r="U69" s="25"/>
      <c r="V69" s="6"/>
      <c r="W69" s="6"/>
      <c r="X69" s="6"/>
      <c r="AA69" s="25"/>
      <c r="AB69" s="6"/>
      <c r="AC69" s="6"/>
      <c r="AD69" s="6"/>
      <c r="AG69" s="25"/>
      <c r="AH69" s="6"/>
      <c r="AI69" s="6"/>
      <c r="AJ69" s="6"/>
      <c r="AM69" s="25"/>
      <c r="AN69" s="6"/>
      <c r="AO69" s="6"/>
      <c r="AP69" s="6"/>
    </row>
    <row r="70" spans="1:42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</row>
    <row r="71" spans="1:42" ht="17" thickBot="1" x14ac:dyDescent="0.25">
      <c r="A71" s="2" t="s">
        <v>49</v>
      </c>
      <c r="B71" s="3"/>
      <c r="C71" s="4"/>
      <c r="D71" s="5"/>
      <c r="E71" s="5"/>
      <c r="F71" s="5"/>
      <c r="G71" s="2"/>
      <c r="H71" s="3"/>
      <c r="I71" s="4"/>
      <c r="J71" s="5"/>
      <c r="K71" s="5"/>
      <c r="L71" s="5"/>
      <c r="M71" s="2"/>
      <c r="N71" s="3"/>
      <c r="O71" s="4"/>
      <c r="P71" s="5"/>
      <c r="Q71" s="5"/>
      <c r="R71" s="5"/>
      <c r="S71" s="2"/>
      <c r="T71" s="3"/>
      <c r="U71" s="4"/>
      <c r="V71" s="5"/>
      <c r="W71" s="5"/>
      <c r="X71" s="5"/>
      <c r="Y71" s="2"/>
      <c r="Z71" s="3"/>
      <c r="AA71" s="4"/>
      <c r="AB71" s="5"/>
      <c r="AC71" s="5"/>
      <c r="AD71" s="5"/>
      <c r="AE71" s="2"/>
      <c r="AF71" s="3"/>
      <c r="AG71" s="4"/>
      <c r="AH71" s="5"/>
      <c r="AI71" s="5"/>
      <c r="AJ71" s="5"/>
      <c r="AK71" s="2"/>
      <c r="AL71" s="3"/>
      <c r="AM71" s="4"/>
      <c r="AN71" s="5"/>
      <c r="AO71" s="5"/>
      <c r="AP71" s="5"/>
    </row>
    <row r="72" spans="1:42" x14ac:dyDescent="0.2">
      <c r="D72" s="6"/>
      <c r="E72" s="6"/>
      <c r="F72" s="6"/>
      <c r="J72" s="6"/>
      <c r="K72" s="6"/>
      <c r="L72" s="6"/>
      <c r="P72" s="6"/>
      <c r="Q72" s="6"/>
      <c r="R72" s="6"/>
      <c r="V72" s="6"/>
      <c r="W72" s="6"/>
      <c r="X72" s="6"/>
      <c r="AB72" s="6"/>
      <c r="AC72" s="6"/>
      <c r="AD72" s="6"/>
      <c r="AH72" s="6"/>
      <c r="AI72" s="6"/>
      <c r="AJ72" s="6"/>
      <c r="AN72" s="6"/>
      <c r="AO72" s="6"/>
      <c r="AP72" s="6"/>
    </row>
    <row r="73" spans="1:42" x14ac:dyDescent="0.2">
      <c r="D73" s="6"/>
      <c r="E73" s="6"/>
      <c r="F73" s="6"/>
      <c r="J73" s="6"/>
      <c r="K73" s="6"/>
      <c r="L73" s="6"/>
      <c r="P73" s="6"/>
      <c r="Q73" s="6"/>
      <c r="R73" s="6"/>
      <c r="V73" s="6"/>
      <c r="W73" s="6"/>
      <c r="X73" s="6"/>
      <c r="AB73" s="6"/>
      <c r="AC73" s="6"/>
      <c r="AD73" s="6"/>
      <c r="AH73" s="6"/>
      <c r="AI73" s="6"/>
      <c r="AJ73" s="6"/>
      <c r="AN73" s="6"/>
      <c r="AO73" s="6"/>
      <c r="AP73" s="6"/>
    </row>
    <row r="74" spans="1:42" x14ac:dyDescent="0.2">
      <c r="D74" s="8" t="s">
        <v>4</v>
      </c>
      <c r="E74" s="23" t="s">
        <v>5</v>
      </c>
      <c r="J74" s="8" t="s">
        <v>4</v>
      </c>
      <c r="K74" s="23" t="s">
        <v>5</v>
      </c>
      <c r="P74" s="8" t="s">
        <v>4</v>
      </c>
      <c r="Q74" s="23" t="s">
        <v>5</v>
      </c>
      <c r="V74" s="8" t="s">
        <v>4</v>
      </c>
      <c r="W74" s="23" t="s">
        <v>5</v>
      </c>
      <c r="AB74" s="8" t="s">
        <v>4</v>
      </c>
      <c r="AC74" s="23" t="s">
        <v>5</v>
      </c>
      <c r="AH74" s="8" t="s">
        <v>4</v>
      </c>
      <c r="AI74" s="23" t="s">
        <v>5</v>
      </c>
      <c r="AN74" s="8" t="s">
        <v>4</v>
      </c>
      <c r="AO74" s="23" t="s">
        <v>5</v>
      </c>
    </row>
    <row r="75" spans="1:42" x14ac:dyDescent="0.2">
      <c r="C75" s="26" t="s">
        <v>50</v>
      </c>
      <c r="D75" s="27">
        <v>0.17221747940920196</v>
      </c>
      <c r="E75" s="28" t="s">
        <v>51</v>
      </c>
      <c r="I75" s="26" t="s">
        <v>50</v>
      </c>
      <c r="J75" s="27">
        <v>0.17221747940920196</v>
      </c>
      <c r="K75" s="28" t="s">
        <v>51</v>
      </c>
      <c r="O75" s="26" t="s">
        <v>50</v>
      </c>
      <c r="P75" s="27">
        <v>0.12981102392670252</v>
      </c>
      <c r="Q75" s="28" t="s">
        <v>51</v>
      </c>
      <c r="U75" s="26" t="s">
        <v>50</v>
      </c>
      <c r="V75" s="27">
        <v>0.13941868308220151</v>
      </c>
      <c r="W75" s="28" t="s">
        <v>51</v>
      </c>
      <c r="AA75" s="26" t="s">
        <v>50</v>
      </c>
      <c r="AB75" s="27">
        <v>0.12751442249600231</v>
      </c>
      <c r="AC75" s="28" t="s">
        <v>51</v>
      </c>
      <c r="AG75" s="26" t="s">
        <v>50</v>
      </c>
      <c r="AH75" s="27">
        <v>0.13941868308220151</v>
      </c>
      <c r="AI75" s="28" t="s">
        <v>51</v>
      </c>
      <c r="AM75" s="26" t="s">
        <v>50</v>
      </c>
      <c r="AN75" s="27">
        <v>0.13941868308220151</v>
      </c>
      <c r="AO75" s="28" t="s">
        <v>51</v>
      </c>
    </row>
    <row r="76" spans="1:42" x14ac:dyDescent="0.2">
      <c r="C76" s="26" t="s">
        <v>52</v>
      </c>
      <c r="D76" s="27">
        <v>0.1253689846760988</v>
      </c>
      <c r="E76" s="28" t="s">
        <v>51</v>
      </c>
      <c r="I76" s="26" t="s">
        <v>52</v>
      </c>
      <c r="J76" s="27">
        <v>0.12578123668489916</v>
      </c>
      <c r="K76" s="28" t="s">
        <v>51</v>
      </c>
      <c r="O76" s="26" t="s">
        <v>52</v>
      </c>
      <c r="P76" s="27">
        <v>9.6173358369698647E-2</v>
      </c>
      <c r="Q76" s="28" t="s">
        <v>51</v>
      </c>
      <c r="U76" s="26" t="s">
        <v>52</v>
      </c>
      <c r="V76" s="27">
        <v>0.10276112096669898</v>
      </c>
      <c r="W76" s="28" t="s">
        <v>51</v>
      </c>
      <c r="AA76" s="26" t="s">
        <v>52</v>
      </c>
      <c r="AB76" s="27">
        <v>9.4004961787899077E-2</v>
      </c>
      <c r="AC76" s="28" t="s">
        <v>51</v>
      </c>
      <c r="AG76" s="26" t="s">
        <v>52</v>
      </c>
      <c r="AH76" s="27">
        <v>0.10276112096669898</v>
      </c>
      <c r="AI76" s="28" t="s">
        <v>51</v>
      </c>
      <c r="AM76" s="26" t="s">
        <v>52</v>
      </c>
      <c r="AN76" s="27">
        <v>0.10276112096669898</v>
      </c>
      <c r="AO76" s="28" t="s">
        <v>51</v>
      </c>
    </row>
    <row r="77" spans="1:42" x14ac:dyDescent="0.2">
      <c r="C77" s="26" t="s">
        <v>53</v>
      </c>
      <c r="D77" s="39">
        <v>14640.9142207439</v>
      </c>
      <c r="E77" s="28" t="s">
        <v>51</v>
      </c>
      <c r="I77" s="26" t="s">
        <v>53</v>
      </c>
      <c r="J77" s="39">
        <v>14624.424140392401</v>
      </c>
      <c r="K77" s="28" t="s">
        <v>51</v>
      </c>
      <c r="O77" s="26" t="s">
        <v>53</v>
      </c>
      <c r="P77" s="39">
        <v>14691.354008419799</v>
      </c>
      <c r="Q77" s="28" t="s">
        <v>51</v>
      </c>
      <c r="U77" s="26" t="s">
        <v>53</v>
      </c>
      <c r="V77" s="39">
        <v>14695.970870683999</v>
      </c>
      <c r="W77" s="28" t="s">
        <v>51</v>
      </c>
      <c r="AA77" s="26" t="s">
        <v>53</v>
      </c>
      <c r="AB77" s="39">
        <v>12950.9911698222</v>
      </c>
      <c r="AC77" s="28" t="s">
        <v>51</v>
      </c>
      <c r="AG77" s="26" t="s">
        <v>53</v>
      </c>
      <c r="AH77" s="39">
        <v>14804.706443691959</v>
      </c>
      <c r="AI77" s="28" t="s">
        <v>51</v>
      </c>
      <c r="AM77" s="26" t="s">
        <v>53</v>
      </c>
      <c r="AN77" s="39">
        <v>14674.476379254102</v>
      </c>
      <c r="AO77" s="28" t="s">
        <v>51</v>
      </c>
    </row>
    <row r="78" spans="1:42" ht="17" thickBot="1" x14ac:dyDescent="0.25">
      <c r="C78" s="26" t="s">
        <v>54</v>
      </c>
      <c r="D78" s="37">
        <v>85014.101187464039</v>
      </c>
      <c r="E78" s="30" t="s">
        <v>51</v>
      </c>
      <c r="I78" s="26" t="s">
        <v>54</v>
      </c>
      <c r="J78" s="37">
        <v>84918.349696918085</v>
      </c>
      <c r="K78" s="30" t="s">
        <v>51</v>
      </c>
      <c r="O78" s="26" t="s">
        <v>54</v>
      </c>
      <c r="P78" s="37">
        <v>113174.93356123003</v>
      </c>
      <c r="Q78" s="30" t="s">
        <v>51</v>
      </c>
      <c r="U78" s="26" t="s">
        <v>54</v>
      </c>
      <c r="V78" s="37">
        <v>105408.90607910296</v>
      </c>
      <c r="W78" s="30" t="s">
        <v>51</v>
      </c>
      <c r="AA78" s="26" t="s">
        <v>54</v>
      </c>
      <c r="AB78" s="37">
        <v>101564.91255119181</v>
      </c>
      <c r="AC78" s="30" t="s">
        <v>51</v>
      </c>
      <c r="AG78" s="26" t="s">
        <v>54</v>
      </c>
      <c r="AH78" s="37">
        <v>106188.82718152687</v>
      </c>
      <c r="AI78" s="30" t="s">
        <v>51</v>
      </c>
      <c r="AM78" s="26" t="s">
        <v>54</v>
      </c>
      <c r="AN78" s="37">
        <v>105254.73383364268</v>
      </c>
      <c r="AO78" s="30" t="s">
        <v>51</v>
      </c>
    </row>
    <row r="79" spans="1:42" ht="17" thickBot="1" x14ac:dyDescent="0.25">
      <c r="C79" s="31" t="s">
        <v>55</v>
      </c>
      <c r="D79" s="40">
        <v>116782.58588892555</v>
      </c>
      <c r="E79" s="32" t="s">
        <v>51</v>
      </c>
      <c r="I79" s="31" t="s">
        <v>55</v>
      </c>
      <c r="J79" s="40">
        <v>116268.72597085983</v>
      </c>
      <c r="K79" s="32" t="s">
        <v>51</v>
      </c>
      <c r="O79" s="31" t="s">
        <v>55</v>
      </c>
      <c r="P79" s="40">
        <v>152759.08273832939</v>
      </c>
      <c r="Q79" s="32" t="s">
        <v>51</v>
      </c>
      <c r="U79" s="31" t="s">
        <v>55</v>
      </c>
      <c r="V79" s="40">
        <v>143011.00194738447</v>
      </c>
      <c r="W79" s="32" t="s">
        <v>51</v>
      </c>
      <c r="AA79" s="31" t="s">
        <v>55</v>
      </c>
      <c r="AB79" s="40">
        <v>137769.22966091067</v>
      </c>
      <c r="AC79" s="32" t="s">
        <v>51</v>
      </c>
      <c r="AG79" s="31" t="s">
        <v>55</v>
      </c>
      <c r="AH79" s="40">
        <v>144069.14117343668</v>
      </c>
      <c r="AI79" s="32" t="s">
        <v>51</v>
      </c>
      <c r="AM79" s="31" t="s">
        <v>55</v>
      </c>
      <c r="AN79" s="40">
        <v>142801.83245577427</v>
      </c>
      <c r="AO79" s="32" t="s">
        <v>51</v>
      </c>
    </row>
    <row r="80" spans="1:42" x14ac:dyDescent="0.2">
      <c r="D80" s="130"/>
      <c r="E80" s="6"/>
      <c r="J80" s="130"/>
      <c r="K80" s="6"/>
      <c r="P80" s="130"/>
      <c r="Q80" s="6"/>
      <c r="V80" s="130"/>
      <c r="W80" s="6"/>
      <c r="AB80" s="130"/>
      <c r="AC80" s="6"/>
      <c r="AH80" s="130"/>
      <c r="AI80" s="6"/>
      <c r="AN80" s="130"/>
      <c r="AO80" s="6"/>
    </row>
    <row r="81" spans="1:42" x14ac:dyDescent="0.2">
      <c r="C81" s="26" t="s">
        <v>56</v>
      </c>
      <c r="D81" s="42">
        <v>30000</v>
      </c>
      <c r="E81" s="42">
        <v>20000</v>
      </c>
      <c r="F81" s="42">
        <v>10000</v>
      </c>
      <c r="I81" s="26" t="s">
        <v>56</v>
      </c>
      <c r="J81" s="42">
        <v>30000</v>
      </c>
      <c r="K81" s="42">
        <v>20000</v>
      </c>
      <c r="L81" s="42">
        <v>10000</v>
      </c>
      <c r="O81" s="26" t="s">
        <v>56</v>
      </c>
      <c r="P81" s="42">
        <v>30000</v>
      </c>
      <c r="Q81" s="42">
        <v>20000</v>
      </c>
      <c r="R81" s="42">
        <v>10000</v>
      </c>
      <c r="U81" s="26" t="s">
        <v>56</v>
      </c>
      <c r="V81" s="42">
        <v>30000</v>
      </c>
      <c r="W81" s="42">
        <v>20000</v>
      </c>
      <c r="X81" s="42">
        <v>10000</v>
      </c>
      <c r="AA81" s="26" t="s">
        <v>56</v>
      </c>
      <c r="AB81" s="42">
        <v>30000</v>
      </c>
      <c r="AC81" s="42">
        <v>20000</v>
      </c>
      <c r="AD81" s="42">
        <v>10000</v>
      </c>
      <c r="AG81" s="26" t="s">
        <v>56</v>
      </c>
      <c r="AH81" s="42">
        <v>30000</v>
      </c>
      <c r="AI81" s="42">
        <v>20000</v>
      </c>
      <c r="AJ81" s="42">
        <v>10000</v>
      </c>
      <c r="AM81" s="26" t="s">
        <v>56</v>
      </c>
      <c r="AN81" s="42">
        <v>30000</v>
      </c>
      <c r="AO81" s="42">
        <v>20000</v>
      </c>
      <c r="AP81" s="42">
        <v>10000</v>
      </c>
    </row>
    <row r="82" spans="1:42" x14ac:dyDescent="0.2">
      <c r="C82" s="26" t="s">
        <v>57</v>
      </c>
      <c r="D82" s="38">
        <v>239.82651268118391</v>
      </c>
      <c r="E82" s="38">
        <f>949*((E81*D76)+(-F56+F57))/F57</f>
        <v>158.10810338804544</v>
      </c>
      <c r="F82" s="38">
        <f>949*((F81*D76)+(-F56+F57))/F57</f>
        <v>76.389694094906957</v>
      </c>
      <c r="I82" s="26" t="s">
        <v>57</v>
      </c>
      <c r="J82" s="38">
        <v>241.70752056614455</v>
      </c>
      <c r="K82" s="38">
        <f>949*((K81*J76)+(-L56+L57))/L57</f>
        <v>159.72039586086404</v>
      </c>
      <c r="L82" s="38">
        <f>949*((L81*J76)+(-L56+L57))/L57</f>
        <v>77.733271155583566</v>
      </c>
      <c r="O82" s="26" t="s">
        <v>57</v>
      </c>
      <c r="P82" s="38">
        <v>183.00476476666853</v>
      </c>
      <c r="Q82" s="38">
        <f>949*((Q81*P76)+(-R56+R57))/R57</f>
        <v>120.60651136279532</v>
      </c>
      <c r="R82" s="38">
        <f>949*((R81*P76)+(-R56+R57))/R57</f>
        <v>58.208257958922111</v>
      </c>
      <c r="U82" s="26" t="s">
        <v>57</v>
      </c>
      <c r="V82" s="38">
        <v>195.75093606320976</v>
      </c>
      <c r="W82" s="38">
        <f>949*((W81*V76)+(-X56+X57))/X57</f>
        <v>129.09821633177279</v>
      </c>
      <c r="X82" s="38">
        <f>949*((X81*V76)+(-X56+X57))/X57</f>
        <v>62.445496600335737</v>
      </c>
      <c r="AA82" s="26" t="s">
        <v>57</v>
      </c>
      <c r="AB82" s="38">
        <v>203.35148490470334</v>
      </c>
      <c r="AC82" s="38">
        <f>949*((AC81*AB76)+(-AD56+AD57))/AD57</f>
        <v>134.16211448408936</v>
      </c>
      <c r="AD82" s="38">
        <f>949*((AD81*AB76)+(-AD56+AD57))/AD57</f>
        <v>64.972744063475389</v>
      </c>
      <c r="AG82" s="26" t="s">
        <v>57</v>
      </c>
      <c r="AH82" s="38">
        <v>188.69815033612005</v>
      </c>
      <c r="AI82" s="38">
        <f>949*((AI81*AH76)+(-AJ56+AJ57))/AJ57</f>
        <v>122.04543060468303</v>
      </c>
      <c r="AJ82" s="38">
        <f>949*((AJ81*AH76)+(-AJ56+AJ57))/AJ57</f>
        <v>55.392710873246003</v>
      </c>
      <c r="AM82" s="26" t="s">
        <v>57</v>
      </c>
      <c r="AN82" s="38">
        <v>197.14510761327591</v>
      </c>
      <c r="AO82" s="38">
        <f>949*((AO81*AN76)+(-AP56+AP57))/AP57</f>
        <v>130.49238788183888</v>
      </c>
      <c r="AP82" s="38">
        <f>949*((AP81*AN76)+(-AP56+AP57))/AP57</f>
        <v>63.839668150401842</v>
      </c>
    </row>
    <row r="83" spans="1:42" x14ac:dyDescent="0.2">
      <c r="D83" s="33"/>
      <c r="E83" s="6"/>
      <c r="J83" s="33"/>
      <c r="K83" s="6"/>
      <c r="P83" s="33"/>
      <c r="Q83" s="6"/>
      <c r="V83" s="33"/>
      <c r="W83" s="6"/>
      <c r="AB83" s="33"/>
      <c r="AC83" s="6"/>
      <c r="AH83" s="33"/>
      <c r="AI83" s="6"/>
      <c r="AN83" s="33"/>
      <c r="AO83" s="6"/>
    </row>
    <row r="84" spans="1:42" x14ac:dyDescent="0.2">
      <c r="C84" s="34"/>
      <c r="D84" s="34"/>
      <c r="E84" s="34"/>
      <c r="F84" s="34"/>
      <c r="I84" s="34"/>
      <c r="J84" s="34"/>
      <c r="K84" s="34"/>
      <c r="L84" s="34"/>
      <c r="O84" s="34"/>
      <c r="P84" s="34"/>
      <c r="Q84" s="34"/>
      <c r="R84" s="34"/>
      <c r="U84" s="34"/>
      <c r="V84" s="34"/>
      <c r="W84" s="34"/>
      <c r="X84" s="34"/>
      <c r="AA84" s="34"/>
      <c r="AB84" s="34"/>
      <c r="AC84" s="34"/>
      <c r="AD84" s="34"/>
      <c r="AG84" s="34"/>
      <c r="AH84" s="34"/>
      <c r="AI84" s="34"/>
      <c r="AJ84" s="34"/>
      <c r="AM84" s="34"/>
      <c r="AN84" s="34"/>
      <c r="AO84" s="34"/>
      <c r="AP84" s="34"/>
    </row>
    <row r="85" spans="1:42" ht="17" thickBot="1" x14ac:dyDescent="0.25">
      <c r="A85" s="2" t="s">
        <v>58</v>
      </c>
      <c r="B85" s="3"/>
      <c r="C85" s="4"/>
      <c r="D85" s="5"/>
      <c r="E85" s="5"/>
      <c r="F85" s="5"/>
      <c r="G85" s="2"/>
      <c r="H85" s="3"/>
      <c r="I85" s="4"/>
      <c r="J85" s="5"/>
      <c r="K85" s="5"/>
      <c r="L85" s="5"/>
      <c r="M85" s="2"/>
      <c r="N85" s="3"/>
      <c r="O85" s="4"/>
      <c r="P85" s="5"/>
      <c r="Q85" s="5"/>
      <c r="R85" s="5"/>
      <c r="S85" s="2"/>
      <c r="T85" s="3"/>
      <c r="U85" s="4"/>
      <c r="V85" s="5"/>
      <c r="W85" s="5"/>
      <c r="X85" s="5"/>
      <c r="Y85" s="2"/>
      <c r="Z85" s="3"/>
      <c r="AA85" s="4"/>
      <c r="AB85" s="5"/>
      <c r="AC85" s="5"/>
      <c r="AD85" s="5"/>
      <c r="AE85" s="2"/>
      <c r="AF85" s="3"/>
      <c r="AG85" s="4"/>
      <c r="AH85" s="5"/>
      <c r="AI85" s="5"/>
      <c r="AJ85" s="5"/>
      <c r="AK85" s="2"/>
      <c r="AL85" s="3"/>
      <c r="AM85" s="4"/>
      <c r="AN85" s="5"/>
      <c r="AO85" s="5"/>
      <c r="AP85" s="5"/>
    </row>
    <row r="86" spans="1:42" x14ac:dyDescent="0.2">
      <c r="C86" s="34"/>
      <c r="D86" s="34"/>
      <c r="E86" s="34"/>
      <c r="F86" s="34"/>
      <c r="I86" s="34"/>
      <c r="J86" s="34"/>
      <c r="K86" s="34"/>
      <c r="L86" s="34"/>
      <c r="O86" s="34"/>
      <c r="P86" s="34"/>
      <c r="Q86" s="34"/>
      <c r="R86" s="34"/>
      <c r="U86" s="34"/>
      <c r="V86" s="34"/>
      <c r="W86" s="34"/>
      <c r="X86" s="34"/>
      <c r="AA86" s="34"/>
      <c r="AB86" s="34"/>
      <c r="AC86" s="34"/>
      <c r="AD86" s="34"/>
      <c r="AG86" s="34"/>
      <c r="AH86" s="34"/>
      <c r="AI86" s="34"/>
      <c r="AJ86" s="34"/>
      <c r="AM86" s="34"/>
      <c r="AN86" s="34"/>
      <c r="AO86" s="34"/>
      <c r="AP86" s="34"/>
    </row>
    <row r="87" spans="1:42" x14ac:dyDescent="0.2">
      <c r="B87" s="35" t="s">
        <v>59</v>
      </c>
      <c r="C87" s="34"/>
      <c r="D87" s="8" t="s">
        <v>4</v>
      </c>
      <c r="E87" s="23" t="s">
        <v>5</v>
      </c>
      <c r="F87" s="34"/>
      <c r="H87" s="35" t="s">
        <v>59</v>
      </c>
      <c r="I87" s="34"/>
      <c r="J87" s="8" t="s">
        <v>4</v>
      </c>
      <c r="K87" s="23" t="s">
        <v>5</v>
      </c>
      <c r="L87" s="34"/>
      <c r="N87" s="35" t="s">
        <v>59</v>
      </c>
      <c r="O87" s="34"/>
      <c r="P87" s="8" t="s">
        <v>4</v>
      </c>
      <c r="Q87" s="23" t="s">
        <v>5</v>
      </c>
      <c r="R87" s="34"/>
      <c r="T87" s="35" t="s">
        <v>59</v>
      </c>
      <c r="U87" s="34"/>
      <c r="V87" s="8" t="s">
        <v>4</v>
      </c>
      <c r="W87" s="23" t="s">
        <v>5</v>
      </c>
      <c r="X87" s="34"/>
      <c r="Z87" s="35" t="s">
        <v>59</v>
      </c>
      <c r="AA87" s="34"/>
      <c r="AB87" s="8" t="s">
        <v>4</v>
      </c>
      <c r="AC87" s="23" t="s">
        <v>5</v>
      </c>
      <c r="AD87" s="34"/>
      <c r="AF87" s="35" t="s">
        <v>59</v>
      </c>
      <c r="AG87" s="34"/>
      <c r="AH87" s="8" t="s">
        <v>4</v>
      </c>
      <c r="AI87" s="23" t="s">
        <v>5</v>
      </c>
      <c r="AJ87" s="34"/>
      <c r="AL87" s="35" t="s">
        <v>59</v>
      </c>
      <c r="AM87" s="34"/>
      <c r="AN87" s="8" t="s">
        <v>4</v>
      </c>
      <c r="AO87" s="23" t="s">
        <v>5</v>
      </c>
      <c r="AP87" s="34"/>
    </row>
    <row r="88" spans="1:42" x14ac:dyDescent="0.2">
      <c r="C88" s="26" t="s">
        <v>50</v>
      </c>
      <c r="D88" s="27">
        <v>0.51315664426725349</v>
      </c>
      <c r="E88" s="28" t="s">
        <v>51</v>
      </c>
      <c r="F88" s="34"/>
      <c r="I88" s="26" t="s">
        <v>50</v>
      </c>
      <c r="J88" s="27">
        <v>0.51315664426725349</v>
      </c>
      <c r="K88" s="28" t="s">
        <v>51</v>
      </c>
      <c r="L88" s="34"/>
      <c r="O88" s="26" t="s">
        <v>50</v>
      </c>
      <c r="P88" s="27">
        <v>0.38679807447909681</v>
      </c>
      <c r="Q88" s="28" t="s">
        <v>51</v>
      </c>
      <c r="R88" s="34"/>
      <c r="U88" s="26" t="s">
        <v>50</v>
      </c>
      <c r="V88" s="27">
        <v>0.41542602878671275</v>
      </c>
      <c r="W88" s="28" t="s">
        <v>51</v>
      </c>
      <c r="X88" s="34"/>
      <c r="AA88" s="26" t="s">
        <v>50</v>
      </c>
      <c r="AB88" s="27">
        <v>0.37995488825061158</v>
      </c>
      <c r="AC88" s="28" t="s">
        <v>51</v>
      </c>
      <c r="AD88" s="34"/>
      <c r="AG88" s="26" t="s">
        <v>50</v>
      </c>
      <c r="AH88" s="27">
        <v>0.41542602878671275</v>
      </c>
      <c r="AI88" s="28" t="s">
        <v>51</v>
      </c>
      <c r="AJ88" s="34"/>
      <c r="AM88" s="26" t="s">
        <v>50</v>
      </c>
      <c r="AN88" s="27">
        <v>0.41542602878671275</v>
      </c>
      <c r="AO88" s="28" t="s">
        <v>51</v>
      </c>
      <c r="AP88" s="34"/>
    </row>
    <row r="89" spans="1:42" x14ac:dyDescent="0.2">
      <c r="C89" s="26" t="s">
        <v>60</v>
      </c>
      <c r="D89" s="27">
        <v>0.38195559020883013</v>
      </c>
      <c r="E89" s="28" t="s">
        <v>51</v>
      </c>
      <c r="F89" s="34"/>
      <c r="I89" s="26" t="s">
        <v>60</v>
      </c>
      <c r="J89" s="27">
        <v>0.38195559020887015</v>
      </c>
      <c r="K89" s="28" t="s">
        <v>51</v>
      </c>
      <c r="L89" s="34"/>
      <c r="O89" s="26" t="s">
        <v>60</v>
      </c>
      <c r="P89" s="27">
        <v>0.2923699094926841</v>
      </c>
      <c r="Q89" s="28" t="s">
        <v>51</v>
      </c>
      <c r="R89" s="34"/>
      <c r="U89" s="26" t="s">
        <v>60</v>
      </c>
      <c r="V89" s="27">
        <v>0.31194307454750264</v>
      </c>
      <c r="W89" s="28" t="s">
        <v>51</v>
      </c>
      <c r="X89" s="34"/>
      <c r="AA89" s="26" t="s">
        <v>60</v>
      </c>
      <c r="AB89" s="27">
        <v>0.28521200164713489</v>
      </c>
      <c r="AC89" s="28" t="s">
        <v>51</v>
      </c>
      <c r="AD89" s="34"/>
      <c r="AG89" s="26" t="s">
        <v>60</v>
      </c>
      <c r="AH89" s="27">
        <v>0.31194307454750264</v>
      </c>
      <c r="AI89" s="28" t="s">
        <v>51</v>
      </c>
      <c r="AJ89" s="34"/>
      <c r="AM89" s="26" t="s">
        <v>60</v>
      </c>
      <c r="AN89" s="27">
        <v>0.31194307454750264</v>
      </c>
      <c r="AO89" s="28" t="s">
        <v>51</v>
      </c>
      <c r="AP89" s="34"/>
    </row>
    <row r="90" spans="1:42" x14ac:dyDescent="0.2">
      <c r="C90" s="26" t="s">
        <v>61</v>
      </c>
      <c r="D90" s="27">
        <v>0.379651958367623</v>
      </c>
      <c r="E90" s="28" t="s">
        <v>51</v>
      </c>
      <c r="F90" s="34"/>
      <c r="I90" s="26" t="s">
        <v>61</v>
      </c>
      <c r="J90" s="27">
        <v>0.37965195836766308</v>
      </c>
      <c r="K90" s="28" t="s">
        <v>51</v>
      </c>
      <c r="L90" s="34"/>
      <c r="O90" s="26" t="s">
        <v>61</v>
      </c>
      <c r="P90" s="27">
        <v>0.29137858327753824</v>
      </c>
      <c r="Q90" s="28" t="s">
        <v>51</v>
      </c>
      <c r="R90" s="34"/>
      <c r="U90" s="26" t="s">
        <v>61</v>
      </c>
      <c r="V90" s="27">
        <v>0.31102935842628454</v>
      </c>
      <c r="W90" s="28" t="s">
        <v>51</v>
      </c>
      <c r="X90" s="34"/>
      <c r="AA90" s="26" t="s">
        <v>61</v>
      </c>
      <c r="AB90" s="27">
        <v>0.28437435971619807</v>
      </c>
      <c r="AC90" s="28" t="s">
        <v>51</v>
      </c>
      <c r="AD90" s="34"/>
      <c r="AG90" s="26" t="s">
        <v>61</v>
      </c>
      <c r="AH90" s="27">
        <v>0.31102935842628454</v>
      </c>
      <c r="AI90" s="28" t="s">
        <v>51</v>
      </c>
      <c r="AJ90" s="34"/>
      <c r="AM90" s="26" t="s">
        <v>61</v>
      </c>
      <c r="AN90" s="27">
        <v>0.31102935842628454</v>
      </c>
      <c r="AO90" s="28" t="s">
        <v>51</v>
      </c>
      <c r="AP90" s="34"/>
    </row>
    <row r="91" spans="1:42" x14ac:dyDescent="0.2">
      <c r="C91" s="26" t="s">
        <v>62</v>
      </c>
      <c r="D91" s="37">
        <v>14559.163288510999</v>
      </c>
      <c r="E91" s="28" t="s">
        <v>51</v>
      </c>
      <c r="F91" s="34"/>
      <c r="I91" s="26" t="s">
        <v>62</v>
      </c>
      <c r="J91" s="37">
        <v>14559.163288510999</v>
      </c>
      <c r="K91" s="28" t="s">
        <v>51</v>
      </c>
      <c r="L91" s="34"/>
      <c r="O91" s="26" t="s">
        <v>62</v>
      </c>
      <c r="P91" s="37">
        <v>14626.774326856201</v>
      </c>
      <c r="Q91" s="28" t="s">
        <v>51</v>
      </c>
      <c r="R91" s="34"/>
      <c r="U91" s="26" t="s">
        <v>62</v>
      </c>
      <c r="V91" s="37">
        <v>14631.1064560208</v>
      </c>
      <c r="W91" s="28" t="s">
        <v>51</v>
      </c>
      <c r="X91" s="34"/>
      <c r="AA91" s="26" t="s">
        <v>62</v>
      </c>
      <c r="AB91" s="37">
        <v>12893.701473851999</v>
      </c>
      <c r="AC91" s="28" t="s">
        <v>51</v>
      </c>
      <c r="AD91" s="34"/>
      <c r="AG91" s="26" t="s">
        <v>62</v>
      </c>
      <c r="AH91" s="37">
        <v>14716.412835590761</v>
      </c>
      <c r="AI91" s="28" t="s">
        <v>51</v>
      </c>
      <c r="AJ91" s="34"/>
      <c r="AM91" s="26" t="s">
        <v>62</v>
      </c>
      <c r="AN91" s="37">
        <v>14585.393501345327</v>
      </c>
      <c r="AO91" s="28" t="s">
        <v>51</v>
      </c>
      <c r="AP91" s="34"/>
    </row>
    <row r="92" spans="1:42" x14ac:dyDescent="0.2">
      <c r="C92" s="26" t="s">
        <v>63</v>
      </c>
      <c r="D92" s="37">
        <v>14559.163288510999</v>
      </c>
      <c r="E92" s="28" t="s">
        <v>51</v>
      </c>
      <c r="F92" s="34"/>
      <c r="I92" s="26" t="s">
        <v>63</v>
      </c>
      <c r="J92" s="37">
        <v>14559.163288510999</v>
      </c>
      <c r="K92" s="28" t="s">
        <v>51</v>
      </c>
      <c r="L92" s="34"/>
      <c r="O92" s="26" t="s">
        <v>63</v>
      </c>
      <c r="P92" s="37">
        <v>14626.774326856201</v>
      </c>
      <c r="Q92" s="28" t="s">
        <v>51</v>
      </c>
      <c r="R92" s="34"/>
      <c r="U92" s="26" t="s">
        <v>63</v>
      </c>
      <c r="V92" s="37">
        <v>14631.1064560208</v>
      </c>
      <c r="W92" s="28" t="s">
        <v>51</v>
      </c>
      <c r="X92" s="34"/>
      <c r="AA92" s="26" t="s">
        <v>63</v>
      </c>
      <c r="AB92" s="37">
        <v>12893.701473851999</v>
      </c>
      <c r="AC92" s="28" t="s">
        <v>51</v>
      </c>
      <c r="AD92" s="34"/>
      <c r="AG92" s="26" t="s">
        <v>63</v>
      </c>
      <c r="AH92" s="37">
        <v>14739.842029028809</v>
      </c>
      <c r="AI92" s="28" t="s">
        <v>51</v>
      </c>
      <c r="AJ92" s="34"/>
      <c r="AM92" s="26" t="s">
        <v>63</v>
      </c>
      <c r="AN92" s="37">
        <v>14609.611964590971</v>
      </c>
      <c r="AO92" s="28" t="s">
        <v>51</v>
      </c>
      <c r="AP92" s="34"/>
    </row>
    <row r="93" spans="1:42" x14ac:dyDescent="0.2">
      <c r="C93" s="34"/>
      <c r="D93" s="36"/>
      <c r="E93" s="34"/>
      <c r="F93" s="34"/>
      <c r="I93" s="34"/>
      <c r="J93" s="36"/>
      <c r="K93" s="34"/>
      <c r="L93" s="34"/>
      <c r="O93" s="34"/>
      <c r="P93" s="36"/>
      <c r="Q93" s="34"/>
      <c r="R93" s="34"/>
      <c r="U93" s="34"/>
      <c r="V93" s="36"/>
      <c r="W93" s="34"/>
      <c r="X93" s="34"/>
      <c r="AA93" s="34"/>
      <c r="AB93" s="36"/>
      <c r="AC93" s="34"/>
      <c r="AD93" s="34"/>
      <c r="AG93" s="34"/>
      <c r="AH93" s="36"/>
      <c r="AI93" s="34"/>
      <c r="AJ93" s="34"/>
      <c r="AM93" s="34"/>
      <c r="AN93" s="36"/>
      <c r="AO93" s="34"/>
      <c r="AP93" s="34"/>
    </row>
    <row r="94" spans="1:42" x14ac:dyDescent="0.2">
      <c r="B94" s="35" t="s">
        <v>64</v>
      </c>
      <c r="C94" s="34"/>
      <c r="D94" s="8" t="s">
        <v>4</v>
      </c>
      <c r="E94" s="23" t="s">
        <v>5</v>
      </c>
      <c r="F94" s="34"/>
      <c r="H94" s="35" t="s">
        <v>64</v>
      </c>
      <c r="I94" s="34"/>
      <c r="J94" s="8" t="s">
        <v>4</v>
      </c>
      <c r="K94" s="23" t="s">
        <v>5</v>
      </c>
      <c r="L94" s="34"/>
      <c r="N94" s="35" t="s">
        <v>64</v>
      </c>
      <c r="O94" s="34"/>
      <c r="P94" s="8" t="s">
        <v>4</v>
      </c>
      <c r="Q94" s="23" t="s">
        <v>5</v>
      </c>
      <c r="R94" s="34"/>
      <c r="T94" s="35" t="s">
        <v>64</v>
      </c>
      <c r="U94" s="34"/>
      <c r="V94" s="8" t="s">
        <v>4</v>
      </c>
      <c r="W94" s="23" t="s">
        <v>5</v>
      </c>
      <c r="X94" s="34"/>
      <c r="Z94" s="35" t="s">
        <v>64</v>
      </c>
      <c r="AA94" s="34"/>
      <c r="AB94" s="8" t="s">
        <v>4</v>
      </c>
      <c r="AC94" s="23" t="s">
        <v>5</v>
      </c>
      <c r="AD94" s="34"/>
      <c r="AF94" s="35" t="s">
        <v>64</v>
      </c>
      <c r="AG94" s="34"/>
      <c r="AH94" s="8" t="s">
        <v>4</v>
      </c>
      <c r="AI94" s="23" t="s">
        <v>5</v>
      </c>
      <c r="AJ94" s="34"/>
      <c r="AL94" s="35" t="s">
        <v>64</v>
      </c>
      <c r="AM94" s="34"/>
      <c r="AN94" s="8" t="s">
        <v>4</v>
      </c>
      <c r="AO94" s="23" t="s">
        <v>5</v>
      </c>
      <c r="AP94" s="34"/>
    </row>
    <row r="95" spans="1:42" x14ac:dyDescent="0.2">
      <c r="C95" s="26" t="s">
        <v>50</v>
      </c>
      <c r="D95" s="27">
        <v>2.3313347519984058</v>
      </c>
      <c r="E95" s="28" t="s">
        <v>51</v>
      </c>
      <c r="F95" s="34"/>
      <c r="I95" s="26" t="s">
        <v>50</v>
      </c>
      <c r="J95" s="27">
        <v>2.3313347519984058</v>
      </c>
      <c r="K95" s="28" t="s">
        <v>51</v>
      </c>
      <c r="L95" s="34"/>
      <c r="O95" s="26" t="s">
        <v>50</v>
      </c>
      <c r="P95" s="27">
        <v>2.4197783847974312</v>
      </c>
      <c r="Q95" s="28" t="s">
        <v>51</v>
      </c>
      <c r="R95" s="34"/>
      <c r="U95" s="26" t="s">
        <v>50</v>
      </c>
      <c r="V95" s="27">
        <v>2.3790346202697519</v>
      </c>
      <c r="W95" s="28" t="s">
        <v>51</v>
      </c>
      <c r="X95" s="34"/>
      <c r="AA95" s="26" t="s">
        <v>50</v>
      </c>
      <c r="AB95" s="27">
        <v>2.3750671340374181</v>
      </c>
      <c r="AC95" s="28" t="s">
        <v>51</v>
      </c>
      <c r="AD95" s="34"/>
      <c r="AG95" s="26" t="s">
        <v>50</v>
      </c>
      <c r="AH95" s="27">
        <v>2.3790346202697519</v>
      </c>
      <c r="AI95" s="28" t="s">
        <v>51</v>
      </c>
      <c r="AJ95" s="34"/>
      <c r="AM95" s="26" t="s">
        <v>50</v>
      </c>
      <c r="AN95" s="27">
        <v>2.3790346202697519</v>
      </c>
      <c r="AO95" s="28" t="s">
        <v>51</v>
      </c>
      <c r="AP95" s="34"/>
    </row>
    <row r="96" spans="1:42" x14ac:dyDescent="0.2">
      <c r="C96" s="26" t="s">
        <v>60</v>
      </c>
      <c r="D96" s="27">
        <v>1.7352719703072774</v>
      </c>
      <c r="E96" s="28" t="s">
        <v>51</v>
      </c>
      <c r="F96" s="34"/>
      <c r="I96" s="26" t="s">
        <v>60</v>
      </c>
      <c r="J96" s="27">
        <v>1.7352719703074595</v>
      </c>
      <c r="K96" s="28" t="s">
        <v>51</v>
      </c>
      <c r="L96" s="34"/>
      <c r="O96" s="26" t="s">
        <v>60</v>
      </c>
      <c r="P96" s="27">
        <v>1.8290431985948554</v>
      </c>
      <c r="Q96" s="28" t="s">
        <v>51</v>
      </c>
      <c r="R96" s="34"/>
      <c r="U96" s="26" t="s">
        <v>60</v>
      </c>
      <c r="V96" s="27">
        <v>1.7864152038555012</v>
      </c>
      <c r="W96" s="28" t="s">
        <v>51</v>
      </c>
      <c r="X96" s="34"/>
      <c r="AA96" s="26" t="s">
        <v>60</v>
      </c>
      <c r="AB96" s="27">
        <v>1.7828370480085429</v>
      </c>
      <c r="AC96" s="28" t="s">
        <v>51</v>
      </c>
      <c r="AD96" s="34"/>
      <c r="AG96" s="26" t="s">
        <v>60</v>
      </c>
      <c r="AH96" s="27">
        <v>1.7864152038555012</v>
      </c>
      <c r="AI96" s="28" t="s">
        <v>51</v>
      </c>
      <c r="AJ96" s="34"/>
      <c r="AM96" s="26" t="s">
        <v>60</v>
      </c>
      <c r="AN96" s="27">
        <v>1.7864152038555012</v>
      </c>
      <c r="AO96" s="28" t="s">
        <v>51</v>
      </c>
      <c r="AP96" s="34"/>
    </row>
    <row r="97" spans="1:42" x14ac:dyDescent="0.2">
      <c r="C97" s="26" t="s">
        <v>61</v>
      </c>
      <c r="D97" s="27">
        <v>1.724806283022092</v>
      </c>
      <c r="E97" s="28" t="s">
        <v>51</v>
      </c>
      <c r="F97" s="34"/>
      <c r="I97" s="26" t="s">
        <v>61</v>
      </c>
      <c r="J97" s="27">
        <v>1.7248062830222741</v>
      </c>
      <c r="K97" s="28" t="s">
        <v>51</v>
      </c>
      <c r="L97" s="34"/>
      <c r="O97" s="26" t="s">
        <v>61</v>
      </c>
      <c r="P97" s="27">
        <v>1.822841539626094</v>
      </c>
      <c r="Q97" s="28" t="s">
        <v>51</v>
      </c>
      <c r="R97" s="34"/>
      <c r="U97" s="26" t="s">
        <v>61</v>
      </c>
      <c r="V97" s="27">
        <v>1.7811825941130999</v>
      </c>
      <c r="W97" s="28" t="s">
        <v>51</v>
      </c>
      <c r="X97" s="34"/>
      <c r="AA97" s="26" t="s">
        <v>61</v>
      </c>
      <c r="AB97" s="27">
        <v>1.7776010163590497</v>
      </c>
      <c r="AC97" s="28" t="s">
        <v>51</v>
      </c>
      <c r="AD97" s="34"/>
      <c r="AG97" s="26" t="s">
        <v>61</v>
      </c>
      <c r="AH97" s="27">
        <v>1.7811825941130999</v>
      </c>
      <c r="AI97" s="28" t="s">
        <v>51</v>
      </c>
      <c r="AJ97" s="34"/>
      <c r="AM97" s="26" t="s">
        <v>61</v>
      </c>
      <c r="AN97" s="27">
        <v>1.7811825941130999</v>
      </c>
      <c r="AO97" s="28" t="s">
        <v>51</v>
      </c>
      <c r="AP97" s="34"/>
    </row>
    <row r="98" spans="1:42" x14ac:dyDescent="0.2">
      <c r="C98" s="26" t="s">
        <v>62</v>
      </c>
      <c r="D98" s="37">
        <v>197089.65344844942</v>
      </c>
      <c r="E98" s="28" t="s">
        <v>51</v>
      </c>
      <c r="F98" s="34"/>
      <c r="I98" s="26" t="s">
        <v>62</v>
      </c>
      <c r="J98" s="37">
        <v>197089.65344844942</v>
      </c>
      <c r="K98" s="28" t="s">
        <v>51</v>
      </c>
      <c r="L98" s="34"/>
      <c r="O98" s="26" t="s">
        <v>62</v>
      </c>
      <c r="P98" s="37">
        <v>272654.44247186219</v>
      </c>
      <c r="Q98" s="28" t="s">
        <v>51</v>
      </c>
      <c r="R98" s="34"/>
      <c r="U98" s="26" t="s">
        <v>62</v>
      </c>
      <c r="V98" s="37">
        <v>249664.59316792531</v>
      </c>
      <c r="W98" s="28" t="s">
        <v>51</v>
      </c>
      <c r="X98" s="34"/>
      <c r="AA98" s="26" t="s">
        <v>62</v>
      </c>
      <c r="AB98" s="37">
        <v>240156.41530741964</v>
      </c>
      <c r="AC98" s="28" t="s">
        <v>51</v>
      </c>
      <c r="AD98" s="34"/>
      <c r="AG98" s="26" t="s">
        <v>62</v>
      </c>
      <c r="AH98" s="37">
        <v>251120.25768748726</v>
      </c>
      <c r="AI98" s="28" t="s">
        <v>51</v>
      </c>
      <c r="AJ98" s="34"/>
      <c r="AM98" s="26" t="s">
        <v>62</v>
      </c>
      <c r="AN98" s="37">
        <v>248884.54920707649</v>
      </c>
      <c r="AO98" s="28" t="s">
        <v>51</v>
      </c>
      <c r="AP98" s="34"/>
    </row>
    <row r="99" spans="1:42" x14ac:dyDescent="0.2">
      <c r="C99" s="26" t="s">
        <v>63</v>
      </c>
      <c r="D99" s="37">
        <v>197089.65344844942</v>
      </c>
      <c r="E99" s="28" t="s">
        <v>51</v>
      </c>
      <c r="F99" s="34"/>
      <c r="I99" s="26" t="s">
        <v>63</v>
      </c>
      <c r="J99" s="37">
        <v>197089.65344844942</v>
      </c>
      <c r="K99" s="28" t="s">
        <v>51</v>
      </c>
      <c r="L99" s="34"/>
      <c r="O99" s="26" t="s">
        <v>63</v>
      </c>
      <c r="P99" s="37">
        <v>272654.44247186219</v>
      </c>
      <c r="Q99" s="28" t="s">
        <v>51</v>
      </c>
      <c r="R99" s="34"/>
      <c r="U99" s="26" t="s">
        <v>63</v>
      </c>
      <c r="V99" s="37">
        <v>249664.59316792531</v>
      </c>
      <c r="W99" s="28" t="s">
        <v>51</v>
      </c>
      <c r="X99" s="34"/>
      <c r="AA99" s="26" t="s">
        <v>63</v>
      </c>
      <c r="AB99" s="37">
        <v>240156.41530741964</v>
      </c>
      <c r="AC99" s="28" t="s">
        <v>51</v>
      </c>
      <c r="AD99" s="34"/>
      <c r="AG99" s="26" t="s">
        <v>63</v>
      </c>
      <c r="AH99" s="37">
        <v>251520.0524716716</v>
      </c>
      <c r="AI99" s="28" t="s">
        <v>51</v>
      </c>
      <c r="AJ99" s="34"/>
      <c r="AM99" s="26" t="s">
        <v>63</v>
      </c>
      <c r="AN99" s="37">
        <v>249297.81205849181</v>
      </c>
      <c r="AO99" s="28" t="s">
        <v>51</v>
      </c>
      <c r="AP99" s="34"/>
    </row>
    <row r="100" spans="1:42" x14ac:dyDescent="0.2">
      <c r="C100" s="34"/>
      <c r="D100" s="34"/>
      <c r="E100" s="34"/>
      <c r="F100" s="34"/>
      <c r="I100" s="34"/>
      <c r="J100" s="34"/>
      <c r="K100" s="34"/>
      <c r="L100" s="34"/>
      <c r="O100" s="34"/>
      <c r="P100" s="34"/>
      <c r="Q100" s="34"/>
      <c r="R100" s="34"/>
      <c r="U100" s="34"/>
      <c r="V100" s="34"/>
      <c r="W100" s="34"/>
      <c r="X100" s="34"/>
      <c r="AA100" s="34"/>
      <c r="AB100" s="34"/>
      <c r="AC100" s="34"/>
      <c r="AD100" s="34"/>
      <c r="AG100" s="34"/>
      <c r="AH100" s="34"/>
      <c r="AI100" s="34"/>
      <c r="AJ100" s="34"/>
      <c r="AM100" s="34"/>
      <c r="AN100" s="34"/>
      <c r="AO100" s="34"/>
      <c r="AP100" s="34"/>
    </row>
    <row r="101" spans="1:42" ht="17" thickBot="1" x14ac:dyDescent="0.25">
      <c r="A101" s="2" t="s">
        <v>65</v>
      </c>
      <c r="B101" s="3"/>
      <c r="C101" s="4"/>
      <c r="D101" s="5"/>
      <c r="E101" s="5"/>
      <c r="F101" s="5"/>
      <c r="G101" s="2"/>
      <c r="H101" s="3"/>
      <c r="I101" s="4"/>
      <c r="J101" s="5"/>
      <c r="K101" s="5"/>
      <c r="L101" s="5"/>
      <c r="M101" s="2"/>
      <c r="N101" s="3"/>
      <c r="O101" s="4"/>
      <c r="P101" s="5"/>
      <c r="Q101" s="5"/>
      <c r="R101" s="5"/>
      <c r="S101" s="2"/>
      <c r="T101" s="3"/>
      <c r="U101" s="4"/>
      <c r="V101" s="5"/>
      <c r="W101" s="5"/>
      <c r="X101" s="5"/>
      <c r="Y101" s="2"/>
      <c r="Z101" s="3"/>
      <c r="AA101" s="4"/>
      <c r="AB101" s="5"/>
      <c r="AC101" s="5"/>
      <c r="AD101" s="5"/>
      <c r="AE101" s="2"/>
      <c r="AF101" s="3"/>
      <c r="AG101" s="4"/>
      <c r="AH101" s="5"/>
      <c r="AI101" s="5"/>
      <c r="AJ101" s="5"/>
      <c r="AK101" s="2"/>
      <c r="AL101" s="3"/>
      <c r="AM101" s="4"/>
      <c r="AN101" s="5"/>
      <c r="AO101" s="5"/>
      <c r="AP101" s="5"/>
    </row>
    <row r="102" spans="1:42" x14ac:dyDescent="0.2">
      <c r="C102" s="34"/>
      <c r="D102" s="34"/>
      <c r="E102" s="34"/>
      <c r="F102" s="34"/>
      <c r="I102" s="34"/>
      <c r="J102" s="34"/>
      <c r="K102" s="34"/>
      <c r="L102" s="34"/>
      <c r="O102" s="34"/>
      <c r="P102" s="34"/>
      <c r="Q102" s="34"/>
      <c r="R102" s="34"/>
      <c r="U102" s="34"/>
      <c r="V102" s="34"/>
      <c r="W102" s="34"/>
      <c r="X102" s="34"/>
      <c r="AA102" s="34"/>
      <c r="AB102" s="34"/>
      <c r="AC102" s="34"/>
      <c r="AD102" s="34"/>
      <c r="AG102" s="34"/>
      <c r="AH102" s="34"/>
      <c r="AI102" s="34"/>
      <c r="AJ102" s="34"/>
      <c r="AM102" s="34"/>
      <c r="AN102" s="34"/>
      <c r="AO102" s="34"/>
      <c r="AP102" s="34"/>
    </row>
    <row r="103" spans="1:42" x14ac:dyDescent="0.2">
      <c r="C103" s="34"/>
      <c r="D103" s="8" t="s">
        <v>4</v>
      </c>
      <c r="E103" s="8" t="s">
        <v>5</v>
      </c>
      <c r="F103" s="8" t="s">
        <v>6</v>
      </c>
      <c r="I103" s="34"/>
      <c r="J103" s="8" t="s">
        <v>4</v>
      </c>
      <c r="K103" s="8" t="s">
        <v>5</v>
      </c>
      <c r="L103" s="8" t="s">
        <v>6</v>
      </c>
      <c r="O103" s="34"/>
      <c r="P103" s="8" t="s">
        <v>4</v>
      </c>
      <c r="Q103" s="8" t="s">
        <v>5</v>
      </c>
      <c r="R103" s="8" t="s">
        <v>6</v>
      </c>
      <c r="U103" s="34"/>
      <c r="V103" s="8" t="s">
        <v>4</v>
      </c>
      <c r="W103" s="8" t="s">
        <v>5</v>
      </c>
      <c r="X103" s="8" t="s">
        <v>6</v>
      </c>
      <c r="AA103" s="34"/>
      <c r="AB103" s="8" t="s">
        <v>4</v>
      </c>
      <c r="AC103" s="8" t="s">
        <v>5</v>
      </c>
      <c r="AD103" s="8" t="s">
        <v>6</v>
      </c>
      <c r="AG103" s="34"/>
      <c r="AH103" s="8" t="s">
        <v>4</v>
      </c>
      <c r="AI103" s="8" t="s">
        <v>5</v>
      </c>
      <c r="AJ103" s="8" t="s">
        <v>6</v>
      </c>
      <c r="AM103" s="34"/>
      <c r="AN103" s="8" t="s">
        <v>4</v>
      </c>
      <c r="AO103" s="8" t="s">
        <v>5</v>
      </c>
      <c r="AP103" s="8" t="s">
        <v>6</v>
      </c>
    </row>
    <row r="104" spans="1:42" x14ac:dyDescent="0.2">
      <c r="B104" s="106" t="s">
        <v>66</v>
      </c>
      <c r="C104" s="107"/>
      <c r="D104" s="18">
        <v>33560.411101197897</v>
      </c>
      <c r="E104" s="18">
        <v>33560.411101197897</v>
      </c>
      <c r="F104" s="18">
        <v>0</v>
      </c>
      <c r="H104" s="106" t="s">
        <v>66</v>
      </c>
      <c r="I104" s="107"/>
      <c r="J104" s="18">
        <v>33560.411101197897</v>
      </c>
      <c r="K104" s="18">
        <v>33560.411101197897</v>
      </c>
      <c r="L104" s="18">
        <v>0</v>
      </c>
      <c r="N104" s="106" t="s">
        <v>66</v>
      </c>
      <c r="O104" s="107"/>
      <c r="P104" s="18">
        <v>33560.411101197897</v>
      </c>
      <c r="Q104" s="18">
        <v>33560.411101197897</v>
      </c>
      <c r="R104" s="18">
        <v>0</v>
      </c>
      <c r="T104" s="106" t="s">
        <v>66</v>
      </c>
      <c r="U104" s="107"/>
      <c r="V104" s="18">
        <v>33560.411101197897</v>
      </c>
      <c r="W104" s="18">
        <v>33560.411101197897</v>
      </c>
      <c r="X104" s="18">
        <v>0</v>
      </c>
      <c r="Z104" s="106" t="s">
        <v>66</v>
      </c>
      <c r="AA104" s="107"/>
      <c r="AB104" s="18">
        <v>33560.411101197897</v>
      </c>
      <c r="AC104" s="18">
        <v>33560.411101197897</v>
      </c>
      <c r="AD104" s="18">
        <v>0</v>
      </c>
      <c r="AF104" s="106" t="s">
        <v>66</v>
      </c>
      <c r="AG104" s="107"/>
      <c r="AH104" s="18">
        <v>33560.411101197897</v>
      </c>
      <c r="AI104" s="18">
        <v>33560.411101197897</v>
      </c>
      <c r="AJ104" s="18">
        <v>0</v>
      </c>
      <c r="AL104" s="106" t="s">
        <v>66</v>
      </c>
      <c r="AM104" s="107"/>
      <c r="AN104" s="18">
        <v>33560.411101197897</v>
      </c>
      <c r="AO104" s="18">
        <v>33560.411101197897</v>
      </c>
      <c r="AP104" s="18">
        <v>0</v>
      </c>
    </row>
    <row r="105" spans="1:42" x14ac:dyDescent="0.2">
      <c r="B105" s="103" t="s">
        <v>19</v>
      </c>
      <c r="C105" s="104"/>
      <c r="D105" s="18">
        <v>13673.147301716601</v>
      </c>
      <c r="E105" s="18">
        <v>10244.020617808899</v>
      </c>
      <c r="F105" s="18">
        <v>3429.1266839077016</v>
      </c>
      <c r="H105" s="103" t="s">
        <v>19</v>
      </c>
      <c r="I105" s="104"/>
      <c r="J105" s="18">
        <v>13673.147301716601</v>
      </c>
      <c r="K105" s="18">
        <v>10244.020617808899</v>
      </c>
      <c r="L105" s="18">
        <v>3429.1266839077016</v>
      </c>
      <c r="N105" s="103" t="s">
        <v>19</v>
      </c>
      <c r="O105" s="104"/>
      <c r="P105" s="18">
        <v>12697.837521552799</v>
      </c>
      <c r="Q105" s="18">
        <v>10244.020617808899</v>
      </c>
      <c r="R105" s="18">
        <v>2453.8169037439002</v>
      </c>
      <c r="T105" s="103" t="s">
        <v>19</v>
      </c>
      <c r="U105" s="104"/>
      <c r="V105" s="18">
        <v>12336.915813043801</v>
      </c>
      <c r="W105" s="18">
        <v>10244.020617808899</v>
      </c>
      <c r="X105" s="18">
        <v>2092.8951952349016</v>
      </c>
      <c r="Z105" s="103" t="s">
        <v>19</v>
      </c>
      <c r="AA105" s="104"/>
      <c r="AB105" s="18">
        <v>12132.9211597915</v>
      </c>
      <c r="AC105" s="18">
        <v>10244.020617808899</v>
      </c>
      <c r="AD105" s="18">
        <v>1888.9005419826008</v>
      </c>
      <c r="AF105" s="103" t="s">
        <v>19</v>
      </c>
      <c r="AG105" s="104"/>
      <c r="AH105" s="18">
        <v>12336.915813043801</v>
      </c>
      <c r="AI105" s="18">
        <v>10244.020617808899</v>
      </c>
      <c r="AJ105" s="18">
        <v>2092.8951952349016</v>
      </c>
      <c r="AL105" s="103" t="s">
        <v>19</v>
      </c>
      <c r="AM105" s="104"/>
      <c r="AN105" s="18">
        <v>12336.915813043801</v>
      </c>
      <c r="AO105" s="18">
        <v>10244.020617808899</v>
      </c>
      <c r="AP105" s="18">
        <v>2092.8951952349016</v>
      </c>
    </row>
    <row r="106" spans="1:42" x14ac:dyDescent="0.2">
      <c r="B106" s="103" t="s">
        <v>20</v>
      </c>
      <c r="C106" s="104"/>
      <c r="D106" s="18">
        <v>9012.7366988548602</v>
      </c>
      <c r="E106" s="18">
        <v>6754.8771741712999</v>
      </c>
      <c r="F106" s="18">
        <v>2257.8595246835603</v>
      </c>
      <c r="H106" s="103" t="s">
        <v>20</v>
      </c>
      <c r="I106" s="104"/>
      <c r="J106" s="18">
        <v>9012.7366988548602</v>
      </c>
      <c r="K106" s="18">
        <v>6754.8771741712999</v>
      </c>
      <c r="L106" s="18">
        <v>2257.8595246835603</v>
      </c>
      <c r="N106" s="103" t="s">
        <v>20</v>
      </c>
      <c r="O106" s="104"/>
      <c r="P106" s="18">
        <v>8390.7550857853603</v>
      </c>
      <c r="Q106" s="18">
        <v>6754.8771741712999</v>
      </c>
      <c r="R106" s="18">
        <v>1635.8779116140604</v>
      </c>
      <c r="T106" s="103" t="s">
        <v>20</v>
      </c>
      <c r="U106" s="104"/>
      <c r="V106" s="18">
        <v>9135.2937252255906</v>
      </c>
      <c r="W106" s="18">
        <v>6754.8771741712999</v>
      </c>
      <c r="X106" s="18">
        <v>2380.4165510542907</v>
      </c>
      <c r="Z106" s="103" t="s">
        <v>20</v>
      </c>
      <c r="AA106" s="104"/>
      <c r="AB106" s="18">
        <v>8950.2660622470303</v>
      </c>
      <c r="AC106" s="18">
        <v>6754.8771741712999</v>
      </c>
      <c r="AD106" s="18">
        <v>2195.3888880757304</v>
      </c>
      <c r="AF106" s="103" t="s">
        <v>20</v>
      </c>
      <c r="AG106" s="104"/>
      <c r="AH106" s="18">
        <v>9135.2937252255906</v>
      </c>
      <c r="AI106" s="18">
        <v>6754.8771741712999</v>
      </c>
      <c r="AJ106" s="18">
        <v>2380.4165510542907</v>
      </c>
      <c r="AL106" s="103" t="s">
        <v>20</v>
      </c>
      <c r="AM106" s="104"/>
      <c r="AN106" s="18">
        <v>9135.2937252255906</v>
      </c>
      <c r="AO106" s="18">
        <v>6754.8771741712999</v>
      </c>
      <c r="AP106" s="18">
        <v>2380.4165510542907</v>
      </c>
    </row>
    <row r="107" spans="1:42" x14ac:dyDescent="0.2">
      <c r="B107" s="103" t="s">
        <v>21</v>
      </c>
      <c r="C107" s="104"/>
      <c r="D107" s="18">
        <v>5696.39939422509</v>
      </c>
      <c r="E107" s="18">
        <v>6914.6414242224901</v>
      </c>
      <c r="F107" s="18">
        <v>-1218.2420299974001</v>
      </c>
      <c r="H107" s="103" t="s">
        <v>21</v>
      </c>
      <c r="I107" s="104"/>
      <c r="J107" s="18">
        <v>5696.39939422509</v>
      </c>
      <c r="K107" s="18">
        <v>6914.6414242224901</v>
      </c>
      <c r="L107" s="18">
        <v>-1218.2420299974001</v>
      </c>
      <c r="N107" s="103" t="s">
        <v>21</v>
      </c>
      <c r="O107" s="104"/>
      <c r="P107" s="18">
        <v>6071.4675353101102</v>
      </c>
      <c r="Q107" s="18">
        <v>6914.6414242224901</v>
      </c>
      <c r="R107" s="18">
        <v>-843.17388891237988</v>
      </c>
      <c r="T107" s="103" t="s">
        <v>21</v>
      </c>
      <c r="U107" s="104"/>
      <c r="V107" s="18">
        <v>6111.0325775533001</v>
      </c>
      <c r="W107" s="18">
        <v>6914.6414242224901</v>
      </c>
      <c r="X107" s="18">
        <v>-803.60884666918992</v>
      </c>
      <c r="Z107" s="103" t="s">
        <v>21</v>
      </c>
      <c r="AA107" s="104"/>
      <c r="AB107" s="18">
        <v>6202.4900771884804</v>
      </c>
      <c r="AC107" s="18">
        <v>6914.6414242224901</v>
      </c>
      <c r="AD107" s="18">
        <v>-712.15134703400963</v>
      </c>
      <c r="AF107" s="103" t="s">
        <v>21</v>
      </c>
      <c r="AG107" s="104"/>
      <c r="AH107" s="18">
        <v>6111.0325775533001</v>
      </c>
      <c r="AI107" s="18">
        <v>6914.6414242224901</v>
      </c>
      <c r="AJ107" s="18">
        <v>-803.60884666918992</v>
      </c>
      <c r="AL107" s="103" t="s">
        <v>21</v>
      </c>
      <c r="AM107" s="104"/>
      <c r="AN107" s="18">
        <v>6111.0325775533001</v>
      </c>
      <c r="AO107" s="18">
        <v>6914.6414242224901</v>
      </c>
      <c r="AP107" s="18">
        <v>-803.60884666918992</v>
      </c>
    </row>
    <row r="108" spans="1:42" x14ac:dyDescent="0.2">
      <c r="B108" s="103" t="s">
        <v>22</v>
      </c>
      <c r="C108" s="104"/>
      <c r="D108" s="18">
        <v>5178.1277064012902</v>
      </c>
      <c r="E108" s="18">
        <v>9646.8718849952002</v>
      </c>
      <c r="F108" s="18">
        <v>-4468.74417859391</v>
      </c>
      <c r="H108" s="103" t="s">
        <v>22</v>
      </c>
      <c r="I108" s="104"/>
      <c r="J108" s="18">
        <v>5178.1277064012902</v>
      </c>
      <c r="K108" s="18">
        <v>9646.8718849952002</v>
      </c>
      <c r="L108" s="18">
        <v>-4468.74417859391</v>
      </c>
      <c r="N108" s="103" t="s">
        <v>22</v>
      </c>
      <c r="O108" s="104"/>
      <c r="P108" s="18">
        <v>6400.3509585496104</v>
      </c>
      <c r="Q108" s="18">
        <v>9646.8718849952002</v>
      </c>
      <c r="R108" s="18">
        <v>-3246.5209264455898</v>
      </c>
      <c r="T108" s="103" t="s">
        <v>22</v>
      </c>
      <c r="U108" s="104"/>
      <c r="V108" s="18">
        <v>5977.1689853752396</v>
      </c>
      <c r="W108" s="18">
        <v>9646.8718849952002</v>
      </c>
      <c r="X108" s="18">
        <v>-3669.7028996199606</v>
      </c>
      <c r="Z108" s="103" t="s">
        <v>22</v>
      </c>
      <c r="AA108" s="104"/>
      <c r="AB108" s="18">
        <v>6274.7338019708304</v>
      </c>
      <c r="AC108" s="18">
        <v>9646.8718849952002</v>
      </c>
      <c r="AD108" s="18">
        <v>-3372.1380830243697</v>
      </c>
      <c r="AF108" s="103" t="s">
        <v>22</v>
      </c>
      <c r="AG108" s="104"/>
      <c r="AH108" s="18">
        <v>5977.1689853752396</v>
      </c>
      <c r="AI108" s="18">
        <v>9646.8718849952002</v>
      </c>
      <c r="AJ108" s="18">
        <v>-3669.7028996199606</v>
      </c>
      <c r="AL108" s="103" t="s">
        <v>22</v>
      </c>
      <c r="AM108" s="104"/>
      <c r="AN108" s="18">
        <v>5977.1689853752396</v>
      </c>
      <c r="AO108" s="18">
        <v>9646.8718849952002</v>
      </c>
      <c r="AP108" s="18">
        <v>-3669.7028996199606</v>
      </c>
    </row>
    <row r="109" spans="1:42" x14ac:dyDescent="0.2">
      <c r="C109" s="34"/>
      <c r="D109" s="34"/>
      <c r="E109" s="34"/>
      <c r="F109" s="34"/>
      <c r="I109" s="34"/>
      <c r="J109" s="34"/>
      <c r="K109" s="34"/>
      <c r="L109" s="34"/>
      <c r="O109" s="34"/>
      <c r="P109" s="34"/>
      <c r="Q109" s="34"/>
      <c r="R109" s="34"/>
      <c r="U109" s="34"/>
      <c r="V109" s="34"/>
      <c r="W109" s="34"/>
      <c r="X109" s="34"/>
      <c r="AA109" s="34"/>
      <c r="AB109" s="34"/>
      <c r="AC109" s="34"/>
      <c r="AD109" s="34"/>
      <c r="AG109" s="34"/>
      <c r="AH109" s="34"/>
      <c r="AI109" s="34"/>
      <c r="AJ109" s="34"/>
      <c r="AM109" s="34"/>
      <c r="AN109" s="34"/>
      <c r="AO109" s="34"/>
      <c r="AP109" s="34"/>
    </row>
    <row r="110" spans="1:42" x14ac:dyDescent="0.2">
      <c r="B110" s="106" t="s">
        <v>67</v>
      </c>
      <c r="C110" s="107" t="s">
        <v>12</v>
      </c>
      <c r="D110" s="9">
        <v>5.2534984294848304</v>
      </c>
      <c r="E110" s="9">
        <v>4.3043748061612099</v>
      </c>
      <c r="F110" s="9">
        <v>0.94912362332362044</v>
      </c>
      <c r="H110" s="106" t="s">
        <v>67</v>
      </c>
      <c r="I110" s="107" t="s">
        <v>12</v>
      </c>
      <c r="J110" s="9">
        <v>5.2534984294848304</v>
      </c>
      <c r="K110" s="9">
        <v>4.3043748061612099</v>
      </c>
      <c r="L110" s="9">
        <v>0.94912362332362044</v>
      </c>
      <c r="N110" s="106" t="s">
        <v>67</v>
      </c>
      <c r="O110" s="107" t="s">
        <v>12</v>
      </c>
      <c r="P110" s="9">
        <v>4.8903142106957302</v>
      </c>
      <c r="Q110" s="9">
        <v>4.3043748061612099</v>
      </c>
      <c r="R110" s="9">
        <v>0.58593940453452031</v>
      </c>
      <c r="T110" s="106" t="s">
        <v>67</v>
      </c>
      <c r="U110" s="107" t="s">
        <v>12</v>
      </c>
      <c r="V110" s="9">
        <v>4.9036294159838496</v>
      </c>
      <c r="W110" s="9">
        <v>4.3043748061612099</v>
      </c>
      <c r="X110" s="9">
        <v>0.59925460982263967</v>
      </c>
      <c r="Z110" s="106" t="s">
        <v>67</v>
      </c>
      <c r="AA110" s="107" t="s">
        <v>12</v>
      </c>
      <c r="AB110" s="9">
        <v>4.8524417507997697</v>
      </c>
      <c r="AC110" s="9">
        <v>4.3043748061612099</v>
      </c>
      <c r="AD110" s="9">
        <v>0.54806694463855976</v>
      </c>
      <c r="AF110" s="106" t="s">
        <v>67</v>
      </c>
      <c r="AG110" s="107" t="s">
        <v>12</v>
      </c>
      <c r="AH110" s="9">
        <v>4.9036294159838496</v>
      </c>
      <c r="AI110" s="9">
        <v>4.3043748061612099</v>
      </c>
      <c r="AJ110" s="9">
        <v>0.59925460982263967</v>
      </c>
      <c r="AL110" s="106" t="s">
        <v>67</v>
      </c>
      <c r="AM110" s="107" t="s">
        <v>12</v>
      </c>
      <c r="AN110" s="9">
        <v>4.9036294159838496</v>
      </c>
      <c r="AO110" s="9">
        <v>4.3043748061612099</v>
      </c>
      <c r="AP110" s="9">
        <v>0.59925460982263967</v>
      </c>
    </row>
    <row r="111" spans="1:42" x14ac:dyDescent="0.2">
      <c r="B111" s="106" t="s">
        <v>68</v>
      </c>
      <c r="C111" s="107"/>
      <c r="D111" s="9">
        <v>3.6685543177121702</v>
      </c>
      <c r="E111" s="9">
        <v>2.9401930620668302</v>
      </c>
      <c r="F111" s="9">
        <v>0.72836125564534004</v>
      </c>
      <c r="H111" s="106" t="s">
        <v>68</v>
      </c>
      <c r="I111" s="107"/>
      <c r="J111" s="9">
        <v>3.6685543177121702</v>
      </c>
      <c r="K111" s="9">
        <v>2.9401930620668302</v>
      </c>
      <c r="L111" s="9">
        <v>0.72836125564534004</v>
      </c>
      <c r="N111" s="106" t="s">
        <v>68</v>
      </c>
      <c r="O111" s="107"/>
      <c r="P111" s="9">
        <v>3.39071213469028</v>
      </c>
      <c r="Q111" s="9">
        <v>2.9401930620668302</v>
      </c>
      <c r="R111" s="9">
        <v>0.45051907262344981</v>
      </c>
      <c r="T111" s="106" t="s">
        <v>68</v>
      </c>
      <c r="U111" s="107"/>
      <c r="V111" s="9">
        <v>3.3981339889719702</v>
      </c>
      <c r="W111" s="9">
        <v>2.9401930620668302</v>
      </c>
      <c r="X111" s="9">
        <v>0.45794092690513999</v>
      </c>
      <c r="Z111" s="106" t="s">
        <v>68</v>
      </c>
      <c r="AA111" s="107"/>
      <c r="AB111" s="9">
        <v>3.3589220858463902</v>
      </c>
      <c r="AC111" s="9">
        <v>2.9401930620668302</v>
      </c>
      <c r="AD111" s="9">
        <v>0.41872902377956001</v>
      </c>
      <c r="AF111" s="106" t="s">
        <v>68</v>
      </c>
      <c r="AG111" s="107"/>
      <c r="AH111" s="9">
        <v>3.3981339889719702</v>
      </c>
      <c r="AI111" s="9">
        <v>2.9401930620668302</v>
      </c>
      <c r="AJ111" s="9">
        <v>0.45794092690513999</v>
      </c>
      <c r="AL111" s="106" t="s">
        <v>68</v>
      </c>
      <c r="AM111" s="107"/>
      <c r="AN111" s="9">
        <v>3.3981339889719702</v>
      </c>
      <c r="AO111" s="9">
        <v>2.9401930620668302</v>
      </c>
      <c r="AP111" s="9">
        <v>0.45794092690513999</v>
      </c>
    </row>
    <row r="112" spans="1:42" x14ac:dyDescent="0.2">
      <c r="C112" s="34"/>
      <c r="D112" s="34"/>
      <c r="E112" s="34"/>
      <c r="F112" s="34"/>
      <c r="I112" s="34"/>
      <c r="J112" s="34"/>
      <c r="K112" s="34"/>
      <c r="L112" s="34"/>
      <c r="O112" s="34"/>
      <c r="P112" s="34"/>
      <c r="Q112" s="34"/>
      <c r="R112" s="34"/>
      <c r="U112" s="34"/>
      <c r="V112" s="34"/>
      <c r="W112" s="34"/>
      <c r="X112" s="34"/>
      <c r="AA112" s="34"/>
      <c r="AB112" s="34"/>
      <c r="AC112" s="34"/>
      <c r="AD112" s="34"/>
      <c r="AG112" s="34"/>
      <c r="AH112" s="34"/>
      <c r="AI112" s="34"/>
      <c r="AJ112" s="34"/>
      <c r="AM112" s="34"/>
      <c r="AN112" s="34"/>
      <c r="AO112" s="34"/>
      <c r="AP112" s="34"/>
    </row>
    <row r="113" spans="1:42" x14ac:dyDescent="0.2">
      <c r="A113" s="20"/>
      <c r="B113" s="106" t="s">
        <v>69</v>
      </c>
      <c r="C113" s="107"/>
      <c r="D113" s="39">
        <v>0</v>
      </c>
      <c r="E113" s="39">
        <v>0</v>
      </c>
      <c r="F113" s="39">
        <v>0</v>
      </c>
      <c r="G113" s="20"/>
      <c r="H113" s="106" t="s">
        <v>69</v>
      </c>
      <c r="I113" s="107"/>
      <c r="J113" s="39">
        <v>0</v>
      </c>
      <c r="K113" s="39">
        <v>0</v>
      </c>
      <c r="L113" s="39">
        <v>0</v>
      </c>
      <c r="M113" s="20"/>
      <c r="N113" s="106" t="s">
        <v>69</v>
      </c>
      <c r="O113" s="107"/>
      <c r="P113" s="39">
        <v>0</v>
      </c>
      <c r="Q113" s="39">
        <v>0</v>
      </c>
      <c r="R113" s="39">
        <v>0</v>
      </c>
      <c r="S113" s="20"/>
      <c r="T113" s="106" t="s">
        <v>69</v>
      </c>
      <c r="U113" s="107"/>
      <c r="V113" s="39">
        <v>0</v>
      </c>
      <c r="W113" s="39">
        <v>0</v>
      </c>
      <c r="X113" s="39">
        <v>0</v>
      </c>
      <c r="Y113" s="20"/>
      <c r="Z113" s="106" t="s">
        <v>69</v>
      </c>
      <c r="AA113" s="107"/>
      <c r="AB113" s="39">
        <v>0</v>
      </c>
      <c r="AC113" s="39">
        <v>0</v>
      </c>
      <c r="AD113" s="39">
        <v>0</v>
      </c>
      <c r="AE113" s="20"/>
      <c r="AF113" s="106" t="s">
        <v>69</v>
      </c>
      <c r="AG113" s="107"/>
      <c r="AH113" s="39">
        <v>488902563.85386169</v>
      </c>
      <c r="AI113" s="39">
        <v>480371925.89686555</v>
      </c>
      <c r="AJ113" s="39">
        <v>8530637.9569961429</v>
      </c>
      <c r="AK113" s="20"/>
      <c r="AL113" s="106" t="s">
        <v>69</v>
      </c>
      <c r="AM113" s="107"/>
      <c r="AN113" s="39">
        <v>505932302.00313175</v>
      </c>
      <c r="AO113" s="39">
        <v>510503597.4706791</v>
      </c>
      <c r="AP113" s="39">
        <v>-4571295.4675473571</v>
      </c>
    </row>
    <row r="114" spans="1:42" x14ac:dyDescent="0.2">
      <c r="A114" s="20"/>
      <c r="B114" s="103" t="s">
        <v>41</v>
      </c>
      <c r="C114" s="104"/>
      <c r="D114" s="39">
        <v>0</v>
      </c>
      <c r="E114" s="39">
        <v>0</v>
      </c>
      <c r="F114" s="39">
        <v>0</v>
      </c>
      <c r="G114" s="20"/>
      <c r="H114" s="103" t="s">
        <v>41</v>
      </c>
      <c r="I114" s="104"/>
      <c r="J114" s="39">
        <v>0</v>
      </c>
      <c r="K114" s="39">
        <v>0</v>
      </c>
      <c r="L114" s="39">
        <v>0</v>
      </c>
      <c r="M114" s="20"/>
      <c r="N114" s="103" t="s">
        <v>41</v>
      </c>
      <c r="O114" s="104"/>
      <c r="P114" s="39">
        <v>0</v>
      </c>
      <c r="Q114" s="39">
        <v>0</v>
      </c>
      <c r="R114" s="39">
        <v>0</v>
      </c>
      <c r="S114" s="20"/>
      <c r="T114" s="103" t="s">
        <v>41</v>
      </c>
      <c r="U114" s="104"/>
      <c r="V114" s="39">
        <v>0</v>
      </c>
      <c r="W114" s="39">
        <v>0</v>
      </c>
      <c r="X114" s="39">
        <v>0</v>
      </c>
      <c r="Y114" s="20"/>
      <c r="Z114" s="103" t="s">
        <v>41</v>
      </c>
      <c r="AA114" s="104"/>
      <c r="AB114" s="39">
        <v>0</v>
      </c>
      <c r="AC114" s="39">
        <v>0</v>
      </c>
      <c r="AD114" s="39">
        <v>0</v>
      </c>
      <c r="AE114" s="20"/>
      <c r="AF114" s="103" t="s">
        <v>41</v>
      </c>
      <c r="AG114" s="104"/>
      <c r="AH114" s="39">
        <v>52849161.894097909</v>
      </c>
      <c r="AI114" s="39">
        <v>34903111.203136042</v>
      </c>
      <c r="AJ114" s="39">
        <v>17946050.690961868</v>
      </c>
      <c r="AK114" s="20"/>
      <c r="AL114" s="103" t="s">
        <v>41</v>
      </c>
      <c r="AM114" s="104"/>
      <c r="AN114" s="39">
        <v>52849161.894097909</v>
      </c>
      <c r="AO114" s="39">
        <v>34903111.203136042</v>
      </c>
      <c r="AP114" s="39">
        <v>17946050.690961868</v>
      </c>
    </row>
    <row r="115" spans="1:42" x14ac:dyDescent="0.2">
      <c r="B115" s="103" t="s">
        <v>42</v>
      </c>
      <c r="C115" s="104"/>
      <c r="D115" s="39">
        <v>0</v>
      </c>
      <c r="E115" s="39">
        <v>0</v>
      </c>
      <c r="F115" s="39">
        <v>0</v>
      </c>
      <c r="H115" s="103" t="s">
        <v>42</v>
      </c>
      <c r="I115" s="104"/>
      <c r="J115" s="39">
        <v>0</v>
      </c>
      <c r="K115" s="39">
        <v>0</v>
      </c>
      <c r="L115" s="39">
        <v>0</v>
      </c>
      <c r="N115" s="103" t="s">
        <v>42</v>
      </c>
      <c r="O115" s="104"/>
      <c r="P115" s="39">
        <v>0</v>
      </c>
      <c r="Q115" s="39">
        <v>0</v>
      </c>
      <c r="R115" s="39">
        <v>0</v>
      </c>
      <c r="T115" s="103" t="s">
        <v>42</v>
      </c>
      <c r="U115" s="104"/>
      <c r="V115" s="39">
        <v>0</v>
      </c>
      <c r="W115" s="39">
        <v>0</v>
      </c>
      <c r="X115" s="39">
        <v>0</v>
      </c>
      <c r="Z115" s="103" t="s">
        <v>42</v>
      </c>
      <c r="AA115" s="104"/>
      <c r="AB115" s="39">
        <v>0</v>
      </c>
      <c r="AC115" s="39">
        <v>0</v>
      </c>
      <c r="AD115" s="39">
        <v>0</v>
      </c>
      <c r="AF115" s="103" t="s">
        <v>42</v>
      </c>
      <c r="AG115" s="104"/>
      <c r="AH115" s="39">
        <v>40095641.493830495</v>
      </c>
      <c r="AI115" s="39">
        <v>20251371.682264812</v>
      </c>
      <c r="AJ115" s="39">
        <v>19844269.811565682</v>
      </c>
      <c r="AL115" s="103" t="s">
        <v>42</v>
      </c>
      <c r="AM115" s="104"/>
      <c r="AN115" s="39">
        <v>40095641.493830495</v>
      </c>
      <c r="AO115" s="39">
        <v>20251371.682264812</v>
      </c>
      <c r="AP115" s="39">
        <v>19844269.811565682</v>
      </c>
    </row>
    <row r="116" spans="1:42" x14ac:dyDescent="0.2">
      <c r="B116" s="103" t="s">
        <v>43</v>
      </c>
      <c r="C116" s="104"/>
      <c r="D116" s="39">
        <v>0</v>
      </c>
      <c r="E116" s="39">
        <v>0</v>
      </c>
      <c r="F116" s="39">
        <v>0</v>
      </c>
      <c r="H116" s="103" t="s">
        <v>43</v>
      </c>
      <c r="I116" s="104"/>
      <c r="J116" s="39">
        <v>0</v>
      </c>
      <c r="K116" s="39">
        <v>0</v>
      </c>
      <c r="L116" s="39">
        <v>0</v>
      </c>
      <c r="N116" s="103" t="s">
        <v>43</v>
      </c>
      <c r="O116" s="104"/>
      <c r="P116" s="39">
        <v>0</v>
      </c>
      <c r="Q116" s="39">
        <v>0</v>
      </c>
      <c r="R116" s="39">
        <v>0</v>
      </c>
      <c r="T116" s="103" t="s">
        <v>43</v>
      </c>
      <c r="U116" s="104"/>
      <c r="V116" s="39">
        <v>0</v>
      </c>
      <c r="W116" s="39">
        <v>0</v>
      </c>
      <c r="X116" s="39">
        <v>0</v>
      </c>
      <c r="Z116" s="103" t="s">
        <v>43</v>
      </c>
      <c r="AA116" s="104"/>
      <c r="AB116" s="39">
        <v>0</v>
      </c>
      <c r="AC116" s="39">
        <v>0</v>
      </c>
      <c r="AD116" s="39">
        <v>0</v>
      </c>
      <c r="AF116" s="103" t="s">
        <v>43</v>
      </c>
      <c r="AG116" s="104"/>
      <c r="AH116" s="39">
        <v>20851392.420090374</v>
      </c>
      <c r="AI116" s="39">
        <v>26564760.654975362</v>
      </c>
      <c r="AJ116" s="39">
        <v>-5713368.2348849885</v>
      </c>
      <c r="AL116" s="103" t="s">
        <v>43</v>
      </c>
      <c r="AM116" s="104"/>
      <c r="AN116" s="39">
        <v>21999406.788089987</v>
      </c>
      <c r="AO116" s="39">
        <v>27893962.736077432</v>
      </c>
      <c r="AP116" s="39">
        <v>-5894555.9479874447</v>
      </c>
    </row>
    <row r="117" spans="1:42" x14ac:dyDescent="0.2">
      <c r="B117" s="103" t="s">
        <v>44</v>
      </c>
      <c r="C117" s="104"/>
      <c r="D117" s="39">
        <v>0</v>
      </c>
      <c r="E117" s="39">
        <v>0</v>
      </c>
      <c r="F117" s="39">
        <v>0</v>
      </c>
      <c r="H117" s="103" t="s">
        <v>44</v>
      </c>
      <c r="I117" s="104"/>
      <c r="J117" s="39">
        <v>0</v>
      </c>
      <c r="K117" s="39">
        <v>0</v>
      </c>
      <c r="L117" s="39">
        <v>0</v>
      </c>
      <c r="N117" s="103" t="s">
        <v>44</v>
      </c>
      <c r="O117" s="104"/>
      <c r="P117" s="39">
        <v>0</v>
      </c>
      <c r="Q117" s="39">
        <v>0</v>
      </c>
      <c r="R117" s="39">
        <v>0</v>
      </c>
      <c r="T117" s="103" t="s">
        <v>44</v>
      </c>
      <c r="U117" s="104"/>
      <c r="V117" s="39">
        <v>0</v>
      </c>
      <c r="W117" s="39">
        <v>0</v>
      </c>
      <c r="X117" s="39">
        <v>0</v>
      </c>
      <c r="Z117" s="103" t="s">
        <v>44</v>
      </c>
      <c r="AA117" s="104"/>
      <c r="AB117" s="39">
        <v>0</v>
      </c>
      <c r="AC117" s="39">
        <v>0</v>
      </c>
      <c r="AD117" s="39">
        <v>0</v>
      </c>
      <c r="AF117" s="103" t="s">
        <v>44</v>
      </c>
      <c r="AG117" s="104"/>
      <c r="AH117" s="39">
        <v>14840303.870130077</v>
      </c>
      <c r="AI117" s="39">
        <v>39230249.714326136</v>
      </c>
      <c r="AJ117" s="39">
        <v>-24389945.844196059</v>
      </c>
      <c r="AL117" s="103" t="s">
        <v>44</v>
      </c>
      <c r="AM117" s="104"/>
      <c r="AN117" s="39">
        <v>16750463.717199337</v>
      </c>
      <c r="AO117" s="39">
        <v>46037118.434798717</v>
      </c>
      <c r="AP117" s="39">
        <v>-29286654.717599381</v>
      </c>
    </row>
    <row r="118" spans="1:42" x14ac:dyDescent="0.2">
      <c r="A118" s="6"/>
      <c r="B118" s="6"/>
      <c r="C118" s="6"/>
      <c r="D118" s="130"/>
      <c r="E118" s="130"/>
      <c r="F118" s="130"/>
      <c r="G118" s="6"/>
      <c r="H118" s="6"/>
      <c r="I118" s="6"/>
      <c r="J118" s="130"/>
      <c r="K118" s="130"/>
      <c r="L118" s="130"/>
      <c r="M118" s="6"/>
      <c r="N118" s="6"/>
      <c r="O118" s="6"/>
      <c r="P118" s="130"/>
      <c r="Q118" s="130"/>
      <c r="R118" s="130"/>
      <c r="S118" s="6"/>
      <c r="T118" s="6"/>
      <c r="U118" s="6"/>
      <c r="V118" s="130"/>
      <c r="W118" s="130"/>
      <c r="X118" s="130"/>
      <c r="Y118" s="6"/>
      <c r="Z118" s="6"/>
      <c r="AA118" s="6"/>
      <c r="AB118" s="130"/>
      <c r="AC118" s="130"/>
      <c r="AD118" s="130"/>
      <c r="AE118" s="6"/>
      <c r="AF118" s="6"/>
      <c r="AG118" s="6"/>
      <c r="AH118" s="130"/>
      <c r="AI118" s="130"/>
      <c r="AJ118" s="130"/>
      <c r="AK118" s="6"/>
      <c r="AL118" s="6"/>
      <c r="AM118" s="6"/>
      <c r="AN118" s="6"/>
      <c r="AO118" s="6"/>
      <c r="AP118" s="6"/>
    </row>
    <row r="119" spans="1:42" x14ac:dyDescent="0.2">
      <c r="A119" s="20"/>
      <c r="B119" s="106" t="s">
        <v>70</v>
      </c>
      <c r="C119" s="107"/>
      <c r="D119" s="39">
        <v>0</v>
      </c>
      <c r="E119" s="39">
        <v>0</v>
      </c>
      <c r="F119" s="39">
        <v>0</v>
      </c>
      <c r="G119" s="20"/>
      <c r="H119" s="106" t="s">
        <v>70</v>
      </c>
      <c r="I119" s="107"/>
      <c r="J119" s="39">
        <v>0</v>
      </c>
      <c r="K119" s="39">
        <v>0</v>
      </c>
      <c r="L119" s="39">
        <v>0</v>
      </c>
      <c r="M119" s="20"/>
      <c r="N119" s="106" t="s">
        <v>70</v>
      </c>
      <c r="O119" s="107"/>
      <c r="P119" s="39">
        <v>0</v>
      </c>
      <c r="Q119" s="39">
        <v>0</v>
      </c>
      <c r="R119" s="39">
        <v>0</v>
      </c>
      <c r="S119" s="20"/>
      <c r="T119" s="106" t="s">
        <v>70</v>
      </c>
      <c r="U119" s="107"/>
      <c r="V119" s="39">
        <v>0</v>
      </c>
      <c r="W119" s="39">
        <v>0</v>
      </c>
      <c r="X119" s="39">
        <v>0</v>
      </c>
      <c r="Y119" s="20"/>
      <c r="Z119" s="106" t="s">
        <v>70</v>
      </c>
      <c r="AA119" s="107"/>
      <c r="AB119" s="39">
        <v>0</v>
      </c>
      <c r="AC119" s="39">
        <v>0</v>
      </c>
      <c r="AD119" s="39">
        <v>0</v>
      </c>
      <c r="AE119" s="20"/>
      <c r="AF119" s="106" t="s">
        <v>70</v>
      </c>
      <c r="AG119" s="107"/>
      <c r="AH119" s="39">
        <v>14567.835965406601</v>
      </c>
      <c r="AI119" s="39">
        <v>14313.6484367952</v>
      </c>
      <c r="AJ119" s="39">
        <v>254.18752861140092</v>
      </c>
      <c r="AK119" s="20"/>
      <c r="AL119" s="106" t="s">
        <v>70</v>
      </c>
      <c r="AM119" s="107"/>
      <c r="AN119" s="39">
        <v>15075.2712914495</v>
      </c>
      <c r="AO119" s="39">
        <v>15211.4822411236</v>
      </c>
      <c r="AP119" s="39">
        <v>-136.21094967409954</v>
      </c>
    </row>
    <row r="120" spans="1:42" x14ac:dyDescent="0.2">
      <c r="A120" s="20"/>
      <c r="B120" s="103" t="s">
        <v>41</v>
      </c>
      <c r="C120" s="104"/>
      <c r="D120" s="39">
        <v>0</v>
      </c>
      <c r="E120" s="39">
        <v>0</v>
      </c>
      <c r="F120" s="39">
        <v>0</v>
      </c>
      <c r="G120" s="20"/>
      <c r="H120" s="103" t="s">
        <v>41</v>
      </c>
      <c r="I120" s="104"/>
      <c r="J120" s="39">
        <v>0</v>
      </c>
      <c r="K120" s="39">
        <v>0</v>
      </c>
      <c r="L120" s="39">
        <v>0</v>
      </c>
      <c r="M120" s="20"/>
      <c r="N120" s="103" t="s">
        <v>41</v>
      </c>
      <c r="O120" s="104"/>
      <c r="P120" s="39">
        <v>0</v>
      </c>
      <c r="Q120" s="39">
        <v>0</v>
      </c>
      <c r="R120" s="39">
        <v>0</v>
      </c>
      <c r="S120" s="20"/>
      <c r="T120" s="103" t="s">
        <v>41</v>
      </c>
      <c r="U120" s="104"/>
      <c r="V120" s="39">
        <v>0</v>
      </c>
      <c r="W120" s="39">
        <v>0</v>
      </c>
      <c r="X120" s="39">
        <v>0</v>
      </c>
      <c r="Y120" s="20"/>
      <c r="Z120" s="103" t="s">
        <v>41</v>
      </c>
      <c r="AA120" s="104"/>
      <c r="AB120" s="39">
        <v>0</v>
      </c>
      <c r="AC120" s="39">
        <v>0</v>
      </c>
      <c r="AD120" s="39">
        <v>0</v>
      </c>
      <c r="AE120" s="20"/>
      <c r="AF120" s="103" t="s">
        <v>41</v>
      </c>
      <c r="AG120" s="104"/>
      <c r="AH120" s="39">
        <v>4283.82285289007</v>
      </c>
      <c r="AI120" s="39">
        <v>3407.1691677834101</v>
      </c>
      <c r="AJ120" s="39">
        <v>876.65368510665985</v>
      </c>
      <c r="AK120" s="20"/>
      <c r="AL120" s="103" t="s">
        <v>41</v>
      </c>
      <c r="AM120" s="104"/>
      <c r="AN120" s="39">
        <v>4283.82285289007</v>
      </c>
      <c r="AO120" s="39">
        <v>3407.1691677834101</v>
      </c>
      <c r="AP120" s="39">
        <v>876.65368510665985</v>
      </c>
    </row>
    <row r="121" spans="1:42" x14ac:dyDescent="0.2">
      <c r="B121" s="103" t="s">
        <v>42</v>
      </c>
      <c r="C121" s="104"/>
      <c r="D121" s="39">
        <v>0</v>
      </c>
      <c r="E121" s="39">
        <v>0</v>
      </c>
      <c r="F121" s="39">
        <v>0</v>
      </c>
      <c r="H121" s="103" t="s">
        <v>42</v>
      </c>
      <c r="I121" s="104"/>
      <c r="J121" s="39">
        <v>0</v>
      </c>
      <c r="K121" s="39">
        <v>0</v>
      </c>
      <c r="L121" s="39">
        <v>0</v>
      </c>
      <c r="N121" s="103" t="s">
        <v>42</v>
      </c>
      <c r="O121" s="104"/>
      <c r="P121" s="39">
        <v>0</v>
      </c>
      <c r="Q121" s="39">
        <v>0</v>
      </c>
      <c r="R121" s="39">
        <v>0</v>
      </c>
      <c r="T121" s="103" t="s">
        <v>42</v>
      </c>
      <c r="U121" s="104"/>
      <c r="V121" s="39">
        <v>0</v>
      </c>
      <c r="W121" s="39">
        <v>0</v>
      </c>
      <c r="X121" s="39">
        <v>0</v>
      </c>
      <c r="Z121" s="103" t="s">
        <v>42</v>
      </c>
      <c r="AA121" s="104"/>
      <c r="AB121" s="39">
        <v>0</v>
      </c>
      <c r="AC121" s="39">
        <v>0</v>
      </c>
      <c r="AD121" s="39">
        <v>0</v>
      </c>
      <c r="AF121" s="103" t="s">
        <v>42</v>
      </c>
      <c r="AG121" s="104"/>
      <c r="AH121" s="39">
        <v>4389.0916592110298</v>
      </c>
      <c r="AI121" s="39">
        <v>2998.0369975786102</v>
      </c>
      <c r="AJ121" s="39">
        <v>1391.0546616324195</v>
      </c>
      <c r="AL121" s="103" t="s">
        <v>42</v>
      </c>
      <c r="AM121" s="104"/>
      <c r="AN121" s="39">
        <v>4389.0916592110298</v>
      </c>
      <c r="AO121" s="39">
        <v>2998.0369975786102</v>
      </c>
      <c r="AP121" s="39">
        <v>1391.0546616324195</v>
      </c>
    </row>
    <row r="122" spans="1:42" x14ac:dyDescent="0.2">
      <c r="B122" s="103" t="s">
        <v>43</v>
      </c>
      <c r="C122" s="104"/>
      <c r="D122" s="39">
        <v>0</v>
      </c>
      <c r="E122" s="39">
        <v>0</v>
      </c>
      <c r="F122" s="39">
        <v>0</v>
      </c>
      <c r="H122" s="103" t="s">
        <v>43</v>
      </c>
      <c r="I122" s="104"/>
      <c r="J122" s="39">
        <v>0</v>
      </c>
      <c r="K122" s="39">
        <v>0</v>
      </c>
      <c r="L122" s="39">
        <v>0</v>
      </c>
      <c r="N122" s="103" t="s">
        <v>43</v>
      </c>
      <c r="O122" s="104"/>
      <c r="P122" s="39">
        <v>0</v>
      </c>
      <c r="Q122" s="39">
        <v>0</v>
      </c>
      <c r="R122" s="39">
        <v>0</v>
      </c>
      <c r="T122" s="103" t="s">
        <v>43</v>
      </c>
      <c r="U122" s="104"/>
      <c r="V122" s="39">
        <v>0</v>
      </c>
      <c r="W122" s="39">
        <v>0</v>
      </c>
      <c r="X122" s="39">
        <v>0</v>
      </c>
      <c r="Z122" s="103" t="s">
        <v>43</v>
      </c>
      <c r="AA122" s="104"/>
      <c r="AB122" s="39">
        <v>0</v>
      </c>
      <c r="AC122" s="39">
        <v>0</v>
      </c>
      <c r="AD122" s="39">
        <v>0</v>
      </c>
      <c r="AF122" s="103" t="s">
        <v>43</v>
      </c>
      <c r="AG122" s="104"/>
      <c r="AH122" s="39">
        <v>3412.0898809606301</v>
      </c>
      <c r="AI122" s="39">
        <v>3841.8131939448199</v>
      </c>
      <c r="AJ122" s="39">
        <v>-429.72331298418976</v>
      </c>
      <c r="AL122" s="103" t="s">
        <v>43</v>
      </c>
      <c r="AM122" s="104"/>
      <c r="AN122" s="39">
        <v>3599.94919171221</v>
      </c>
      <c r="AO122" s="39">
        <v>4034.0432749502902</v>
      </c>
      <c r="AP122" s="39">
        <v>-434.0940832380802</v>
      </c>
    </row>
    <row r="123" spans="1:42" x14ac:dyDescent="0.2">
      <c r="B123" s="103" t="s">
        <v>44</v>
      </c>
      <c r="C123" s="104"/>
      <c r="D123" s="39">
        <v>0</v>
      </c>
      <c r="E123" s="39">
        <v>0</v>
      </c>
      <c r="F123" s="39">
        <v>0</v>
      </c>
      <c r="H123" s="103" t="s">
        <v>44</v>
      </c>
      <c r="I123" s="104"/>
      <c r="J123" s="39">
        <v>0</v>
      </c>
      <c r="K123" s="39">
        <v>0</v>
      </c>
      <c r="L123" s="39">
        <v>0</v>
      </c>
      <c r="N123" s="103" t="s">
        <v>44</v>
      </c>
      <c r="O123" s="104"/>
      <c r="P123" s="39">
        <v>0</v>
      </c>
      <c r="Q123" s="39">
        <v>0</v>
      </c>
      <c r="R123" s="39">
        <v>0</v>
      </c>
      <c r="T123" s="103" t="s">
        <v>44</v>
      </c>
      <c r="U123" s="104"/>
      <c r="V123" s="39">
        <v>0</v>
      </c>
      <c r="W123" s="39">
        <v>0</v>
      </c>
      <c r="X123" s="39">
        <v>0</v>
      </c>
      <c r="Z123" s="103" t="s">
        <v>44</v>
      </c>
      <c r="AA123" s="104"/>
      <c r="AB123" s="39">
        <v>0</v>
      </c>
      <c r="AC123" s="39">
        <v>0</v>
      </c>
      <c r="AD123" s="39">
        <v>0</v>
      </c>
      <c r="AF123" s="103" t="s">
        <v>44</v>
      </c>
      <c r="AG123" s="104"/>
      <c r="AH123" s="39">
        <v>2482.83157234485</v>
      </c>
      <c r="AI123" s="39">
        <v>4066.62907748833</v>
      </c>
      <c r="AJ123" s="39">
        <v>-1583.7975051434801</v>
      </c>
      <c r="AL123" s="103" t="s">
        <v>44</v>
      </c>
      <c r="AM123" s="104"/>
      <c r="AN123" s="39">
        <v>2802.4075876361999</v>
      </c>
      <c r="AO123" s="39">
        <v>4772.23280081133</v>
      </c>
      <c r="AP123" s="39">
        <v>-1969.8252131751301</v>
      </c>
    </row>
    <row r="124" spans="1:42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</row>
    <row r="125" spans="1:42" ht="17" thickBot="1" x14ac:dyDescent="0.25">
      <c r="A125" s="2" t="s">
        <v>71</v>
      </c>
      <c r="B125" s="3"/>
      <c r="C125" s="4"/>
      <c r="D125" s="5"/>
      <c r="E125" s="5"/>
      <c r="F125" s="5"/>
      <c r="G125" s="2"/>
      <c r="H125" s="3"/>
      <c r="I125" s="4"/>
      <c r="J125" s="5"/>
      <c r="K125" s="5"/>
      <c r="L125" s="5"/>
      <c r="M125" s="2"/>
      <c r="N125" s="3"/>
      <c r="O125" s="4"/>
      <c r="P125" s="5"/>
      <c r="Q125" s="5"/>
      <c r="R125" s="5"/>
      <c r="S125" s="2"/>
      <c r="T125" s="3"/>
      <c r="U125" s="4"/>
      <c r="V125" s="5"/>
      <c r="W125" s="5"/>
      <c r="X125" s="5"/>
      <c r="Y125" s="2"/>
      <c r="Z125" s="3"/>
      <c r="AA125" s="4"/>
      <c r="AB125" s="5"/>
      <c r="AC125" s="5"/>
      <c r="AD125" s="5"/>
      <c r="AE125" s="2"/>
      <c r="AF125" s="3"/>
      <c r="AG125" s="4"/>
      <c r="AH125" s="5"/>
      <c r="AI125" s="5"/>
      <c r="AJ125" s="5"/>
      <c r="AK125" s="2"/>
      <c r="AL125" s="3"/>
      <c r="AM125" s="4"/>
      <c r="AN125" s="5"/>
      <c r="AO125" s="5"/>
      <c r="AP125" s="5"/>
    </row>
    <row r="126" spans="1:42" x14ac:dyDescent="0.2">
      <c r="D126" s="6"/>
      <c r="E126" s="6"/>
      <c r="F126" s="6"/>
      <c r="J126" s="6"/>
      <c r="K126" s="6"/>
      <c r="L126" s="6"/>
      <c r="P126" s="6"/>
      <c r="Q126" s="6"/>
      <c r="R126" s="6"/>
      <c r="V126" s="6"/>
      <c r="W126" s="6"/>
      <c r="X126" s="6"/>
      <c r="AB126" s="6"/>
      <c r="AC126" s="6"/>
      <c r="AD126" s="6"/>
      <c r="AH126" s="6"/>
      <c r="AI126" s="6"/>
      <c r="AJ126" s="6"/>
      <c r="AN126" s="6"/>
      <c r="AO126" s="6"/>
      <c r="AP126" s="6"/>
    </row>
    <row r="127" spans="1:42" x14ac:dyDescent="0.2">
      <c r="C127" s="34"/>
      <c r="D127" s="8" t="s">
        <v>4</v>
      </c>
      <c r="E127" s="8" t="s">
        <v>5</v>
      </c>
      <c r="F127" s="8" t="s">
        <v>6</v>
      </c>
      <c r="I127" s="34"/>
      <c r="J127" s="8" t="s">
        <v>4</v>
      </c>
      <c r="K127" s="8" t="s">
        <v>5</v>
      </c>
      <c r="L127" s="8" t="s">
        <v>6</v>
      </c>
      <c r="O127" s="34"/>
      <c r="P127" s="8" t="s">
        <v>4</v>
      </c>
      <c r="Q127" s="8" t="s">
        <v>5</v>
      </c>
      <c r="R127" s="8" t="s">
        <v>6</v>
      </c>
      <c r="U127" s="34"/>
      <c r="V127" s="8" t="s">
        <v>4</v>
      </c>
      <c r="W127" s="8" t="s">
        <v>5</v>
      </c>
      <c r="X127" s="8" t="s">
        <v>6</v>
      </c>
      <c r="AA127" s="34"/>
      <c r="AB127" s="8" t="s">
        <v>4</v>
      </c>
      <c r="AC127" s="8" t="s">
        <v>5</v>
      </c>
      <c r="AD127" s="8" t="s">
        <v>6</v>
      </c>
      <c r="AG127" s="34"/>
      <c r="AH127" s="8" t="s">
        <v>4</v>
      </c>
      <c r="AI127" s="8" t="s">
        <v>5</v>
      </c>
      <c r="AJ127" s="8" t="s">
        <v>6</v>
      </c>
      <c r="AM127" s="34"/>
      <c r="AN127" s="8" t="s">
        <v>4</v>
      </c>
      <c r="AO127" s="8" t="s">
        <v>5</v>
      </c>
      <c r="AP127" s="8" t="s">
        <v>6</v>
      </c>
    </row>
    <row r="128" spans="1:42" x14ac:dyDescent="0.2">
      <c r="B128" s="106" t="s">
        <v>72</v>
      </c>
      <c r="C128" s="107"/>
      <c r="D128" s="18">
        <v>7387.0764059763696</v>
      </c>
      <c r="E128" s="18">
        <v>0</v>
      </c>
      <c r="F128" s="18">
        <v>7387.0764059763696</v>
      </c>
      <c r="H128" s="106" t="s">
        <v>72</v>
      </c>
      <c r="I128" s="107"/>
      <c r="J128" s="18">
        <v>7387.0764059763696</v>
      </c>
      <c r="K128" s="18">
        <v>0</v>
      </c>
      <c r="L128" s="18">
        <v>7387.0764059763696</v>
      </c>
      <c r="N128" s="106" t="s">
        <v>72</v>
      </c>
      <c r="O128" s="107"/>
      <c r="P128" s="18">
        <v>5364.58316770895</v>
      </c>
      <c r="Q128" s="18">
        <v>0</v>
      </c>
      <c r="R128" s="18">
        <v>5364.58316770895</v>
      </c>
      <c r="T128" s="106" t="s">
        <v>72</v>
      </c>
      <c r="U128" s="107"/>
      <c r="V128" s="18">
        <v>5860.3049276514203</v>
      </c>
      <c r="W128" s="18">
        <v>0</v>
      </c>
      <c r="X128" s="18">
        <v>5860.3049276514203</v>
      </c>
      <c r="Z128" s="106" t="s">
        <v>72</v>
      </c>
      <c r="AA128" s="107"/>
      <c r="AB128" s="18">
        <v>5368.8765537855897</v>
      </c>
      <c r="AC128" s="18">
        <v>0</v>
      </c>
      <c r="AD128" s="18">
        <v>5368.8765537855897</v>
      </c>
      <c r="AF128" s="106" t="s">
        <v>72</v>
      </c>
      <c r="AG128" s="107"/>
      <c r="AH128" s="18">
        <v>5860.3049276514203</v>
      </c>
      <c r="AI128" s="18">
        <v>0</v>
      </c>
      <c r="AJ128" s="18">
        <v>5860.3049276514203</v>
      </c>
      <c r="AL128" s="106" t="s">
        <v>72</v>
      </c>
      <c r="AM128" s="107"/>
      <c r="AN128" s="18">
        <v>5860.3049276514203</v>
      </c>
      <c r="AO128" s="18">
        <v>0</v>
      </c>
      <c r="AP128" s="18">
        <v>5860.3049276514203</v>
      </c>
    </row>
    <row r="129" spans="1:42" x14ac:dyDescent="0.2">
      <c r="B129" s="103" t="s">
        <v>19</v>
      </c>
      <c r="C129" s="104"/>
      <c r="D129" s="18">
        <v>3429.1266839077498</v>
      </c>
      <c r="E129" s="18">
        <v>0</v>
      </c>
      <c r="F129" s="18">
        <v>3429.1266839077498</v>
      </c>
      <c r="H129" s="103" t="s">
        <v>19</v>
      </c>
      <c r="I129" s="104"/>
      <c r="J129" s="18">
        <v>3429.1266839077498</v>
      </c>
      <c r="K129" s="18">
        <v>0</v>
      </c>
      <c r="L129" s="18">
        <v>3429.1266839077498</v>
      </c>
      <c r="N129" s="103" t="s">
        <v>19</v>
      </c>
      <c r="O129" s="104"/>
      <c r="P129" s="18">
        <v>2453.8169037439002</v>
      </c>
      <c r="Q129" s="18">
        <v>0</v>
      </c>
      <c r="R129" s="18">
        <v>2453.8169037439002</v>
      </c>
      <c r="T129" s="103" t="s">
        <v>19</v>
      </c>
      <c r="U129" s="104"/>
      <c r="V129" s="18">
        <v>2092.8951952348598</v>
      </c>
      <c r="W129" s="18">
        <v>0</v>
      </c>
      <c r="X129" s="18">
        <v>2092.8951952348598</v>
      </c>
      <c r="Z129" s="103" t="s">
        <v>19</v>
      </c>
      <c r="AA129" s="104"/>
      <c r="AB129" s="18">
        <v>1888.9005419826401</v>
      </c>
      <c r="AC129" s="18">
        <v>0</v>
      </c>
      <c r="AD129" s="18">
        <v>1888.9005419826401</v>
      </c>
      <c r="AF129" s="103" t="s">
        <v>19</v>
      </c>
      <c r="AG129" s="104"/>
      <c r="AH129" s="18">
        <v>2092.8951952348598</v>
      </c>
      <c r="AI129" s="18">
        <v>0</v>
      </c>
      <c r="AJ129" s="18">
        <v>2092.8951952348598</v>
      </c>
      <c r="AL129" s="103" t="s">
        <v>19</v>
      </c>
      <c r="AM129" s="104"/>
      <c r="AN129" s="18">
        <v>2092.8951952348598</v>
      </c>
      <c r="AO129" s="18">
        <v>0</v>
      </c>
      <c r="AP129" s="18">
        <v>2092.8951952348598</v>
      </c>
    </row>
    <row r="130" spans="1:42" x14ac:dyDescent="0.2">
      <c r="B130" s="103" t="s">
        <v>20</v>
      </c>
      <c r="C130" s="104"/>
      <c r="D130" s="18">
        <v>2999.4895802268602</v>
      </c>
      <c r="E130" s="18">
        <v>0</v>
      </c>
      <c r="F130" s="18">
        <v>2999.4895802268602</v>
      </c>
      <c r="H130" s="103" t="s">
        <v>20</v>
      </c>
      <c r="I130" s="104"/>
      <c r="J130" s="18">
        <v>2999.4895802268602</v>
      </c>
      <c r="K130" s="18">
        <v>0</v>
      </c>
      <c r="L130" s="18">
        <v>2999.4895802268602</v>
      </c>
      <c r="N130" s="103" t="s">
        <v>20</v>
      </c>
      <c r="O130" s="104"/>
      <c r="P130" s="18">
        <v>2175.6330606043898</v>
      </c>
      <c r="Q130" s="18">
        <v>0</v>
      </c>
      <c r="R130" s="18">
        <v>2175.6330606043898</v>
      </c>
      <c r="T130" s="103" t="s">
        <v>20</v>
      </c>
      <c r="U130" s="104"/>
      <c r="V130" s="18">
        <v>2841.7610258836598</v>
      </c>
      <c r="W130" s="18">
        <v>0</v>
      </c>
      <c r="X130" s="18">
        <v>2841.7610258836598</v>
      </c>
      <c r="Z130" s="103" t="s">
        <v>20</v>
      </c>
      <c r="AA130" s="104"/>
      <c r="AB130" s="18">
        <v>2612.2489763291901</v>
      </c>
      <c r="AC130" s="18">
        <v>0</v>
      </c>
      <c r="AD130" s="18">
        <v>2612.2489763291901</v>
      </c>
      <c r="AF130" s="103" t="s">
        <v>20</v>
      </c>
      <c r="AG130" s="104"/>
      <c r="AH130" s="18">
        <v>2841.7610258836598</v>
      </c>
      <c r="AI130" s="18">
        <v>0</v>
      </c>
      <c r="AJ130" s="18">
        <v>2841.7610258836598</v>
      </c>
      <c r="AL130" s="103" t="s">
        <v>20</v>
      </c>
      <c r="AM130" s="104"/>
      <c r="AN130" s="18">
        <v>2841.7610258836598</v>
      </c>
      <c r="AO130" s="18">
        <v>0</v>
      </c>
      <c r="AP130" s="18">
        <v>2841.7610258836598</v>
      </c>
    </row>
    <row r="131" spans="1:42" x14ac:dyDescent="0.2">
      <c r="B131" s="103" t="s">
        <v>21</v>
      </c>
      <c r="C131" s="104"/>
      <c r="D131" s="18">
        <v>958.46014184175999</v>
      </c>
      <c r="E131" s="18">
        <v>0</v>
      </c>
      <c r="F131" s="18">
        <v>958.46014184175999</v>
      </c>
      <c r="H131" s="103" t="s">
        <v>21</v>
      </c>
      <c r="I131" s="104"/>
      <c r="J131" s="18">
        <v>958.46014184175999</v>
      </c>
      <c r="K131" s="18">
        <v>0</v>
      </c>
      <c r="L131" s="18">
        <v>958.46014184175999</v>
      </c>
      <c r="N131" s="103" t="s">
        <v>21</v>
      </c>
      <c r="O131" s="104"/>
      <c r="P131" s="18">
        <v>735.13320336066499</v>
      </c>
      <c r="Q131" s="18">
        <v>0</v>
      </c>
      <c r="R131" s="18">
        <v>735.13320336066499</v>
      </c>
      <c r="T131" s="103" t="s">
        <v>21</v>
      </c>
      <c r="U131" s="104"/>
      <c r="V131" s="18">
        <v>925.64870653290097</v>
      </c>
      <c r="W131" s="18">
        <v>0</v>
      </c>
      <c r="X131" s="18">
        <v>925.64870653290097</v>
      </c>
      <c r="Z131" s="103" t="s">
        <v>21</v>
      </c>
      <c r="AA131" s="104"/>
      <c r="AB131" s="18">
        <v>867.72703547375704</v>
      </c>
      <c r="AC131" s="18">
        <v>0</v>
      </c>
      <c r="AD131" s="18">
        <v>867.72703547375704</v>
      </c>
      <c r="AF131" s="103" t="s">
        <v>21</v>
      </c>
      <c r="AG131" s="104"/>
      <c r="AH131" s="18">
        <v>925.64870653290097</v>
      </c>
      <c r="AI131" s="18">
        <v>0</v>
      </c>
      <c r="AJ131" s="18">
        <v>925.64870653290097</v>
      </c>
      <c r="AL131" s="103" t="s">
        <v>21</v>
      </c>
      <c r="AM131" s="104"/>
      <c r="AN131" s="18">
        <v>925.64870653290097</v>
      </c>
      <c r="AO131" s="18">
        <v>0</v>
      </c>
      <c r="AP131" s="18">
        <v>925.64870653290097</v>
      </c>
    </row>
    <row r="132" spans="1:42" x14ac:dyDescent="0.2">
      <c r="B132" s="103" t="s">
        <v>22</v>
      </c>
      <c r="C132" s="104"/>
      <c r="D132" s="18">
        <v>0</v>
      </c>
      <c r="E132" s="18">
        <v>0</v>
      </c>
      <c r="F132" s="18">
        <v>0</v>
      </c>
      <c r="H132" s="103" t="s">
        <v>22</v>
      </c>
      <c r="I132" s="104"/>
      <c r="J132" s="18">
        <v>0</v>
      </c>
      <c r="K132" s="18">
        <v>0</v>
      </c>
      <c r="L132" s="18">
        <v>0</v>
      </c>
      <c r="N132" s="103" t="s">
        <v>22</v>
      </c>
      <c r="O132" s="104"/>
      <c r="P132" s="18">
        <v>0</v>
      </c>
      <c r="Q132" s="18">
        <v>0</v>
      </c>
      <c r="R132" s="18">
        <v>0</v>
      </c>
      <c r="T132" s="103" t="s">
        <v>22</v>
      </c>
      <c r="U132" s="104"/>
      <c r="V132" s="18">
        <v>0</v>
      </c>
      <c r="W132" s="18">
        <v>0</v>
      </c>
      <c r="X132" s="18">
        <v>0</v>
      </c>
      <c r="Z132" s="103" t="s">
        <v>22</v>
      </c>
      <c r="AA132" s="104"/>
      <c r="AB132" s="18">
        <v>0</v>
      </c>
      <c r="AC132" s="18">
        <v>0</v>
      </c>
      <c r="AD132" s="18">
        <v>0</v>
      </c>
      <c r="AF132" s="103" t="s">
        <v>22</v>
      </c>
      <c r="AG132" s="104"/>
      <c r="AH132" s="18">
        <v>0</v>
      </c>
      <c r="AI132" s="18">
        <v>0</v>
      </c>
      <c r="AJ132" s="18">
        <v>0</v>
      </c>
      <c r="AL132" s="103" t="s">
        <v>22</v>
      </c>
      <c r="AM132" s="104"/>
      <c r="AN132" s="18">
        <v>0</v>
      </c>
      <c r="AO132" s="18">
        <v>0</v>
      </c>
      <c r="AP132" s="18">
        <v>0</v>
      </c>
    </row>
    <row r="133" spans="1:42" x14ac:dyDescent="0.2">
      <c r="C133" s="34"/>
      <c r="D133" s="34"/>
      <c r="E133" s="34"/>
      <c r="F133" s="34"/>
      <c r="I133" s="34"/>
      <c r="J133" s="34"/>
      <c r="K133" s="34"/>
      <c r="L133" s="34"/>
      <c r="O133" s="34"/>
      <c r="P133" s="34"/>
      <c r="Q133" s="34"/>
      <c r="R133" s="34"/>
      <c r="U133" s="34"/>
      <c r="V133" s="34"/>
      <c r="W133" s="34"/>
      <c r="X133" s="34"/>
      <c r="AA133" s="34"/>
      <c r="AB133" s="34"/>
      <c r="AC133" s="34"/>
      <c r="AD133" s="34"/>
      <c r="AG133" s="34"/>
      <c r="AH133" s="34"/>
      <c r="AI133" s="34"/>
      <c r="AJ133" s="34"/>
      <c r="AM133" s="34"/>
      <c r="AN133" s="34"/>
      <c r="AO133" s="34"/>
      <c r="AP133" s="34"/>
    </row>
    <row r="134" spans="1:42" x14ac:dyDescent="0.2">
      <c r="B134" s="106" t="s">
        <v>67</v>
      </c>
      <c r="C134" s="107" t="s">
        <v>12</v>
      </c>
      <c r="D134" s="9">
        <v>6.7930550840792598</v>
      </c>
      <c r="E134" s="9">
        <v>0</v>
      </c>
      <c r="F134" s="9">
        <v>6.7930550840792598</v>
      </c>
      <c r="H134" s="106" t="s">
        <v>67</v>
      </c>
      <c r="I134" s="107" t="s">
        <v>12</v>
      </c>
      <c r="J134" s="9">
        <v>6.7930550840792598</v>
      </c>
      <c r="K134" s="9">
        <v>0</v>
      </c>
      <c r="L134" s="9">
        <v>6.7930550840792598</v>
      </c>
      <c r="N134" s="106" t="s">
        <v>67</v>
      </c>
      <c r="O134" s="107" t="s">
        <v>12</v>
      </c>
      <c r="P134" s="9">
        <v>6.2094062267261201</v>
      </c>
      <c r="Q134" s="9">
        <v>0</v>
      </c>
      <c r="R134" s="9">
        <v>6.2094062267261201</v>
      </c>
      <c r="T134" s="106" t="s">
        <v>67</v>
      </c>
      <c r="U134" s="107" t="s">
        <v>12</v>
      </c>
      <c r="V134" s="9">
        <v>5.9214899061608497</v>
      </c>
      <c r="W134" s="9">
        <v>0</v>
      </c>
      <c r="X134" s="9">
        <v>5.9214899061608497</v>
      </c>
      <c r="Z134" s="106" t="s">
        <v>67</v>
      </c>
      <c r="AA134" s="107" t="s">
        <v>12</v>
      </c>
      <c r="AB134" s="9">
        <v>5.9154815540162504</v>
      </c>
      <c r="AC134" s="9">
        <v>0</v>
      </c>
      <c r="AD134" s="9">
        <v>5.9154815540162504</v>
      </c>
      <c r="AF134" s="106" t="s">
        <v>67</v>
      </c>
      <c r="AG134" s="107" t="s">
        <v>12</v>
      </c>
      <c r="AH134" s="9">
        <v>5.9214899061608497</v>
      </c>
      <c r="AI134" s="9">
        <v>0</v>
      </c>
      <c r="AJ134" s="9">
        <v>5.9214899061608497</v>
      </c>
      <c r="AL134" s="106" t="s">
        <v>67</v>
      </c>
      <c r="AM134" s="107" t="s">
        <v>12</v>
      </c>
      <c r="AN134" s="9">
        <v>5.9214899061608497</v>
      </c>
      <c r="AO134" s="9">
        <v>0</v>
      </c>
      <c r="AP134" s="9">
        <v>5.9214899061608497</v>
      </c>
    </row>
    <row r="135" spans="1:42" x14ac:dyDescent="0.2">
      <c r="B135" s="106" t="s">
        <v>68</v>
      </c>
      <c r="C135" s="107"/>
      <c r="D135" s="9">
        <v>4.8484730729374403</v>
      </c>
      <c r="E135" s="9">
        <v>0</v>
      </c>
      <c r="F135" s="9">
        <v>4.8484730729374403</v>
      </c>
      <c r="H135" s="106" t="s">
        <v>68</v>
      </c>
      <c r="I135" s="107"/>
      <c r="J135" s="9">
        <v>4.8484730729374403</v>
      </c>
      <c r="K135" s="9">
        <v>0</v>
      </c>
      <c r="L135" s="9">
        <v>4.8484730729374403</v>
      </c>
      <c r="N135" s="106" t="s">
        <v>68</v>
      </c>
      <c r="O135" s="107"/>
      <c r="P135" s="9">
        <v>4.4063297552101499</v>
      </c>
      <c r="Q135" s="9">
        <v>0</v>
      </c>
      <c r="R135" s="9">
        <v>4.4063297552101499</v>
      </c>
      <c r="T135" s="106" t="s">
        <v>68</v>
      </c>
      <c r="U135" s="107"/>
      <c r="V135" s="9">
        <v>4.1681762973829697</v>
      </c>
      <c r="W135" s="9">
        <v>0</v>
      </c>
      <c r="X135" s="9">
        <v>4.1681762973829697</v>
      </c>
      <c r="Z135" s="106" t="s">
        <v>68</v>
      </c>
      <c r="AA135" s="107"/>
      <c r="AB135" s="9">
        <v>4.1623160392461296</v>
      </c>
      <c r="AC135" s="9">
        <v>0</v>
      </c>
      <c r="AD135" s="9">
        <v>4.1623160392461296</v>
      </c>
      <c r="AF135" s="106" t="s">
        <v>68</v>
      </c>
      <c r="AG135" s="107"/>
      <c r="AH135" s="9">
        <v>4.1681762973829697</v>
      </c>
      <c r="AI135" s="9">
        <v>0</v>
      </c>
      <c r="AJ135" s="9">
        <v>4.1681762973829697</v>
      </c>
      <c r="AL135" s="106" t="s">
        <v>68</v>
      </c>
      <c r="AM135" s="107"/>
      <c r="AN135" s="9">
        <v>4.1681762973829697</v>
      </c>
      <c r="AO135" s="9">
        <v>0</v>
      </c>
      <c r="AP135" s="9">
        <v>4.1681762973829697</v>
      </c>
    </row>
    <row r="136" spans="1:42" x14ac:dyDescent="0.2">
      <c r="C136" s="34"/>
      <c r="D136" s="34"/>
      <c r="E136" s="34"/>
      <c r="F136" s="34"/>
      <c r="I136" s="34"/>
      <c r="J136" s="34"/>
      <c r="K136" s="34"/>
      <c r="L136" s="34"/>
      <c r="O136" s="34"/>
      <c r="P136" s="34"/>
      <c r="Q136" s="34"/>
      <c r="R136" s="34"/>
      <c r="U136" s="34"/>
      <c r="V136" s="34"/>
      <c r="W136" s="34"/>
      <c r="X136" s="34"/>
      <c r="AA136" s="34"/>
      <c r="AB136" s="34"/>
      <c r="AC136" s="34"/>
      <c r="AD136" s="34"/>
      <c r="AG136" s="34"/>
      <c r="AH136" s="34"/>
      <c r="AI136" s="34"/>
      <c r="AJ136" s="34"/>
      <c r="AM136" s="34"/>
      <c r="AN136" s="34"/>
      <c r="AO136" s="34"/>
      <c r="AP136" s="34"/>
    </row>
    <row r="137" spans="1:42" x14ac:dyDescent="0.2">
      <c r="A137" s="20"/>
      <c r="B137" s="106" t="s">
        <v>73</v>
      </c>
      <c r="C137" s="107"/>
      <c r="D137" s="39">
        <v>0</v>
      </c>
      <c r="E137" s="39">
        <v>0</v>
      </c>
      <c r="F137" s="39">
        <v>0</v>
      </c>
      <c r="G137" s="20"/>
      <c r="H137" s="106" t="s">
        <v>73</v>
      </c>
      <c r="I137" s="107"/>
      <c r="J137" s="39">
        <v>0</v>
      </c>
      <c r="K137" s="39">
        <v>0</v>
      </c>
      <c r="L137" s="39">
        <v>0</v>
      </c>
      <c r="M137" s="20"/>
      <c r="N137" s="106" t="s">
        <v>73</v>
      </c>
      <c r="O137" s="107"/>
      <c r="P137" s="39">
        <v>0</v>
      </c>
      <c r="Q137" s="39">
        <v>0</v>
      </c>
      <c r="R137" s="39">
        <v>0</v>
      </c>
      <c r="S137" s="20"/>
      <c r="T137" s="106" t="s">
        <v>73</v>
      </c>
      <c r="U137" s="107"/>
      <c r="V137" s="39">
        <v>0</v>
      </c>
      <c r="W137" s="39">
        <v>0</v>
      </c>
      <c r="X137" s="39">
        <v>0</v>
      </c>
      <c r="Y137" s="20"/>
      <c r="Z137" s="106" t="s">
        <v>73</v>
      </c>
      <c r="AA137" s="107"/>
      <c r="AB137" s="39">
        <v>0</v>
      </c>
      <c r="AC137" s="39">
        <v>0</v>
      </c>
      <c r="AD137" s="39">
        <v>0</v>
      </c>
      <c r="AE137" s="20"/>
      <c r="AF137" s="106" t="s">
        <v>73</v>
      </c>
      <c r="AG137" s="107"/>
      <c r="AH137" s="39">
        <v>104711261.514907</v>
      </c>
      <c r="AI137" s="39">
        <v>0</v>
      </c>
      <c r="AJ137" s="39">
        <v>104711261.514907</v>
      </c>
      <c r="AK137" s="20"/>
      <c r="AL137" s="106" t="s">
        <v>73</v>
      </c>
      <c r="AM137" s="107"/>
      <c r="AN137" s="39">
        <v>107048976.84988484</v>
      </c>
      <c r="AO137" s="39">
        <v>0</v>
      </c>
      <c r="AP137" s="39">
        <v>107048976.84988484</v>
      </c>
    </row>
    <row r="138" spans="1:42" x14ac:dyDescent="0.2">
      <c r="A138" s="20"/>
      <c r="B138" s="103" t="s">
        <v>41</v>
      </c>
      <c r="C138" s="104"/>
      <c r="D138" s="39">
        <v>0</v>
      </c>
      <c r="E138" s="39">
        <v>0</v>
      </c>
      <c r="F138" s="39">
        <v>0</v>
      </c>
      <c r="G138" s="20"/>
      <c r="H138" s="103" t="s">
        <v>41</v>
      </c>
      <c r="I138" s="104"/>
      <c r="J138" s="39">
        <v>0</v>
      </c>
      <c r="K138" s="39">
        <v>0</v>
      </c>
      <c r="L138" s="39">
        <v>0</v>
      </c>
      <c r="M138" s="20"/>
      <c r="N138" s="103" t="s">
        <v>41</v>
      </c>
      <c r="O138" s="104"/>
      <c r="P138" s="39">
        <v>0</v>
      </c>
      <c r="Q138" s="39">
        <v>0</v>
      </c>
      <c r="R138" s="39">
        <v>0</v>
      </c>
      <c r="S138" s="20"/>
      <c r="T138" s="103" t="s">
        <v>41</v>
      </c>
      <c r="U138" s="104"/>
      <c r="V138" s="39">
        <v>0</v>
      </c>
      <c r="W138" s="39">
        <v>0</v>
      </c>
      <c r="X138" s="39">
        <v>0</v>
      </c>
      <c r="Y138" s="20"/>
      <c r="Z138" s="103" t="s">
        <v>41</v>
      </c>
      <c r="AA138" s="104"/>
      <c r="AB138" s="39">
        <v>0</v>
      </c>
      <c r="AC138" s="39">
        <v>0</v>
      </c>
      <c r="AD138" s="39">
        <v>0</v>
      </c>
      <c r="AE138" s="20"/>
      <c r="AF138" s="103" t="s">
        <v>41</v>
      </c>
      <c r="AG138" s="104"/>
      <c r="AH138" s="39">
        <v>10507093.614627488</v>
      </c>
      <c r="AI138" s="39">
        <v>0</v>
      </c>
      <c r="AJ138" s="39">
        <v>10507093.614627488</v>
      </c>
      <c r="AK138" s="20"/>
      <c r="AL138" s="103" t="s">
        <v>41</v>
      </c>
      <c r="AM138" s="104"/>
      <c r="AN138" s="39">
        <v>10507093.614627488</v>
      </c>
      <c r="AO138" s="39">
        <v>0</v>
      </c>
      <c r="AP138" s="39">
        <v>10507093.614627488</v>
      </c>
    </row>
    <row r="139" spans="1:42" x14ac:dyDescent="0.2">
      <c r="B139" s="103" t="s">
        <v>42</v>
      </c>
      <c r="C139" s="104"/>
      <c r="D139" s="39">
        <v>0</v>
      </c>
      <c r="E139" s="39">
        <v>0</v>
      </c>
      <c r="F139" s="39">
        <v>0</v>
      </c>
      <c r="H139" s="103" t="s">
        <v>42</v>
      </c>
      <c r="I139" s="104"/>
      <c r="J139" s="39">
        <v>0</v>
      </c>
      <c r="K139" s="39">
        <v>0</v>
      </c>
      <c r="L139" s="39">
        <v>0</v>
      </c>
      <c r="N139" s="103" t="s">
        <v>42</v>
      </c>
      <c r="O139" s="104"/>
      <c r="P139" s="39">
        <v>0</v>
      </c>
      <c r="Q139" s="39">
        <v>0</v>
      </c>
      <c r="R139" s="39">
        <v>0</v>
      </c>
      <c r="T139" s="103" t="s">
        <v>42</v>
      </c>
      <c r="U139" s="104"/>
      <c r="V139" s="39">
        <v>0</v>
      </c>
      <c r="W139" s="39">
        <v>0</v>
      </c>
      <c r="X139" s="39">
        <v>0</v>
      </c>
      <c r="Z139" s="103" t="s">
        <v>42</v>
      </c>
      <c r="AA139" s="104"/>
      <c r="AB139" s="39">
        <v>0</v>
      </c>
      <c r="AC139" s="39">
        <v>0</v>
      </c>
      <c r="AD139" s="39">
        <v>0</v>
      </c>
      <c r="AF139" s="103" t="s">
        <v>42</v>
      </c>
      <c r="AG139" s="104"/>
      <c r="AH139" s="39">
        <v>26348688.978743039</v>
      </c>
      <c r="AI139" s="39">
        <v>0</v>
      </c>
      <c r="AJ139" s="39">
        <v>26348688.978743039</v>
      </c>
      <c r="AL139" s="103" t="s">
        <v>42</v>
      </c>
      <c r="AM139" s="104"/>
      <c r="AN139" s="39">
        <v>26348688.978743039</v>
      </c>
      <c r="AO139" s="39">
        <v>0</v>
      </c>
      <c r="AP139" s="39">
        <v>26348688.978743039</v>
      </c>
    </row>
    <row r="140" spans="1:42" x14ac:dyDescent="0.2">
      <c r="B140" s="103" t="s">
        <v>43</v>
      </c>
      <c r="C140" s="104"/>
      <c r="D140" s="39">
        <v>0</v>
      </c>
      <c r="E140" s="39">
        <v>0</v>
      </c>
      <c r="F140" s="39">
        <v>0</v>
      </c>
      <c r="H140" s="103" t="s">
        <v>43</v>
      </c>
      <c r="I140" s="104"/>
      <c r="J140" s="39">
        <v>0</v>
      </c>
      <c r="K140" s="39">
        <v>0</v>
      </c>
      <c r="L140" s="39">
        <v>0</v>
      </c>
      <c r="N140" s="103" t="s">
        <v>43</v>
      </c>
      <c r="O140" s="104"/>
      <c r="P140" s="39">
        <v>0</v>
      </c>
      <c r="Q140" s="39">
        <v>0</v>
      </c>
      <c r="R140" s="39">
        <v>0</v>
      </c>
      <c r="T140" s="103" t="s">
        <v>43</v>
      </c>
      <c r="U140" s="104"/>
      <c r="V140" s="39">
        <v>0</v>
      </c>
      <c r="W140" s="39">
        <v>0</v>
      </c>
      <c r="X140" s="39">
        <v>0</v>
      </c>
      <c r="Z140" s="103" t="s">
        <v>43</v>
      </c>
      <c r="AA140" s="104"/>
      <c r="AB140" s="39">
        <v>0</v>
      </c>
      <c r="AC140" s="39">
        <v>0</v>
      </c>
      <c r="AD140" s="39">
        <v>0</v>
      </c>
      <c r="AF140" s="103" t="s">
        <v>43</v>
      </c>
      <c r="AG140" s="104"/>
      <c r="AH140" s="39">
        <v>3309717.259000943</v>
      </c>
      <c r="AI140" s="39">
        <v>0</v>
      </c>
      <c r="AJ140" s="39">
        <v>3309717.259000943</v>
      </c>
      <c r="AL140" s="103" t="s">
        <v>43</v>
      </c>
      <c r="AM140" s="104"/>
      <c r="AN140" s="39">
        <v>3678964.798639039</v>
      </c>
      <c r="AO140" s="39">
        <v>0</v>
      </c>
      <c r="AP140" s="39">
        <v>3678964.798639039</v>
      </c>
    </row>
    <row r="141" spans="1:42" x14ac:dyDescent="0.2">
      <c r="B141" s="103" t="s">
        <v>44</v>
      </c>
      <c r="C141" s="104"/>
      <c r="D141" s="39">
        <v>0</v>
      </c>
      <c r="E141" s="39">
        <v>0</v>
      </c>
      <c r="F141" s="39">
        <v>0</v>
      </c>
      <c r="H141" s="103" t="s">
        <v>44</v>
      </c>
      <c r="I141" s="104"/>
      <c r="J141" s="39">
        <v>0</v>
      </c>
      <c r="K141" s="39">
        <v>0</v>
      </c>
      <c r="L141" s="39">
        <v>0</v>
      </c>
      <c r="N141" s="103" t="s">
        <v>44</v>
      </c>
      <c r="O141" s="104"/>
      <c r="P141" s="39">
        <v>0</v>
      </c>
      <c r="Q141" s="39">
        <v>0</v>
      </c>
      <c r="R141" s="39">
        <v>0</v>
      </c>
      <c r="T141" s="103" t="s">
        <v>44</v>
      </c>
      <c r="U141" s="104"/>
      <c r="V141" s="39">
        <v>0</v>
      </c>
      <c r="W141" s="39">
        <v>0</v>
      </c>
      <c r="X141" s="39">
        <v>0</v>
      </c>
      <c r="Z141" s="103" t="s">
        <v>44</v>
      </c>
      <c r="AA141" s="104"/>
      <c r="AB141" s="39">
        <v>0</v>
      </c>
      <c r="AC141" s="39">
        <v>0</v>
      </c>
      <c r="AD141" s="39">
        <v>0</v>
      </c>
      <c r="AF141" s="103" t="s">
        <v>44</v>
      </c>
      <c r="AG141" s="104"/>
      <c r="AH141" s="39">
        <v>0</v>
      </c>
      <c r="AI141" s="39">
        <v>0</v>
      </c>
      <c r="AJ141" s="39">
        <v>0</v>
      </c>
      <c r="AL141" s="103" t="s">
        <v>44</v>
      </c>
      <c r="AM141" s="104"/>
      <c r="AN141" s="39">
        <v>0</v>
      </c>
      <c r="AO141" s="39">
        <v>0</v>
      </c>
      <c r="AP141" s="39">
        <v>0</v>
      </c>
    </row>
    <row r="142" spans="1:42" x14ac:dyDescent="0.2">
      <c r="A142" s="6"/>
      <c r="B142" s="6"/>
      <c r="C142" s="6"/>
      <c r="D142" s="130"/>
      <c r="E142" s="130"/>
      <c r="F142" s="130"/>
      <c r="G142" s="6"/>
      <c r="H142" s="6"/>
      <c r="I142" s="6"/>
      <c r="J142" s="130"/>
      <c r="K142" s="130"/>
      <c r="L142" s="130"/>
      <c r="M142" s="6"/>
      <c r="N142" s="6"/>
      <c r="O142" s="6"/>
      <c r="P142" s="130"/>
      <c r="Q142" s="130"/>
      <c r="R142" s="130"/>
      <c r="S142" s="6"/>
      <c r="T142" s="6"/>
      <c r="U142" s="6"/>
      <c r="V142" s="130"/>
      <c r="W142" s="130"/>
      <c r="X142" s="130"/>
      <c r="Y142" s="6"/>
      <c r="Z142" s="6"/>
      <c r="AA142" s="6"/>
      <c r="AB142" s="130"/>
      <c r="AC142" s="130"/>
      <c r="AD142" s="130"/>
      <c r="AE142" s="6"/>
      <c r="AF142" s="6"/>
      <c r="AG142" s="6"/>
      <c r="AH142" s="130"/>
      <c r="AI142" s="130"/>
      <c r="AJ142" s="130"/>
      <c r="AK142" s="6"/>
      <c r="AL142" s="6"/>
      <c r="AM142" s="6"/>
      <c r="AN142" s="130"/>
      <c r="AO142" s="130"/>
      <c r="AP142" s="130"/>
    </row>
    <row r="143" spans="1:42" x14ac:dyDescent="0.2">
      <c r="B143" s="106" t="s">
        <v>74</v>
      </c>
      <c r="C143" s="107"/>
      <c r="D143" s="39">
        <v>0</v>
      </c>
      <c r="E143" s="39">
        <v>0</v>
      </c>
      <c r="F143" s="39">
        <v>0</v>
      </c>
      <c r="H143" s="106" t="s">
        <v>74</v>
      </c>
      <c r="I143" s="107"/>
      <c r="J143" s="39">
        <v>0</v>
      </c>
      <c r="K143" s="39">
        <v>0</v>
      </c>
      <c r="L143" s="39">
        <v>0</v>
      </c>
      <c r="N143" s="106" t="s">
        <v>74</v>
      </c>
      <c r="O143" s="107"/>
      <c r="P143" s="39">
        <v>0</v>
      </c>
      <c r="Q143" s="39">
        <v>0</v>
      </c>
      <c r="R143" s="39">
        <v>0</v>
      </c>
      <c r="T143" s="106" t="s">
        <v>74</v>
      </c>
      <c r="U143" s="107"/>
      <c r="V143" s="39">
        <v>0</v>
      </c>
      <c r="W143" s="39">
        <v>0</v>
      </c>
      <c r="X143" s="39">
        <v>0</v>
      </c>
      <c r="Z143" s="106" t="s">
        <v>74</v>
      </c>
      <c r="AA143" s="107"/>
      <c r="AB143" s="39">
        <v>0</v>
      </c>
      <c r="AC143" s="39">
        <v>0</v>
      </c>
      <c r="AD143" s="39">
        <v>0</v>
      </c>
      <c r="AF143" s="106" t="s">
        <v>74</v>
      </c>
      <c r="AG143" s="107"/>
      <c r="AH143" s="39">
        <v>17867.886194937499</v>
      </c>
      <c r="AI143" s="39">
        <v>0</v>
      </c>
      <c r="AJ143" s="39">
        <v>17867.886194937499</v>
      </c>
      <c r="AL143" s="106" t="s">
        <v>74</v>
      </c>
      <c r="AM143" s="107"/>
      <c r="AN143" s="39">
        <v>18266.792969216</v>
      </c>
      <c r="AO143" s="39">
        <v>0</v>
      </c>
      <c r="AP143" s="39">
        <v>18266.792969216</v>
      </c>
    </row>
    <row r="144" spans="1:42" x14ac:dyDescent="0.2">
      <c r="B144" s="103" t="s">
        <v>41</v>
      </c>
      <c r="C144" s="104"/>
      <c r="D144" s="39">
        <v>0</v>
      </c>
      <c r="E144" s="39">
        <v>0</v>
      </c>
      <c r="F144" s="39">
        <v>0</v>
      </c>
      <c r="H144" s="103" t="s">
        <v>41</v>
      </c>
      <c r="I144" s="104"/>
      <c r="J144" s="39">
        <v>0</v>
      </c>
      <c r="K144" s="39">
        <v>0</v>
      </c>
      <c r="L144" s="39">
        <v>0</v>
      </c>
      <c r="N144" s="103" t="s">
        <v>41</v>
      </c>
      <c r="O144" s="104"/>
      <c r="P144" s="39">
        <v>0</v>
      </c>
      <c r="Q144" s="39">
        <v>0</v>
      </c>
      <c r="R144" s="39">
        <v>0</v>
      </c>
      <c r="T144" s="103" t="s">
        <v>41</v>
      </c>
      <c r="U144" s="104"/>
      <c r="V144" s="39">
        <v>0</v>
      </c>
      <c r="W144" s="39">
        <v>0</v>
      </c>
      <c r="X144" s="39">
        <v>0</v>
      </c>
      <c r="Z144" s="103" t="s">
        <v>41</v>
      </c>
      <c r="AA144" s="104"/>
      <c r="AB144" s="39">
        <v>0</v>
      </c>
      <c r="AC144" s="39">
        <v>0</v>
      </c>
      <c r="AD144" s="39">
        <v>0</v>
      </c>
      <c r="AF144" s="103" t="s">
        <v>41</v>
      </c>
      <c r="AG144" s="104"/>
      <c r="AH144" s="39">
        <v>5020.3630064946501</v>
      </c>
      <c r="AI144" s="39">
        <v>0</v>
      </c>
      <c r="AJ144" s="39">
        <v>5020.3630064946501</v>
      </c>
      <c r="AL144" s="103" t="s">
        <v>41</v>
      </c>
      <c r="AM144" s="104"/>
      <c r="AN144" s="39">
        <v>5020.3630064946501</v>
      </c>
      <c r="AO144" s="39">
        <v>0</v>
      </c>
      <c r="AP144" s="39">
        <v>5020.3630064946501</v>
      </c>
    </row>
    <row r="145" spans="1:42" x14ac:dyDescent="0.2">
      <c r="B145" s="103" t="s">
        <v>42</v>
      </c>
      <c r="C145" s="104"/>
      <c r="D145" s="39">
        <v>0</v>
      </c>
      <c r="E145" s="39">
        <v>0</v>
      </c>
      <c r="F145" s="39">
        <v>0</v>
      </c>
      <c r="H145" s="103" t="s">
        <v>42</v>
      </c>
      <c r="I145" s="104"/>
      <c r="J145" s="39">
        <v>0</v>
      </c>
      <c r="K145" s="39">
        <v>0</v>
      </c>
      <c r="L145" s="39">
        <v>0</v>
      </c>
      <c r="N145" s="103" t="s">
        <v>42</v>
      </c>
      <c r="O145" s="104"/>
      <c r="P145" s="39">
        <v>0</v>
      </c>
      <c r="Q145" s="39">
        <v>0</v>
      </c>
      <c r="R145" s="39">
        <v>0</v>
      </c>
      <c r="T145" s="103" t="s">
        <v>42</v>
      </c>
      <c r="U145" s="104"/>
      <c r="V145" s="39">
        <v>0</v>
      </c>
      <c r="W145" s="39">
        <v>0</v>
      </c>
      <c r="X145" s="39">
        <v>0</v>
      </c>
      <c r="Z145" s="103" t="s">
        <v>42</v>
      </c>
      <c r="AA145" s="104"/>
      <c r="AB145" s="39">
        <v>0</v>
      </c>
      <c r="AC145" s="39">
        <v>0</v>
      </c>
      <c r="AD145" s="39">
        <v>0</v>
      </c>
      <c r="AF145" s="103" t="s">
        <v>42</v>
      </c>
      <c r="AG145" s="104"/>
      <c r="AH145" s="39">
        <v>9271.9580354402897</v>
      </c>
      <c r="AI145" s="39">
        <v>0</v>
      </c>
      <c r="AJ145" s="39">
        <v>9271.9580354402897</v>
      </c>
      <c r="AL145" s="103" t="s">
        <v>42</v>
      </c>
      <c r="AM145" s="104"/>
      <c r="AN145" s="39">
        <v>9271.9580354402897</v>
      </c>
      <c r="AO145" s="39">
        <v>0</v>
      </c>
      <c r="AP145" s="39">
        <v>9271.9580354402897</v>
      </c>
    </row>
    <row r="146" spans="1:42" x14ac:dyDescent="0.2">
      <c r="B146" s="103" t="s">
        <v>43</v>
      </c>
      <c r="C146" s="104"/>
      <c r="D146" s="39">
        <v>0</v>
      </c>
      <c r="E146" s="39">
        <v>0</v>
      </c>
      <c r="F146" s="39">
        <v>0</v>
      </c>
      <c r="H146" s="103" t="s">
        <v>43</v>
      </c>
      <c r="I146" s="104"/>
      <c r="J146" s="39">
        <v>0</v>
      </c>
      <c r="K146" s="39">
        <v>0</v>
      </c>
      <c r="L146" s="39">
        <v>0</v>
      </c>
      <c r="N146" s="103" t="s">
        <v>43</v>
      </c>
      <c r="O146" s="104"/>
      <c r="P146" s="39">
        <v>0</v>
      </c>
      <c r="Q146" s="39">
        <v>0</v>
      </c>
      <c r="R146" s="39">
        <v>0</v>
      </c>
      <c r="T146" s="103" t="s">
        <v>43</v>
      </c>
      <c r="U146" s="104"/>
      <c r="V146" s="39">
        <v>0</v>
      </c>
      <c r="W146" s="39">
        <v>0</v>
      </c>
      <c r="X146" s="39">
        <v>0</v>
      </c>
      <c r="Z146" s="103" t="s">
        <v>43</v>
      </c>
      <c r="AA146" s="104"/>
      <c r="AB146" s="39">
        <v>0</v>
      </c>
      <c r="AC146" s="39">
        <v>0</v>
      </c>
      <c r="AD146" s="39">
        <v>0</v>
      </c>
      <c r="AF146" s="103" t="s">
        <v>43</v>
      </c>
      <c r="AG146" s="104"/>
      <c r="AH146" s="39">
        <v>3575.5651530025698</v>
      </c>
      <c r="AI146" s="39">
        <v>0</v>
      </c>
      <c r="AJ146" s="39">
        <v>3575.5651530025698</v>
      </c>
      <c r="AL146" s="103" t="s">
        <v>43</v>
      </c>
      <c r="AM146" s="104"/>
      <c r="AN146" s="39">
        <v>3974.4719272810598</v>
      </c>
      <c r="AO146" s="39">
        <v>0</v>
      </c>
      <c r="AP146" s="39">
        <v>3974.4719272810598</v>
      </c>
    </row>
    <row r="147" spans="1:42" x14ac:dyDescent="0.2">
      <c r="B147" s="103" t="s">
        <v>44</v>
      </c>
      <c r="C147" s="104"/>
      <c r="D147" s="39">
        <v>0</v>
      </c>
      <c r="E147" s="39">
        <v>0</v>
      </c>
      <c r="F147" s="39">
        <v>0</v>
      </c>
      <c r="H147" s="103" t="s">
        <v>44</v>
      </c>
      <c r="I147" s="104"/>
      <c r="J147" s="39">
        <v>0</v>
      </c>
      <c r="K147" s="39">
        <v>0</v>
      </c>
      <c r="L147" s="39">
        <v>0</v>
      </c>
      <c r="N147" s="103" t="s">
        <v>44</v>
      </c>
      <c r="O147" s="104"/>
      <c r="P147" s="39">
        <v>0</v>
      </c>
      <c r="Q147" s="39">
        <v>0</v>
      </c>
      <c r="R147" s="39">
        <v>0</v>
      </c>
      <c r="T147" s="103" t="s">
        <v>44</v>
      </c>
      <c r="U147" s="104"/>
      <c r="V147" s="39">
        <v>0</v>
      </c>
      <c r="W147" s="39">
        <v>0</v>
      </c>
      <c r="X147" s="39">
        <v>0</v>
      </c>
      <c r="Z147" s="103" t="s">
        <v>44</v>
      </c>
      <c r="AA147" s="104"/>
      <c r="AB147" s="39">
        <v>0</v>
      </c>
      <c r="AC147" s="39">
        <v>0</v>
      </c>
      <c r="AD147" s="39">
        <v>0</v>
      </c>
      <c r="AF147" s="103" t="s">
        <v>44</v>
      </c>
      <c r="AG147" s="104"/>
      <c r="AH147" s="39">
        <v>0</v>
      </c>
      <c r="AI147" s="39">
        <v>0</v>
      </c>
      <c r="AJ147" s="39">
        <v>0</v>
      </c>
      <c r="AL147" s="103" t="s">
        <v>44</v>
      </c>
      <c r="AM147" s="104"/>
      <c r="AN147" s="39">
        <v>0</v>
      </c>
      <c r="AO147" s="39">
        <v>0</v>
      </c>
      <c r="AP147" s="39">
        <v>0</v>
      </c>
    </row>
    <row r="148" spans="1:42" x14ac:dyDescent="0.2">
      <c r="D148" s="6"/>
      <c r="E148" s="6"/>
      <c r="F148" s="6"/>
      <c r="J148" s="6"/>
      <c r="K148" s="6"/>
      <c r="L148" s="6"/>
      <c r="P148" s="6"/>
      <c r="Q148" s="6"/>
      <c r="R148" s="6"/>
      <c r="V148" s="6"/>
      <c r="W148" s="6"/>
      <c r="X148" s="6"/>
      <c r="AB148" s="6"/>
      <c r="AC148" s="6"/>
      <c r="AD148" s="6"/>
      <c r="AH148" s="6"/>
      <c r="AI148" s="6"/>
      <c r="AJ148" s="6"/>
      <c r="AN148" s="6"/>
      <c r="AO148" s="6"/>
      <c r="AP148" s="6"/>
    </row>
    <row r="149" spans="1:42" ht="17" thickBot="1" x14ac:dyDescent="0.25">
      <c r="A149" s="2" t="s">
        <v>75</v>
      </c>
      <c r="B149" s="3"/>
      <c r="C149" s="4"/>
      <c r="D149" s="5"/>
      <c r="E149" s="5"/>
      <c r="F149" s="5"/>
      <c r="G149" s="2"/>
      <c r="H149" s="3"/>
      <c r="I149" s="4"/>
      <c r="J149" s="5"/>
      <c r="K149" s="5"/>
      <c r="L149" s="5"/>
      <c r="M149" s="2"/>
      <c r="N149" s="3"/>
      <c r="O149" s="4"/>
      <c r="P149" s="5"/>
      <c r="Q149" s="5"/>
      <c r="R149" s="5"/>
      <c r="S149" s="2"/>
      <c r="T149" s="3"/>
      <c r="U149" s="4"/>
      <c r="V149" s="5"/>
      <c r="W149" s="5"/>
      <c r="X149" s="5"/>
      <c r="Y149" s="2"/>
      <c r="Z149" s="3"/>
      <c r="AA149" s="4"/>
      <c r="AB149" s="5"/>
      <c r="AC149" s="5"/>
      <c r="AD149" s="5"/>
      <c r="AE149" s="2"/>
      <c r="AF149" s="3"/>
      <c r="AG149" s="4"/>
      <c r="AH149" s="5"/>
      <c r="AI149" s="5"/>
      <c r="AJ149" s="5"/>
      <c r="AK149" s="2"/>
      <c r="AL149" s="3"/>
      <c r="AM149" s="4"/>
      <c r="AN149" s="5"/>
      <c r="AO149" s="5"/>
      <c r="AP149" s="5"/>
    </row>
    <row r="150" spans="1:42" x14ac:dyDescent="0.2">
      <c r="D150" s="6"/>
      <c r="E150" s="6"/>
      <c r="F150" s="6"/>
      <c r="J150" s="6"/>
      <c r="K150" s="6"/>
      <c r="L150" s="6"/>
      <c r="P150" s="6"/>
      <c r="Q150" s="6"/>
      <c r="R150" s="6"/>
      <c r="V150" s="6"/>
      <c r="W150" s="6"/>
      <c r="X150" s="6"/>
      <c r="AB150" s="6"/>
      <c r="AC150" s="6"/>
      <c r="AD150" s="6"/>
      <c r="AH150" s="6"/>
      <c r="AI150" s="6"/>
      <c r="AJ150" s="6"/>
      <c r="AN150" s="6"/>
      <c r="AO150" s="6"/>
      <c r="AP150" s="6"/>
    </row>
    <row r="151" spans="1:42" x14ac:dyDescent="0.2">
      <c r="D151" s="8" t="s">
        <v>4</v>
      </c>
      <c r="E151" s="8" t="s">
        <v>5</v>
      </c>
      <c r="F151" s="8" t="s">
        <v>6</v>
      </c>
      <c r="J151" s="8" t="s">
        <v>4</v>
      </c>
      <c r="K151" s="8" t="s">
        <v>5</v>
      </c>
      <c r="L151" s="8" t="s">
        <v>6</v>
      </c>
      <c r="P151" s="8" t="s">
        <v>4</v>
      </c>
      <c r="Q151" s="8" t="s">
        <v>5</v>
      </c>
      <c r="R151" s="8" t="s">
        <v>6</v>
      </c>
      <c r="V151" s="8" t="s">
        <v>4</v>
      </c>
      <c r="W151" s="8" t="s">
        <v>5</v>
      </c>
      <c r="X151" s="8" t="s">
        <v>6</v>
      </c>
      <c r="AB151" s="8" t="s">
        <v>4</v>
      </c>
      <c r="AC151" s="8" t="s">
        <v>5</v>
      </c>
      <c r="AD151" s="8" t="s">
        <v>6</v>
      </c>
      <c r="AH151" s="8" t="s">
        <v>4</v>
      </c>
      <c r="AI151" s="8" t="s">
        <v>5</v>
      </c>
      <c r="AJ151" s="8" t="s">
        <v>6</v>
      </c>
      <c r="AN151" s="8" t="s">
        <v>4</v>
      </c>
      <c r="AO151" s="8" t="s">
        <v>5</v>
      </c>
      <c r="AP151" s="8" t="s">
        <v>6</v>
      </c>
    </row>
    <row r="152" spans="1:42" x14ac:dyDescent="0.2">
      <c r="B152" s="14" t="s">
        <v>76</v>
      </c>
      <c r="C152" s="15"/>
      <c r="D152" s="39">
        <v>4069.15168965969</v>
      </c>
      <c r="E152" s="39">
        <v>0</v>
      </c>
      <c r="F152" s="39">
        <v>4069.15168965969</v>
      </c>
      <c r="H152" s="14" t="s">
        <v>76</v>
      </c>
      <c r="I152" s="15"/>
      <c r="J152" s="39">
        <v>4064.78067941988</v>
      </c>
      <c r="K152" s="39">
        <v>0</v>
      </c>
      <c r="L152" s="39">
        <v>4064.78067941988</v>
      </c>
      <c r="N152" s="14" t="s">
        <v>76</v>
      </c>
      <c r="O152" s="15"/>
      <c r="P152" s="39">
        <v>4073.3343616709399</v>
      </c>
      <c r="Q152" s="39">
        <v>0</v>
      </c>
      <c r="R152" s="39">
        <v>4073.3343616709399</v>
      </c>
      <c r="T152" s="14" t="s">
        <v>76</v>
      </c>
      <c r="U152" s="15"/>
      <c r="V152" s="39">
        <v>4073.9663701803202</v>
      </c>
      <c r="W152" s="39">
        <v>0</v>
      </c>
      <c r="X152" s="39">
        <v>4073.9663701803202</v>
      </c>
      <c r="Z152" s="14" t="s">
        <v>76</v>
      </c>
      <c r="AA152" s="15"/>
      <c r="AB152" s="39">
        <v>3662.0439851566498</v>
      </c>
      <c r="AC152" s="39">
        <v>0</v>
      </c>
      <c r="AD152" s="39">
        <v>3662.0439851566498</v>
      </c>
      <c r="AF152" s="14" t="s">
        <v>76</v>
      </c>
      <c r="AG152" s="15"/>
      <c r="AH152" s="39">
        <v>4621.6254379489001</v>
      </c>
      <c r="AI152" s="39">
        <v>495.62143712997403</v>
      </c>
      <c r="AJ152" s="39">
        <v>4126.0040008189262</v>
      </c>
      <c r="AL152" s="14" t="s">
        <v>76</v>
      </c>
      <c r="AM152" s="15"/>
      <c r="AN152" s="39">
        <v>4634.8824997755501</v>
      </c>
      <c r="AO152" s="39">
        <v>515.22951301436797</v>
      </c>
      <c r="AP152" s="39">
        <v>4119.6529867611825</v>
      </c>
    </row>
    <row r="153" spans="1:42" x14ac:dyDescent="0.2">
      <c r="B153" s="14" t="s">
        <v>77</v>
      </c>
      <c r="C153" s="15"/>
      <c r="D153" s="39">
        <v>7309.4259345383598</v>
      </c>
      <c r="E153" s="39">
        <v>0</v>
      </c>
      <c r="F153" s="39">
        <v>7309.4259345383598</v>
      </c>
      <c r="H153" s="14" t="s">
        <v>77</v>
      </c>
      <c r="I153" s="15"/>
      <c r="J153" s="39">
        <v>7301.5187044341101</v>
      </c>
      <c r="K153" s="39">
        <v>0</v>
      </c>
      <c r="L153" s="39">
        <v>7301.5187044341101</v>
      </c>
      <c r="N153" s="14" t="s">
        <v>77</v>
      </c>
      <c r="O153" s="15"/>
      <c r="P153" s="39">
        <v>7321.9253344734598</v>
      </c>
      <c r="Q153" s="39">
        <v>0</v>
      </c>
      <c r="R153" s="39">
        <v>7321.9253344734598</v>
      </c>
      <c r="T153" s="14" t="s">
        <v>77</v>
      </c>
      <c r="U153" s="15"/>
      <c r="V153" s="39">
        <v>7323.4112962582903</v>
      </c>
      <c r="W153" s="39">
        <v>0</v>
      </c>
      <c r="X153" s="39">
        <v>7323.4112962582903</v>
      </c>
      <c r="Z153" s="14" t="s">
        <v>77</v>
      </c>
      <c r="AA153" s="15"/>
      <c r="AB153" s="39">
        <v>6477.4156262631504</v>
      </c>
      <c r="AC153" s="39">
        <v>0</v>
      </c>
      <c r="AD153" s="39">
        <v>6477.4156262631504</v>
      </c>
      <c r="AF153" s="14" t="s">
        <v>77</v>
      </c>
      <c r="AG153" s="15"/>
      <c r="AH153" s="39">
        <v>8489.5016701844506</v>
      </c>
      <c r="AI153" s="39">
        <v>1103.0014965748101</v>
      </c>
      <c r="AJ153" s="39">
        <v>7386.5001736096401</v>
      </c>
      <c r="AL153" s="14" t="s">
        <v>77</v>
      </c>
      <c r="AM153" s="15"/>
      <c r="AN153" s="39">
        <v>8518.3529150018003</v>
      </c>
      <c r="AO153" s="39">
        <v>1155.31966329734</v>
      </c>
      <c r="AP153" s="39">
        <v>7363.0332517044608</v>
      </c>
    </row>
    <row r="154" spans="1:42" x14ac:dyDescent="0.2">
      <c r="B154" s="14" t="s">
        <v>78</v>
      </c>
      <c r="C154" s="15"/>
      <c r="D154" s="39">
        <v>9944.9628543147592</v>
      </c>
      <c r="E154" s="39">
        <v>0</v>
      </c>
      <c r="F154" s="39">
        <v>9944.9628543147592</v>
      </c>
      <c r="H154" s="14" t="s">
        <v>78</v>
      </c>
      <c r="I154" s="15"/>
      <c r="J154" s="39">
        <v>9934.1211785951491</v>
      </c>
      <c r="K154" s="39">
        <v>0</v>
      </c>
      <c r="L154" s="39">
        <v>9934.1211785951491</v>
      </c>
      <c r="N154" s="14" t="s">
        <v>78</v>
      </c>
      <c r="O154" s="15"/>
      <c r="P154" s="39">
        <v>9967.1430459840994</v>
      </c>
      <c r="Q154" s="39">
        <v>0</v>
      </c>
      <c r="R154" s="39">
        <v>9967.1430459840994</v>
      </c>
      <c r="T154" s="14" t="s">
        <v>78</v>
      </c>
      <c r="U154" s="15"/>
      <c r="V154" s="39">
        <v>9969.4937970216506</v>
      </c>
      <c r="W154" s="39">
        <v>0</v>
      </c>
      <c r="X154" s="39">
        <v>9969.4937970216506</v>
      </c>
      <c r="Z154" s="14" t="s">
        <v>78</v>
      </c>
      <c r="AA154" s="15"/>
      <c r="AB154" s="39">
        <v>8814.7021391663602</v>
      </c>
      <c r="AC154" s="39">
        <v>0</v>
      </c>
      <c r="AD154" s="39">
        <v>8814.7021391663602</v>
      </c>
      <c r="AF154" s="14" t="s">
        <v>78</v>
      </c>
      <c r="AG154" s="15"/>
      <c r="AH154" s="39">
        <v>11882.081988600799</v>
      </c>
      <c r="AI154" s="39">
        <v>1837.7718711872701</v>
      </c>
      <c r="AJ154" s="39">
        <v>10044.31011741353</v>
      </c>
      <c r="AL154" s="14" t="s">
        <v>78</v>
      </c>
      <c r="AM154" s="15"/>
      <c r="AN154" s="39">
        <v>11933.5677960869</v>
      </c>
      <c r="AO154" s="39">
        <v>1938.2232223859401</v>
      </c>
      <c r="AP154" s="39">
        <v>9995.3445737009606</v>
      </c>
    </row>
    <row r="155" spans="1:42" x14ac:dyDescent="0.2">
      <c r="B155" s="14" t="s">
        <v>79</v>
      </c>
      <c r="C155" s="15"/>
      <c r="D155" s="39">
        <v>11968.506205162599</v>
      </c>
      <c r="E155" s="39">
        <v>0</v>
      </c>
      <c r="F155" s="39">
        <v>11968.506205162599</v>
      </c>
      <c r="H155" s="14" t="s">
        <v>79</v>
      </c>
      <c r="I155" s="15"/>
      <c r="J155" s="39">
        <v>11955.359330991099</v>
      </c>
      <c r="K155" s="39">
        <v>0</v>
      </c>
      <c r="L155" s="39">
        <v>11955.359330991099</v>
      </c>
      <c r="N155" s="14" t="s">
        <v>79</v>
      </c>
      <c r="O155" s="15"/>
      <c r="P155" s="39">
        <v>12000.385547542601</v>
      </c>
      <c r="Q155" s="39">
        <v>0</v>
      </c>
      <c r="R155" s="39">
        <v>12000.385547542601</v>
      </c>
      <c r="T155" s="14" t="s">
        <v>79</v>
      </c>
      <c r="U155" s="15"/>
      <c r="V155" s="39">
        <v>12003.556512892599</v>
      </c>
      <c r="W155" s="39">
        <v>0</v>
      </c>
      <c r="X155" s="39">
        <v>12003.556512892599</v>
      </c>
      <c r="Z155" s="14" t="s">
        <v>79</v>
      </c>
      <c r="AA155" s="15"/>
      <c r="AB155" s="39">
        <v>10580.5145275047</v>
      </c>
      <c r="AC155" s="39">
        <v>0</v>
      </c>
      <c r="AD155" s="39">
        <v>10580.5145275047</v>
      </c>
      <c r="AF155" s="14" t="s">
        <v>79</v>
      </c>
      <c r="AG155" s="15"/>
      <c r="AH155" s="39">
        <v>14736.957329843999</v>
      </c>
      <c r="AI155" s="39">
        <v>2635.1283638230998</v>
      </c>
      <c r="AJ155" s="39">
        <v>12101.828966020899</v>
      </c>
      <c r="AL155" s="14" t="s">
        <v>79</v>
      </c>
      <c r="AM155" s="15"/>
      <c r="AN155" s="39">
        <v>14813.6167687415</v>
      </c>
      <c r="AO155" s="39">
        <v>2788.2135434735001</v>
      </c>
      <c r="AP155" s="39">
        <v>12025.403225268001</v>
      </c>
    </row>
    <row r="156" spans="1:42" x14ac:dyDescent="0.2">
      <c r="B156" s="14" t="s">
        <v>80</v>
      </c>
      <c r="C156" s="15"/>
      <c r="D156" s="39">
        <v>13530.7617871769</v>
      </c>
      <c r="E156" s="39">
        <v>0</v>
      </c>
      <c r="F156" s="39">
        <v>13530.7617871769</v>
      </c>
      <c r="H156" s="14" t="s">
        <v>80</v>
      </c>
      <c r="I156" s="15"/>
      <c r="J156" s="39">
        <v>13515.7893753101</v>
      </c>
      <c r="K156" s="39">
        <v>0</v>
      </c>
      <c r="L156" s="39">
        <v>13515.7893753101</v>
      </c>
      <c r="N156" s="14" t="s">
        <v>80</v>
      </c>
      <c r="O156" s="15"/>
      <c r="P156" s="39">
        <v>13571.767928979099</v>
      </c>
      <c r="Q156" s="39">
        <v>0</v>
      </c>
      <c r="R156" s="39">
        <v>13571.767928979099</v>
      </c>
      <c r="T156" s="14" t="s">
        <v>80</v>
      </c>
      <c r="U156" s="15"/>
      <c r="V156" s="39">
        <v>13575.664521934101</v>
      </c>
      <c r="W156" s="39">
        <v>0</v>
      </c>
      <c r="X156" s="39">
        <v>13575.664521934101</v>
      </c>
      <c r="Z156" s="14" t="s">
        <v>80</v>
      </c>
      <c r="AA156" s="15"/>
      <c r="AB156" s="39">
        <v>11992.6246321453</v>
      </c>
      <c r="AC156" s="39">
        <v>0</v>
      </c>
      <c r="AD156" s="39">
        <v>11992.6246321453</v>
      </c>
      <c r="AF156" s="14" t="s">
        <v>80</v>
      </c>
      <c r="AG156" s="15"/>
      <c r="AH156" s="39">
        <v>17080.129917333401</v>
      </c>
      <c r="AI156" s="39">
        <v>3383.6373463110999</v>
      </c>
      <c r="AJ156" s="39">
        <v>13696.492571022301</v>
      </c>
      <c r="AL156" s="14" t="s">
        <v>80</v>
      </c>
      <c r="AM156" s="15"/>
      <c r="AN156" s="39">
        <v>17181.868699644401</v>
      </c>
      <c r="AO156" s="39">
        <v>3588.5032411196798</v>
      </c>
      <c r="AP156" s="39">
        <v>13593.36545852472</v>
      </c>
    </row>
    <row r="157" spans="1:42" x14ac:dyDescent="0.2">
      <c r="B157" s="14" t="s">
        <v>81</v>
      </c>
      <c r="C157" s="15"/>
      <c r="D157" s="39">
        <v>14644.763420306101</v>
      </c>
      <c r="E157" s="39">
        <v>0</v>
      </c>
      <c r="F157" s="39">
        <v>14644.763420306101</v>
      </c>
      <c r="H157" s="14" t="s">
        <v>81</v>
      </c>
      <c r="I157" s="15"/>
      <c r="J157" s="39">
        <v>14628.450775555501</v>
      </c>
      <c r="K157" s="39">
        <v>0</v>
      </c>
      <c r="L157" s="39">
        <v>14628.450775555501</v>
      </c>
      <c r="N157" s="14" t="s">
        <v>81</v>
      </c>
      <c r="O157" s="15"/>
      <c r="P157" s="39">
        <v>14692.6518105993</v>
      </c>
      <c r="Q157" s="39">
        <v>0</v>
      </c>
      <c r="R157" s="39">
        <v>14692.6518105993</v>
      </c>
      <c r="T157" s="14" t="s">
        <v>81</v>
      </c>
      <c r="U157" s="15"/>
      <c r="V157" s="39">
        <v>14697.025540107499</v>
      </c>
      <c r="W157" s="39">
        <v>0</v>
      </c>
      <c r="X157" s="39">
        <v>14697.025540107499</v>
      </c>
      <c r="Z157" s="14" t="s">
        <v>81</v>
      </c>
      <c r="AA157" s="15"/>
      <c r="AB157" s="39">
        <v>12951.939781373099</v>
      </c>
      <c r="AC157" s="39">
        <v>0</v>
      </c>
      <c r="AD157" s="39">
        <v>12951.939781373099</v>
      </c>
      <c r="AF157" s="14" t="s">
        <v>81</v>
      </c>
      <c r="AG157" s="15"/>
      <c r="AH157" s="39">
        <v>18843.774425940199</v>
      </c>
      <c r="AI157" s="39">
        <v>4005.52368473759</v>
      </c>
      <c r="AJ157" s="39">
        <v>14838.25074120261</v>
      </c>
      <c r="AL157" s="14" t="s">
        <v>81</v>
      </c>
      <c r="AM157" s="15"/>
      <c r="AN157" s="39">
        <v>18966.299160097798</v>
      </c>
      <c r="AO157" s="39">
        <v>4252.5049922690096</v>
      </c>
      <c r="AP157" s="39">
        <v>14713.79416782879</v>
      </c>
    </row>
  </sheetData>
  <mergeCells count="520">
    <mergeCell ref="AL147:AM147"/>
    <mergeCell ref="N2:O2"/>
    <mergeCell ref="T2:U2"/>
    <mergeCell ref="Z2:AA2"/>
    <mergeCell ref="AF2:AG2"/>
    <mergeCell ref="AL2:AM2"/>
    <mergeCell ref="AL140:AM140"/>
    <mergeCell ref="AL141:AM141"/>
    <mergeCell ref="AL143:AM143"/>
    <mergeCell ref="AL144:AM144"/>
    <mergeCell ref="AL145:AM145"/>
    <mergeCell ref="AL146:AM146"/>
    <mergeCell ref="AL132:AM132"/>
    <mergeCell ref="AL134:AM134"/>
    <mergeCell ref="AL135:AM135"/>
    <mergeCell ref="AL137:AM137"/>
    <mergeCell ref="AL138:AM138"/>
    <mergeCell ref="AL139:AM139"/>
    <mergeCell ref="AL122:AM122"/>
    <mergeCell ref="AL123:AM123"/>
    <mergeCell ref="AL128:AM128"/>
    <mergeCell ref="AL129:AM129"/>
    <mergeCell ref="AL130:AM130"/>
    <mergeCell ref="AL131:AM131"/>
    <mergeCell ref="AL115:AM115"/>
    <mergeCell ref="AL116:AM116"/>
    <mergeCell ref="AL117:AM117"/>
    <mergeCell ref="AL119:AM119"/>
    <mergeCell ref="AL120:AM120"/>
    <mergeCell ref="AL121:AM121"/>
    <mergeCell ref="AL107:AM107"/>
    <mergeCell ref="AL108:AM108"/>
    <mergeCell ref="AL110:AM110"/>
    <mergeCell ref="AL111:AM111"/>
    <mergeCell ref="AL113:AM113"/>
    <mergeCell ref="AL114:AM114"/>
    <mergeCell ref="AL66:AM66"/>
    <mergeCell ref="AL67:AM67"/>
    <mergeCell ref="AL68:AM68"/>
    <mergeCell ref="AL104:AM104"/>
    <mergeCell ref="AL105:AM105"/>
    <mergeCell ref="AL106:AM106"/>
    <mergeCell ref="AL56:AM56"/>
    <mergeCell ref="AL57:AM57"/>
    <mergeCell ref="AL58:AM58"/>
    <mergeCell ref="AL59:AM59"/>
    <mergeCell ref="AL60:AM60"/>
    <mergeCell ref="AL65:AM65"/>
    <mergeCell ref="AL45:AM45"/>
    <mergeCell ref="AL47:AM47"/>
    <mergeCell ref="AL48:AM48"/>
    <mergeCell ref="AL49:AM49"/>
    <mergeCell ref="AL50:AM50"/>
    <mergeCell ref="AL51:AM51"/>
    <mergeCell ref="AL39:AM39"/>
    <mergeCell ref="AL40:AM40"/>
    <mergeCell ref="AL41:AM41"/>
    <mergeCell ref="AL42:AM42"/>
    <mergeCell ref="AL43:AM43"/>
    <mergeCell ref="AL44:AM44"/>
    <mergeCell ref="AL29:AM29"/>
    <mergeCell ref="AL34:AM34"/>
    <mergeCell ref="AL35:AM35"/>
    <mergeCell ref="AL36:AM36"/>
    <mergeCell ref="AL37:AM37"/>
    <mergeCell ref="AL38:AM38"/>
    <mergeCell ref="AL16:AM16"/>
    <mergeCell ref="AL18:AL20"/>
    <mergeCell ref="AL22:AM22"/>
    <mergeCell ref="AL24:AL26"/>
    <mergeCell ref="AL27:AM27"/>
    <mergeCell ref="AL28:AM28"/>
    <mergeCell ref="AF141:AG141"/>
    <mergeCell ref="AF143:AG143"/>
    <mergeCell ref="AF144:AG144"/>
    <mergeCell ref="AF145:AG145"/>
    <mergeCell ref="AF146:AG146"/>
    <mergeCell ref="AF147:AG147"/>
    <mergeCell ref="AF134:AG134"/>
    <mergeCell ref="AF135:AG135"/>
    <mergeCell ref="AF137:AG137"/>
    <mergeCell ref="AF138:AG138"/>
    <mergeCell ref="AF139:AG139"/>
    <mergeCell ref="AF140:AG140"/>
    <mergeCell ref="AF123:AG123"/>
    <mergeCell ref="AF128:AG128"/>
    <mergeCell ref="AF129:AG129"/>
    <mergeCell ref="AF130:AG130"/>
    <mergeCell ref="AF131:AG131"/>
    <mergeCell ref="AF132:AG132"/>
    <mergeCell ref="AF116:AG116"/>
    <mergeCell ref="AF117:AG117"/>
    <mergeCell ref="AF119:AG119"/>
    <mergeCell ref="AF120:AG120"/>
    <mergeCell ref="AF121:AG121"/>
    <mergeCell ref="AF122:AG122"/>
    <mergeCell ref="AF108:AG108"/>
    <mergeCell ref="AF110:AG110"/>
    <mergeCell ref="AF111:AG111"/>
    <mergeCell ref="AF113:AG113"/>
    <mergeCell ref="AF114:AG114"/>
    <mergeCell ref="AF115:AG115"/>
    <mergeCell ref="AF67:AG67"/>
    <mergeCell ref="AF68:AG68"/>
    <mergeCell ref="AF104:AG104"/>
    <mergeCell ref="AF105:AG105"/>
    <mergeCell ref="AF106:AG106"/>
    <mergeCell ref="AF107:AG107"/>
    <mergeCell ref="AF57:AG57"/>
    <mergeCell ref="AF58:AG58"/>
    <mergeCell ref="AF59:AG59"/>
    <mergeCell ref="AF60:AG60"/>
    <mergeCell ref="AF65:AG65"/>
    <mergeCell ref="AF66:AG66"/>
    <mergeCell ref="AF47:AG47"/>
    <mergeCell ref="AF48:AG48"/>
    <mergeCell ref="AF49:AG49"/>
    <mergeCell ref="AF50:AG50"/>
    <mergeCell ref="AF51:AG51"/>
    <mergeCell ref="AF56:AG56"/>
    <mergeCell ref="AF40:AG40"/>
    <mergeCell ref="AF41:AG41"/>
    <mergeCell ref="AF42:AG42"/>
    <mergeCell ref="AF43:AG43"/>
    <mergeCell ref="AF44:AG44"/>
    <mergeCell ref="AF45:AG45"/>
    <mergeCell ref="AF34:AG34"/>
    <mergeCell ref="AF35:AG35"/>
    <mergeCell ref="AF36:AG36"/>
    <mergeCell ref="AF37:AG37"/>
    <mergeCell ref="AF38:AG38"/>
    <mergeCell ref="AF39:AG39"/>
    <mergeCell ref="AF18:AF20"/>
    <mergeCell ref="AF22:AG22"/>
    <mergeCell ref="AF24:AF26"/>
    <mergeCell ref="AF27:AG27"/>
    <mergeCell ref="AF28:AG28"/>
    <mergeCell ref="AF29:AG29"/>
    <mergeCell ref="Z28:AA28"/>
    <mergeCell ref="Z29:AA29"/>
    <mergeCell ref="Z34:AA34"/>
    <mergeCell ref="AL1:AP1"/>
    <mergeCell ref="AL3:AM3"/>
    <mergeCell ref="AL4:AM4"/>
    <mergeCell ref="AL5:AM5"/>
    <mergeCell ref="AL6:AM6"/>
    <mergeCell ref="AL7:AM7"/>
    <mergeCell ref="AF16:AG16"/>
    <mergeCell ref="Z143:AA143"/>
    <mergeCell ref="Z144:AA144"/>
    <mergeCell ref="Z145:AA145"/>
    <mergeCell ref="Z146:AA146"/>
    <mergeCell ref="Z147:AA147"/>
    <mergeCell ref="Z16:AA16"/>
    <mergeCell ref="Z18:Z20"/>
    <mergeCell ref="Z22:AA22"/>
    <mergeCell ref="Z24:Z26"/>
    <mergeCell ref="Z27:AA27"/>
    <mergeCell ref="Z135:AA135"/>
    <mergeCell ref="Z137:AA137"/>
    <mergeCell ref="Z138:AA138"/>
    <mergeCell ref="Z139:AA139"/>
    <mergeCell ref="Z140:AA140"/>
    <mergeCell ref="Z141:AA141"/>
    <mergeCell ref="Z128:AA128"/>
    <mergeCell ref="Z129:AA129"/>
    <mergeCell ref="Z130:AA130"/>
    <mergeCell ref="Z131:AA131"/>
    <mergeCell ref="Z132:AA132"/>
    <mergeCell ref="Z134:AA134"/>
    <mergeCell ref="Z117:AA117"/>
    <mergeCell ref="Z119:AA119"/>
    <mergeCell ref="Z120:AA120"/>
    <mergeCell ref="Z121:AA121"/>
    <mergeCell ref="Z122:AA122"/>
    <mergeCell ref="Z123:AA123"/>
    <mergeCell ref="Z110:AA110"/>
    <mergeCell ref="Z111:AA111"/>
    <mergeCell ref="Z113:AA113"/>
    <mergeCell ref="Z114:AA114"/>
    <mergeCell ref="Z115:AA115"/>
    <mergeCell ref="Z116:AA116"/>
    <mergeCell ref="Z68:AA68"/>
    <mergeCell ref="Z104:AA104"/>
    <mergeCell ref="Z105:AA105"/>
    <mergeCell ref="Z106:AA106"/>
    <mergeCell ref="Z107:AA107"/>
    <mergeCell ref="Z108:AA108"/>
    <mergeCell ref="Z58:AA58"/>
    <mergeCell ref="Z59:AA59"/>
    <mergeCell ref="Z60:AA60"/>
    <mergeCell ref="Z65:AA65"/>
    <mergeCell ref="Z66:AA66"/>
    <mergeCell ref="Z67:AA67"/>
    <mergeCell ref="Z48:AA48"/>
    <mergeCell ref="Z49:AA49"/>
    <mergeCell ref="Z50:AA50"/>
    <mergeCell ref="Z51:AA51"/>
    <mergeCell ref="Z56:AA56"/>
    <mergeCell ref="Z57:AA57"/>
    <mergeCell ref="Z41:AA41"/>
    <mergeCell ref="Z42:AA42"/>
    <mergeCell ref="Z43:AA43"/>
    <mergeCell ref="Z44:AA44"/>
    <mergeCell ref="Z45:AA45"/>
    <mergeCell ref="Z47:AA47"/>
    <mergeCell ref="Z35:AA35"/>
    <mergeCell ref="Z36:AA36"/>
    <mergeCell ref="Z37:AA37"/>
    <mergeCell ref="Z38:AA38"/>
    <mergeCell ref="Z39:AA39"/>
    <mergeCell ref="Z40:AA40"/>
    <mergeCell ref="T146:U146"/>
    <mergeCell ref="T147:U147"/>
    <mergeCell ref="T139:U139"/>
    <mergeCell ref="T140:U140"/>
    <mergeCell ref="T141:U141"/>
    <mergeCell ref="T143:U143"/>
    <mergeCell ref="T144:U144"/>
    <mergeCell ref="T145:U145"/>
    <mergeCell ref="T131:U131"/>
    <mergeCell ref="T132:U132"/>
    <mergeCell ref="T134:U134"/>
    <mergeCell ref="T135:U135"/>
    <mergeCell ref="T137:U137"/>
    <mergeCell ref="T138:U138"/>
    <mergeCell ref="T121:U121"/>
    <mergeCell ref="T122:U122"/>
    <mergeCell ref="T123:U123"/>
    <mergeCell ref="T128:U128"/>
    <mergeCell ref="T129:U129"/>
    <mergeCell ref="T130:U130"/>
    <mergeCell ref="T114:U114"/>
    <mergeCell ref="T115:U115"/>
    <mergeCell ref="T116:U116"/>
    <mergeCell ref="T117:U117"/>
    <mergeCell ref="T119:U119"/>
    <mergeCell ref="T120:U120"/>
    <mergeCell ref="T106:U106"/>
    <mergeCell ref="T107:U107"/>
    <mergeCell ref="T108:U108"/>
    <mergeCell ref="T110:U110"/>
    <mergeCell ref="T111:U111"/>
    <mergeCell ref="T113:U113"/>
    <mergeCell ref="T65:U65"/>
    <mergeCell ref="T66:U66"/>
    <mergeCell ref="T67:U67"/>
    <mergeCell ref="T68:U68"/>
    <mergeCell ref="T104:U104"/>
    <mergeCell ref="T105:U105"/>
    <mergeCell ref="T51:U51"/>
    <mergeCell ref="T56:U56"/>
    <mergeCell ref="T57:U57"/>
    <mergeCell ref="T58:U58"/>
    <mergeCell ref="T59:U59"/>
    <mergeCell ref="T60:U60"/>
    <mergeCell ref="T44:U44"/>
    <mergeCell ref="T45:U45"/>
    <mergeCell ref="T47:U47"/>
    <mergeCell ref="T48:U48"/>
    <mergeCell ref="T49:U49"/>
    <mergeCell ref="T50:U50"/>
    <mergeCell ref="T38:U38"/>
    <mergeCell ref="T39:U39"/>
    <mergeCell ref="T40:U40"/>
    <mergeCell ref="T41:U41"/>
    <mergeCell ref="T42:U42"/>
    <mergeCell ref="T43:U43"/>
    <mergeCell ref="T28:U28"/>
    <mergeCell ref="T29:U29"/>
    <mergeCell ref="T34:U34"/>
    <mergeCell ref="T35:U35"/>
    <mergeCell ref="T36:U36"/>
    <mergeCell ref="T37:U37"/>
    <mergeCell ref="N143:O143"/>
    <mergeCell ref="N144:O144"/>
    <mergeCell ref="N145:O145"/>
    <mergeCell ref="N146:O146"/>
    <mergeCell ref="N147:O147"/>
    <mergeCell ref="T16:U16"/>
    <mergeCell ref="T18:T20"/>
    <mergeCell ref="T22:U22"/>
    <mergeCell ref="T24:T26"/>
    <mergeCell ref="T27:U27"/>
    <mergeCell ref="N135:O135"/>
    <mergeCell ref="N137:O137"/>
    <mergeCell ref="N138:O138"/>
    <mergeCell ref="N139:O139"/>
    <mergeCell ref="N140:O140"/>
    <mergeCell ref="N141:O141"/>
    <mergeCell ref="N128:O128"/>
    <mergeCell ref="N129:O129"/>
    <mergeCell ref="N130:O130"/>
    <mergeCell ref="N131:O131"/>
    <mergeCell ref="N132:O132"/>
    <mergeCell ref="N134:O134"/>
    <mergeCell ref="N117:O117"/>
    <mergeCell ref="N119:O119"/>
    <mergeCell ref="N120:O120"/>
    <mergeCell ref="N121:O121"/>
    <mergeCell ref="N122:O122"/>
    <mergeCell ref="N123:O123"/>
    <mergeCell ref="N110:O110"/>
    <mergeCell ref="N111:O111"/>
    <mergeCell ref="N113:O113"/>
    <mergeCell ref="N114:O114"/>
    <mergeCell ref="N115:O115"/>
    <mergeCell ref="N116:O116"/>
    <mergeCell ref="N68:O68"/>
    <mergeCell ref="N104:O104"/>
    <mergeCell ref="N105:O105"/>
    <mergeCell ref="N106:O106"/>
    <mergeCell ref="N107:O107"/>
    <mergeCell ref="N108:O108"/>
    <mergeCell ref="N58:O58"/>
    <mergeCell ref="N59:O59"/>
    <mergeCell ref="N60:O60"/>
    <mergeCell ref="N65:O65"/>
    <mergeCell ref="N66:O66"/>
    <mergeCell ref="N67:O67"/>
    <mergeCell ref="N48:O48"/>
    <mergeCell ref="N49:O49"/>
    <mergeCell ref="N50:O50"/>
    <mergeCell ref="N51:O51"/>
    <mergeCell ref="N56:O56"/>
    <mergeCell ref="N57:O57"/>
    <mergeCell ref="N41:O41"/>
    <mergeCell ref="N42:O42"/>
    <mergeCell ref="N43:O43"/>
    <mergeCell ref="N44:O44"/>
    <mergeCell ref="N45:O45"/>
    <mergeCell ref="N47:O47"/>
    <mergeCell ref="N35:O35"/>
    <mergeCell ref="N36:O36"/>
    <mergeCell ref="N37:O37"/>
    <mergeCell ref="N38:O38"/>
    <mergeCell ref="N39:O39"/>
    <mergeCell ref="N40:O40"/>
    <mergeCell ref="H146:I146"/>
    <mergeCell ref="H147:I147"/>
    <mergeCell ref="N16:O16"/>
    <mergeCell ref="N18:N20"/>
    <mergeCell ref="N22:O22"/>
    <mergeCell ref="N24:N26"/>
    <mergeCell ref="N27:O27"/>
    <mergeCell ref="N28:O28"/>
    <mergeCell ref="N29:O29"/>
    <mergeCell ref="N34:O34"/>
    <mergeCell ref="H139:I139"/>
    <mergeCell ref="H140:I140"/>
    <mergeCell ref="H141:I141"/>
    <mergeCell ref="H143:I143"/>
    <mergeCell ref="H144:I144"/>
    <mergeCell ref="H145:I145"/>
    <mergeCell ref="H131:I131"/>
    <mergeCell ref="H132:I132"/>
    <mergeCell ref="H134:I134"/>
    <mergeCell ref="H135:I135"/>
    <mergeCell ref="H137:I137"/>
    <mergeCell ref="H138:I138"/>
    <mergeCell ref="H121:I121"/>
    <mergeCell ref="H122:I122"/>
    <mergeCell ref="H123:I123"/>
    <mergeCell ref="H128:I128"/>
    <mergeCell ref="H129:I129"/>
    <mergeCell ref="H130:I130"/>
    <mergeCell ref="H114:I114"/>
    <mergeCell ref="H115:I115"/>
    <mergeCell ref="H116:I116"/>
    <mergeCell ref="H117:I117"/>
    <mergeCell ref="H119:I119"/>
    <mergeCell ref="H120:I120"/>
    <mergeCell ref="H106:I106"/>
    <mergeCell ref="H107:I107"/>
    <mergeCell ref="H108:I108"/>
    <mergeCell ref="H110:I110"/>
    <mergeCell ref="H111:I111"/>
    <mergeCell ref="H113:I113"/>
    <mergeCell ref="H65:I65"/>
    <mergeCell ref="H66:I66"/>
    <mergeCell ref="H67:I67"/>
    <mergeCell ref="H68:I68"/>
    <mergeCell ref="H104:I104"/>
    <mergeCell ref="H105:I105"/>
    <mergeCell ref="H51:I51"/>
    <mergeCell ref="H56:I56"/>
    <mergeCell ref="H57:I57"/>
    <mergeCell ref="H58:I58"/>
    <mergeCell ref="H59:I59"/>
    <mergeCell ref="H60:I60"/>
    <mergeCell ref="H44:I44"/>
    <mergeCell ref="H45:I45"/>
    <mergeCell ref="H47:I47"/>
    <mergeCell ref="H48:I48"/>
    <mergeCell ref="H49:I49"/>
    <mergeCell ref="H50:I50"/>
    <mergeCell ref="H38:I38"/>
    <mergeCell ref="H39:I39"/>
    <mergeCell ref="H40:I40"/>
    <mergeCell ref="H41:I41"/>
    <mergeCell ref="H42:I42"/>
    <mergeCell ref="H43:I43"/>
    <mergeCell ref="H28:I28"/>
    <mergeCell ref="H29:I29"/>
    <mergeCell ref="H34:I34"/>
    <mergeCell ref="H35:I35"/>
    <mergeCell ref="H36:I36"/>
    <mergeCell ref="H37:I37"/>
    <mergeCell ref="H2:I2"/>
    <mergeCell ref="H16:I16"/>
    <mergeCell ref="H18:H20"/>
    <mergeCell ref="H22:I22"/>
    <mergeCell ref="H24:H26"/>
    <mergeCell ref="H27:I27"/>
    <mergeCell ref="B147:C147"/>
    <mergeCell ref="B140:C140"/>
    <mergeCell ref="B141:C141"/>
    <mergeCell ref="B143:C143"/>
    <mergeCell ref="B144:C144"/>
    <mergeCell ref="B145:C145"/>
    <mergeCell ref="B146:C146"/>
    <mergeCell ref="B132:C132"/>
    <mergeCell ref="B134:C134"/>
    <mergeCell ref="B135:C135"/>
    <mergeCell ref="B137:C137"/>
    <mergeCell ref="B138:C138"/>
    <mergeCell ref="B139:C139"/>
    <mergeCell ref="B122:C122"/>
    <mergeCell ref="B123:C123"/>
    <mergeCell ref="B128:C128"/>
    <mergeCell ref="B129:C129"/>
    <mergeCell ref="B130:C130"/>
    <mergeCell ref="B131:C131"/>
    <mergeCell ref="B115:C115"/>
    <mergeCell ref="B116:C116"/>
    <mergeCell ref="B117:C117"/>
    <mergeCell ref="B119:C119"/>
    <mergeCell ref="B120:C120"/>
    <mergeCell ref="B121:C121"/>
    <mergeCell ref="B107:C107"/>
    <mergeCell ref="B108:C108"/>
    <mergeCell ref="B110:C110"/>
    <mergeCell ref="B111:C111"/>
    <mergeCell ref="B113:C113"/>
    <mergeCell ref="B114:C114"/>
    <mergeCell ref="B66:C66"/>
    <mergeCell ref="B67:C67"/>
    <mergeCell ref="B68:C68"/>
    <mergeCell ref="B104:C104"/>
    <mergeCell ref="B105:C105"/>
    <mergeCell ref="B106:C106"/>
    <mergeCell ref="B56:C56"/>
    <mergeCell ref="B57:C57"/>
    <mergeCell ref="B58:C58"/>
    <mergeCell ref="B59:C59"/>
    <mergeCell ref="B60:C60"/>
    <mergeCell ref="B65:C65"/>
    <mergeCell ref="B45:C45"/>
    <mergeCell ref="B47:C47"/>
    <mergeCell ref="B48:C48"/>
    <mergeCell ref="B49:C49"/>
    <mergeCell ref="B50:C50"/>
    <mergeCell ref="B51:C51"/>
    <mergeCell ref="B39:C39"/>
    <mergeCell ref="B40:C40"/>
    <mergeCell ref="B41:C41"/>
    <mergeCell ref="B42:C42"/>
    <mergeCell ref="B43:C43"/>
    <mergeCell ref="B44:C44"/>
    <mergeCell ref="B29:C29"/>
    <mergeCell ref="B34:C34"/>
    <mergeCell ref="B35:C35"/>
    <mergeCell ref="B36:C36"/>
    <mergeCell ref="B37:C37"/>
    <mergeCell ref="B38:C38"/>
    <mergeCell ref="B16:C16"/>
    <mergeCell ref="B18:B20"/>
    <mergeCell ref="B22:C22"/>
    <mergeCell ref="B24:B26"/>
    <mergeCell ref="B27:C27"/>
    <mergeCell ref="B28:C28"/>
    <mergeCell ref="N8:O8"/>
    <mergeCell ref="AF8:AG8"/>
    <mergeCell ref="B1:F1"/>
    <mergeCell ref="B3:C3"/>
    <mergeCell ref="B4:C4"/>
    <mergeCell ref="B5:C5"/>
    <mergeCell ref="B6:C6"/>
    <mergeCell ref="B7:C7"/>
    <mergeCell ref="B2:C2"/>
    <mergeCell ref="H7:I7"/>
    <mergeCell ref="N7:O7"/>
    <mergeCell ref="T7:U7"/>
    <mergeCell ref="Z7:AA7"/>
    <mergeCell ref="AF7:AG7"/>
    <mergeCell ref="H6:I6"/>
    <mergeCell ref="N6:O6"/>
    <mergeCell ref="T6:U6"/>
    <mergeCell ref="Z6:AA6"/>
    <mergeCell ref="AF6:AG6"/>
    <mergeCell ref="H5:I5"/>
    <mergeCell ref="N5:O5"/>
    <mergeCell ref="T5:U5"/>
    <mergeCell ref="Z5:AA5"/>
    <mergeCell ref="AF5:AG5"/>
    <mergeCell ref="H4:I4"/>
    <mergeCell ref="N4:O4"/>
    <mergeCell ref="T4:U4"/>
    <mergeCell ref="Z4:AA4"/>
    <mergeCell ref="AF4:AG4"/>
    <mergeCell ref="H3:I3"/>
    <mergeCell ref="N3:O3"/>
    <mergeCell ref="T3:U3"/>
    <mergeCell ref="Z3:AA3"/>
    <mergeCell ref="AF3:AG3"/>
    <mergeCell ref="H1:L1"/>
    <mergeCell ref="N1:R1"/>
    <mergeCell ref="T1:X1"/>
    <mergeCell ref="Z1:AD1"/>
    <mergeCell ref="AF1:A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78DD8-7174-DC40-8DF8-0BA48BFD6E5C}">
  <dimension ref="A1:D8"/>
  <sheetViews>
    <sheetView tabSelected="1" workbookViewId="0">
      <selection activeCell="I21" sqref="I21"/>
    </sheetView>
  </sheetViews>
  <sheetFormatPr baseColWidth="10" defaultRowHeight="16" x14ac:dyDescent="0.2"/>
  <sheetData>
    <row r="1" spans="1:4" x14ac:dyDescent="0.2">
      <c r="A1" t="s">
        <v>117</v>
      </c>
      <c r="B1">
        <v>30000</v>
      </c>
      <c r="C1">
        <v>20000</v>
      </c>
      <c r="D1">
        <v>10000</v>
      </c>
    </row>
    <row r="2" spans="1:4" x14ac:dyDescent="0.2">
      <c r="A2" t="s">
        <v>118</v>
      </c>
      <c r="B2">
        <v>239.82651268118391</v>
      </c>
      <c r="C2">
        <v>158.10810338804544</v>
      </c>
      <c r="D2">
        <v>76.389694094906957</v>
      </c>
    </row>
    <row r="3" spans="1:4" x14ac:dyDescent="0.2">
      <c r="A3">
        <v>1</v>
      </c>
      <c r="B3">
        <v>241.70752056614455</v>
      </c>
      <c r="C3">
        <v>159.72039586086404</v>
      </c>
      <c r="D3">
        <v>77.733271155583566</v>
      </c>
    </row>
    <row r="4" spans="1:4" x14ac:dyDescent="0.2">
      <c r="A4">
        <v>2</v>
      </c>
      <c r="B4">
        <v>183.00476476666853</v>
      </c>
      <c r="C4">
        <v>120.60651136279532</v>
      </c>
      <c r="D4">
        <v>58.208257958922111</v>
      </c>
    </row>
    <row r="5" spans="1:4" x14ac:dyDescent="0.2">
      <c r="A5">
        <v>3</v>
      </c>
      <c r="B5">
        <v>195.75093606320976</v>
      </c>
      <c r="C5">
        <v>129.09821633177279</v>
      </c>
      <c r="D5">
        <v>62.445496600335737</v>
      </c>
    </row>
    <row r="6" spans="1:4" x14ac:dyDescent="0.2">
      <c r="A6">
        <v>4</v>
      </c>
      <c r="B6">
        <v>203.35148490470334</v>
      </c>
      <c r="C6">
        <v>134.16211448408936</v>
      </c>
      <c r="D6">
        <v>64.972744063475389</v>
      </c>
    </row>
    <row r="7" spans="1:4" x14ac:dyDescent="0.2">
      <c r="A7">
        <v>5</v>
      </c>
      <c r="B7">
        <v>188.69815033612005</v>
      </c>
      <c r="C7">
        <v>122.04543060468303</v>
      </c>
      <c r="D7">
        <v>55.392710873246003</v>
      </c>
    </row>
    <row r="8" spans="1:4" x14ac:dyDescent="0.2">
      <c r="A8">
        <v>6</v>
      </c>
      <c r="B8">
        <v>197.14510761327591</v>
      </c>
      <c r="C8">
        <v>130.49238788183888</v>
      </c>
      <c r="D8">
        <v>63.839668150401842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Scenarios</vt:lpstr>
      <vt:lpstr>Scenarios 2</vt:lpstr>
      <vt:lpstr>vbp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Jones</dc:creator>
  <cp:lastModifiedBy>David Jones</cp:lastModifiedBy>
  <dcterms:created xsi:type="dcterms:W3CDTF">2025-11-03T09:12:54Z</dcterms:created>
  <dcterms:modified xsi:type="dcterms:W3CDTF">2025-11-04T10:40:53Z</dcterms:modified>
</cp:coreProperties>
</file>